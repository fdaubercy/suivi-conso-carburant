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B1AFE13E-A82D-4147-9006-BCCC6AFF6E0D}" xr6:coauthVersionLast="47" xr6:coauthVersionMax="47" xr10:uidLastSave="{00000000-0000-0000-0000-000000000000}"/>
  <bookViews>
    <workbookView xWindow="0" yWindow="0" windowWidth="24000" windowHeight="12780" firstSheet="1" activeTab="7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r:id="rId8"/>
  </sheets>
  <functionGroups builtInGroupCount="19"/>
  <externalReferences>
    <externalReference r:id="rId9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0" l="1"/>
  <c r="B13" i="10"/>
  <c r="B12" i="10"/>
  <c r="B11" i="10"/>
  <c r="B10" i="10"/>
  <c r="B9" i="10"/>
  <c r="B8" i="10"/>
  <c r="B7" i="10"/>
  <c r="B6" i="10"/>
  <c r="B5" i="10"/>
  <c r="B29" i="2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2" i="2"/>
  <c r="B31" i="2"/>
  <c r="S16" i="2"/>
  <c r="M17" i="2"/>
  <c r="M18" i="2"/>
  <c r="K17" i="2"/>
  <c r="I17" i="2"/>
  <c r="H17" i="2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J6" i="2" a="1"/>
  <c r="J6" i="2" s="1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L18" i="2" l="1"/>
  <c r="L16" i="2"/>
  <c r="J28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29" i="2" l="1"/>
  <c r="J30" i="2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J35" i="2" l="1"/>
  <c r="J32" i="2"/>
  <c r="B10" i="2"/>
  <c r="J12" i="2" l="1"/>
  <c r="B11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<sst xmlns="http://schemas.openxmlformats.org/spreadsheetml/2006/main" count="503" uniqueCount="370">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</sst>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1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3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numFmt numFmtId="27" formatCode="dd/mm/yyyy\ hh:mm"/>
    </dxf>
    <dxf>
      <numFmt numFmtId="19" formatCode="dd/mm/yyyy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spPr>
            <a:ln w="25400">
              <a:solidFill>
                <a:srgbClr val="2E75B6"/>
              </a:solidFill>
            </a:ln>
          </c:spPr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cat>
            <c:numRef>
              <c:f>Graphiques!$A$5:$A$11</c:f>
              <c:numCache>
                <c:formatCode>m/d/yyyy</c:formatCode>
                <c:ptCount val="7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46164.083333333336</c:v>
                </c:pt>
              </c:numCache>
            </c:numRef>
          </c:cat>
          <c:val>
            <c:numRef>
              <c:f>Graphiques!$B$5:$B$11</c:f>
              <c:numCache>
                <c:formatCode>0.000</c:formatCode>
                <c:ptCount val="7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date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Offset val="100"/>
        <c:baseTimeUnit val="days"/>
      </c:date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46" dataDxfId="45">
  <autoFilter ref="A1:P12" xr:uid="{74CBBEF5-DAC6-4FFF-B9BF-F912C02B05A8}"/>
  <sortState xmlns:xlrd2="http://schemas.microsoft.com/office/spreadsheetml/2017/richdata2" ref="A2:O11">
    <sortCondition ref="A1:A11"/>
  </sortState>
  <tableColumns count="16">
    <tableColumn id="1" xr3:uid="{D1245828-BB9F-457F-9D89-03E146E97A20}" uniqueName="1" name="Horodatage" queryTableFieldId="1" dataDxfId="7"/>
    <tableColumn id="2" xr3:uid="{6AFDA1AD-8B7E-4056-B820-4B105507BC22}" uniqueName="2" name="Date" queryTableFieldId="2" dataDxfId="5"/>
    <tableColumn id="3" xr3:uid="{0E3159AD-DEC3-4CB0-8263-673EE4364DE4}" uniqueName="3" name="Type" queryTableFieldId="3" dataDxfId="6"/>
    <tableColumn id="4" xr3:uid="{9CA1100B-4402-4A99-881C-A70EA8E0EBA0}" uniqueName="4" name="Km" queryTableFieldId="4" dataDxfId="44"/>
    <tableColumn id="5" xr3:uid="{3DC79D37-A57D-45A6-B68B-28F91AE90D1B}" uniqueName="5" name="Litres" queryTableFieldId="5" dataDxfId="43"/>
    <tableColumn id="6" xr3:uid="{E20F9B47-933F-4695-AC5B-7BFCB43AA70B}" uniqueName="6" name="PrixL" queryTableFieldId="6" dataDxfId="42"/>
    <tableColumn id="8" xr3:uid="{1810D7F1-75C0-4692-B633-9344880F4391}" uniqueName="8" name="Station essence" queryTableFieldId="8" dataDxfId="41"/>
    <tableColumn id="9" xr3:uid="{B958E2B1-5DEB-4CEF-B30E-3537BD55A8E8}" uniqueName="9" name="Vehicule" queryTableFieldId="9" dataDxfId="40"/>
    <tableColumn id="10" xr3:uid="{7955E5A1-C834-43AD-B7C1-739EA1C9FB0B}" uniqueName="10" name="E85 station" queryTableFieldId="10" dataDxfId="39"/>
    <tableColumn id="11" xr3:uid="{168A26EB-A626-4924-B067-7D0EE30B248F}" uniqueName="11" name="SP98 station" queryTableFieldId="11" dataDxfId="38"/>
    <tableColumn id="12" xr3:uid="{18AADF40-972E-454B-9FD3-FD2D10CCF4B9}" uniqueName="12" name="SP95 station" queryTableFieldId="12" dataDxfId="37"/>
    <tableColumn id="13" xr3:uid="{A1195D38-1809-462B-9D20-AE18F43CBC4B}" uniqueName="13" name="E10 station" queryTableFieldId="13" dataDxfId="36"/>
    <tableColumn id="14" xr3:uid="{9F059A0B-5171-4FB9-8BF4-0CBD57021E52}" uniqueName="14" name="Gazole station" queryTableFieldId="14" dataDxfId="35"/>
    <tableColumn id="15" xr3:uid="{BE30AC6F-80E2-4B6C-B72A-506C9FC60853}" uniqueName="15" name="GPLc station" queryTableFieldId="15" dataDxfId="34"/>
    <tableColumn id="16" xr3:uid="{DD5EAF57-67B9-4006-88AF-5A82745A6E1D}" uniqueName="16" name="sync_id" queryTableFieldId="16" dataDxfId="4"/>
    <tableColumn id="7" xr3:uid="{217649AA-00FB-44C2-B916-78329111BFA4}" uniqueName="7" name="Modifie_local" queryTableFieldId="18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F9A3563-5DBC-4A66-9EBB-05DEB363663F}" name="DonneesExternes_1" displayName="DonneesExternes_1" ref="A1:Y12" totalsRowShown="0">
  <autoFilter ref="A1:Y12" xr:uid="{AF9A3563-5DBC-4A66-9EBB-05DEB363663F}"/>
  <tableColumns count="25">
    <tableColumn id="1" xr3:uid="{653648C6-9042-4F6A-9208-BF811BCFFBB2}" name="Horodatage" dataDxfId="1"/>
    <tableColumn id="2" xr3:uid="{2C9F23E3-6EA8-4724-A033-89535108B4E6}" name="Date" dataDxfId="0"/>
    <tableColumn id="3" xr3:uid="{E56E72EF-A9F9-4C93-A32A-A8EC72CB963D}" name="Type"/>
    <tableColumn id="4" xr3:uid="{80BF292A-ECBF-4485-9492-93FF5E20D640}" name="Km compteur"/>
    <tableColumn id="5" xr3:uid="{FBC24740-2407-454A-9E8A-FE2F22E6EABD}" name="Nb. Litres"/>
    <tableColumn id="6" xr3:uid="{4BDF5897-316C-4EE9-B54C-C394D9C0949D}" name="Prix €/L"/>
    <tableColumn id="7" xr3:uid="{B52A3ABB-BE39-4440-B2D9-5468CC60EBE7}" name="Station essence"/>
    <tableColumn id="8" xr3:uid="{0CA9444A-7F17-4433-9044-FB1B6B2A28CF}" name="Véhicule"/>
    <tableColumn id="9" xr3:uid="{8E36CF4B-E518-4DFA-91B6-CEDB9D36E8C0}" name="E85 station (€/L)"/>
    <tableColumn id="10" xr3:uid="{EB40EC70-EE4A-4F9B-9C83-2FE49F1D44EE}" name="SP98 station (€/L)"/>
    <tableColumn id="11" xr3:uid="{67182686-B77D-49D8-98B8-82CD6D493E9B}" name="SP95 station (€/L)"/>
    <tableColumn id="12" xr3:uid="{A63076F1-2EB0-4763-A5D3-622918C943A7}" name="E10 station (€/L)"/>
    <tableColumn id="13" xr3:uid="{0AEF138D-F92F-4BE4-8D3D-01E4986FFECD}" name="Gazole station (€/L)"/>
    <tableColumn id="14" xr3:uid="{0F32ECF7-178C-4100-9331-EFC40DDDB9FA}" name="GPLc station (€/L)"/>
    <tableColumn id="15" xr3:uid="{825D955E-AA9F-42B2-966A-429122DA0590}" name="sync_id"/>
    <tableColumn id="16" xr3:uid="{A14F992F-88EE-49B6-BF81-237BDDED169F}" name="Photo ticket"/>
    <tableColumn id="17" xr3:uid="{E32EF069-187F-4131-8AC4-DD15FFC1AB16}" name="Colonne1"/>
    <tableColumn id="18" xr3:uid="{048EE7C9-B7BD-4AEC-83D1-6D032AD484AB}" name="Colonne2"/>
    <tableColumn id="19" xr3:uid="{4BBB042D-EB65-4972-9F4B-62C462CE42B2}" name="Colonne3"/>
    <tableColumn id="20" xr3:uid="{A37E6290-F258-4DD0-9200-16A6B4CBE6DD}" name="Colonne4"/>
    <tableColumn id="21" xr3:uid="{CF92CD33-3933-4077-9A65-5B41C9FEEBF8}" name="Colonne5"/>
    <tableColumn id="22" xr3:uid="{7C5AA17A-88EA-40EB-9EB2-CFA962AD175D}" name="Colonne6"/>
    <tableColumn id="23" xr3:uid="{2AEDADA9-1B83-4BC0-B972-BC8D1138B094}" name="Colonne7"/>
    <tableColumn id="24" xr3:uid="{CE8435B8-9653-428A-B08D-0D81951A6D5B}" name="Colonne8"/>
    <tableColumn id="25" xr3:uid="{A0CD1DA5-0B47-439D-8F49-BB7BF8DC99AB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33" dataDxfId="31" headerRowBorderDxfId="32" tableBorderDxfId="30" totalsRowBorderDxfId="29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8">
      <calculatedColumnFormula>IF(B16="","",A15+1)</calculatedColumnFormula>
    </tableColumn>
    <tableColumn id="2" xr3:uid="{D9E9EBFF-BC9D-4E59-9822-91D7DEC1E7CE}" name="Date" dataDxfId="27"/>
    <tableColumn id="11" xr3:uid="{A77486BA-32D8-4661-BA23-1144AE2FD0EC}" name="Type" dataDxfId="26"/>
    <tableColumn id="3" xr3:uid="{6C87F133-7224-4AAB-ACB2-666E8B7315B5}" name="Km compteur" dataDxfId="25"/>
    <tableColumn id="15" xr3:uid="{E9E70181-907F-4D1A-BD9D-156B992A2880}" name="Nb. km" dataDxfId="24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3"/>
    <tableColumn id="5" xr3:uid="{A61BA34E-E60B-4F70-A1D9-62090C37C449}" name="Prix €/L" dataDxfId="22"/>
    <tableColumn id="13" xr3:uid="{C796B9E8-7AC6-4345-B44F-194876D2515D}" name="Coût c€/km" dataDxfId="21">
      <calculatedColumnFormula>IF(OR(D16="",D15="",I16="",ISTEXT(D15)),"",F16/(D16-D15)*100)</calculatedColumnFormula>
    </tableColumn>
    <tableColumn id="6" xr3:uid="{7A10B093-08A0-4955-A678-47B342940366}" name="Coût Plein (€)" dataDxfId="20">
      <calculatedColumnFormula>IF(F16="","",F16*G16)</calculatedColumnFormula>
    </tableColumn>
    <tableColumn id="7" xr3:uid="{0D4F331E-E5DE-4D78-8EE4-6B964BF0DB88}" name="Conso. (L/100km)" dataDxfId="19">
      <calculatedColumnFormula>IF(OR(D16="",D15="",F16="",ISTEXT(D15)),"",F16/(D16-D15)*100)</calculatedColumnFormula>
    </tableColumn>
    <tableColumn id="8" xr3:uid="{8C4BCB7E-42BC-494E-A304-19A9848326C2}" name="Prix S98 jour (€/L)" dataDxfId="18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7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6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5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3" dataDxfId="1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10" dataDxfId="9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6" t="s">
        <v>347</v>
      </c>
      <c r="B1" s="127"/>
    </row>
    <row r="2" spans="1:2" x14ac:dyDescent="0.25">
      <c r="A2" s="128" t="s">
        <v>348</v>
      </c>
      <c r="B2" s="127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150.51999999999998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2"/>
  <sheetViews>
    <sheetView zoomScale="70" zoomScaleNormal="70" workbookViewId="0">
      <selection activeCell="N32" sqref="N32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46131</v>
      </c>
      <c r="B2" s="136">
        <v>46140.083333333336</v>
      </c>
      <c r="C2" s="99" t="s">
        <v>81</v>
      </c>
      <c r="D2" s="99">
        <v>10349</v>
      </c>
      <c r="E2" s="99">
        <v>13.75</v>
      </c>
      <c r="F2" s="99">
        <v>2.0310000000000001</v>
      </c>
      <c r="G2" s="99" t="s">
        <v>346</v>
      </c>
      <c r="H2" s="99" t="s">
        <v>315</v>
      </c>
      <c r="I2" s="99"/>
      <c r="J2" s="99">
        <v>2.0310000000000001</v>
      </c>
      <c r="K2" s="99"/>
      <c r="L2" s="99"/>
      <c r="M2" s="99"/>
      <c r="N2" s="99"/>
      <c r="O2" s="99" t="s">
        <v>338</v>
      </c>
      <c r="P2" s="101"/>
    </row>
    <row r="3" spans="1:16" x14ac:dyDescent="0.25">
      <c r="A3" s="101">
        <v>46135</v>
      </c>
      <c r="B3" s="136">
        <v>46146.083333333336</v>
      </c>
      <c r="C3" s="99" t="s">
        <v>100</v>
      </c>
      <c r="D3" s="99">
        <v>10553</v>
      </c>
      <c r="E3" s="99">
        <v>11.47</v>
      </c>
      <c r="F3" s="99">
        <v>0.80900000000000005</v>
      </c>
      <c r="G3" s="99" t="s">
        <v>335</v>
      </c>
      <c r="H3" s="99" t="s">
        <v>315</v>
      </c>
      <c r="I3" s="99">
        <v>0.80900000000000005</v>
      </c>
      <c r="J3" s="99">
        <v>2.0790000000000002</v>
      </c>
      <c r="K3" s="99"/>
      <c r="L3" s="99"/>
      <c r="M3" s="99"/>
      <c r="N3" s="99"/>
      <c r="O3" s="99" t="s">
        <v>339</v>
      </c>
      <c r="P3" s="101"/>
    </row>
    <row r="4" spans="1:16" x14ac:dyDescent="0.25">
      <c r="A4" s="101">
        <v>46140</v>
      </c>
      <c r="B4" s="136">
        <v>46157.083333333336</v>
      </c>
      <c r="C4" s="99" t="s">
        <v>100</v>
      </c>
      <c r="D4" s="99">
        <v>11376</v>
      </c>
      <c r="E4" s="99">
        <v>13.37</v>
      </c>
      <c r="F4" s="99">
        <v>0.71699999999999997</v>
      </c>
      <c r="G4" s="99" t="s">
        <v>335</v>
      </c>
      <c r="H4" s="99" t="s">
        <v>315</v>
      </c>
      <c r="I4" s="99">
        <v>0.71699999999999997</v>
      </c>
      <c r="J4" s="99">
        <v>2.0950000000000002</v>
      </c>
      <c r="K4" s="99"/>
      <c r="L4" s="99"/>
      <c r="M4" s="99"/>
      <c r="N4" s="99"/>
      <c r="O4" s="99" t="s">
        <v>343</v>
      </c>
      <c r="P4" s="101"/>
    </row>
    <row r="5" spans="1:16" x14ac:dyDescent="0.25">
      <c r="A5" s="101">
        <v>46146</v>
      </c>
      <c r="B5" s="136">
        <v>46148.083333333336</v>
      </c>
      <c r="C5" s="99" t="s">
        <v>100</v>
      </c>
      <c r="D5" s="99">
        <v>10749</v>
      </c>
      <c r="E5" s="99">
        <v>11.71</v>
      </c>
      <c r="F5" s="99">
        <v>0.747</v>
      </c>
      <c r="G5" s="99" t="s">
        <v>335</v>
      </c>
      <c r="H5" s="99" t="s">
        <v>315</v>
      </c>
      <c r="I5" s="99">
        <v>0.747</v>
      </c>
      <c r="J5" s="99">
        <v>2.0979999999999999</v>
      </c>
      <c r="K5" s="99"/>
      <c r="L5" s="99"/>
      <c r="M5" s="99"/>
      <c r="N5" s="99"/>
      <c r="O5" s="99" t="s">
        <v>340</v>
      </c>
      <c r="P5" s="101"/>
    </row>
    <row r="6" spans="1:16" x14ac:dyDescent="0.25">
      <c r="A6" s="101">
        <v>46148</v>
      </c>
      <c r="B6" s="136">
        <v>46151.083333333336</v>
      </c>
      <c r="C6" s="99" t="s">
        <v>100</v>
      </c>
      <c r="D6" s="99">
        <v>10975</v>
      </c>
      <c r="E6" s="99">
        <v>15.28</v>
      </c>
      <c r="F6" s="99">
        <v>0.75700000000000001</v>
      </c>
      <c r="G6" s="99" t="s">
        <v>335</v>
      </c>
      <c r="H6" s="99" t="s">
        <v>315</v>
      </c>
      <c r="I6" s="99">
        <v>0.75700000000000001</v>
      </c>
      <c r="J6" s="99">
        <v>2.0979999999999999</v>
      </c>
      <c r="K6" s="99"/>
      <c r="L6" s="99"/>
      <c r="M6" s="99"/>
      <c r="N6" s="99"/>
      <c r="O6" s="99" t="s">
        <v>341</v>
      </c>
      <c r="P6" s="101"/>
    </row>
    <row r="7" spans="1:16" x14ac:dyDescent="0.25">
      <c r="A7" s="101">
        <v>46151</v>
      </c>
      <c r="B7" s="136">
        <v>46154.083333333336</v>
      </c>
      <c r="C7" s="99" t="s">
        <v>100</v>
      </c>
      <c r="D7" s="99">
        <v>11173</v>
      </c>
      <c r="E7" s="99">
        <v>13.94</v>
      </c>
      <c r="F7" s="99">
        <v>0.83499999999999996</v>
      </c>
      <c r="G7" s="99" t="s">
        <v>335</v>
      </c>
      <c r="H7" s="99" t="s">
        <v>315</v>
      </c>
      <c r="I7" s="99">
        <v>0.83499999999999996</v>
      </c>
      <c r="J7" s="99">
        <v>2.0950000000000002</v>
      </c>
      <c r="K7" s="99"/>
      <c r="L7" s="99"/>
      <c r="M7" s="99"/>
      <c r="N7" s="99"/>
      <c r="O7" s="99" t="s">
        <v>342</v>
      </c>
      <c r="P7" s="101"/>
    </row>
    <row r="8" spans="1:16" x14ac:dyDescent="0.25">
      <c r="A8" s="101">
        <v>46154</v>
      </c>
      <c r="B8" s="136">
        <v>46135.083333333336</v>
      </c>
      <c r="C8" s="99" t="s">
        <v>81</v>
      </c>
      <c r="D8" s="99">
        <v>10094</v>
      </c>
      <c r="E8" s="99">
        <v>15.22</v>
      </c>
      <c r="F8" s="99">
        <v>1.9259999999999999</v>
      </c>
      <c r="G8" s="99" t="s">
        <v>345</v>
      </c>
      <c r="H8" s="99" t="s">
        <v>315</v>
      </c>
      <c r="I8" s="99"/>
      <c r="J8" s="99">
        <v>1.9259999999999999</v>
      </c>
      <c r="K8" s="99"/>
      <c r="L8" s="99"/>
      <c r="M8" s="99"/>
      <c r="N8" s="99"/>
      <c r="O8" s="99" t="s">
        <v>337</v>
      </c>
      <c r="P8" s="101"/>
    </row>
    <row r="9" spans="1:16" x14ac:dyDescent="0.25">
      <c r="A9" s="101">
        <v>46157</v>
      </c>
      <c r="B9" s="136">
        <v>46161.083333333336</v>
      </c>
      <c r="C9" s="99" t="s">
        <v>100</v>
      </c>
      <c r="D9" s="99">
        <v>11596</v>
      </c>
      <c r="E9" s="99">
        <v>14.9</v>
      </c>
      <c r="F9" s="99">
        <v>0.79800000000000004</v>
      </c>
      <c r="G9" s="99" t="s">
        <v>335</v>
      </c>
      <c r="H9" s="99" t="s">
        <v>315</v>
      </c>
      <c r="I9" s="99">
        <v>0.79800000000000004</v>
      </c>
      <c r="J9" s="99">
        <v>2.0910000000000002</v>
      </c>
      <c r="K9" s="99"/>
      <c r="L9" s="99"/>
      <c r="M9" s="99"/>
      <c r="N9" s="99"/>
      <c r="O9" s="99" t="s">
        <v>344</v>
      </c>
      <c r="P9" s="101"/>
    </row>
    <row r="10" spans="1:16" x14ac:dyDescent="0.25">
      <c r="A10" s="101">
        <v>46161</v>
      </c>
      <c r="B10" s="136">
        <v>46164.083333333336</v>
      </c>
      <c r="C10" s="99" t="s">
        <v>100</v>
      </c>
      <c r="D10" s="99">
        <v>11831</v>
      </c>
      <c r="E10" s="99">
        <v>16.25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/>
      <c r="K10" s="99"/>
      <c r="L10" s="99"/>
      <c r="M10" s="99"/>
      <c r="N10" s="99"/>
      <c r="O10" s="99" t="s">
        <v>334</v>
      </c>
      <c r="P10" s="101"/>
    </row>
    <row r="11" spans="1:16" x14ac:dyDescent="0.25">
      <c r="A11" s="101">
        <v>46164.921076388891</v>
      </c>
      <c r="B11" s="136">
        <v>46131.083333333336</v>
      </c>
      <c r="C11" s="99" t="s">
        <v>81</v>
      </c>
      <c r="D11" s="99">
        <v>9812</v>
      </c>
      <c r="E11" s="99">
        <v>11.4</v>
      </c>
      <c r="F11" s="99">
        <v>1.9730000000000001</v>
      </c>
      <c r="G11" s="99" t="s">
        <v>345</v>
      </c>
      <c r="H11" s="99" t="s">
        <v>315</v>
      </c>
      <c r="I11" s="99"/>
      <c r="J11" s="99">
        <v>1.9730000000000001</v>
      </c>
      <c r="K11" s="99"/>
      <c r="L11" s="99"/>
      <c r="M11" s="99"/>
      <c r="N11" s="99"/>
      <c r="O11" s="99" t="s">
        <v>336</v>
      </c>
      <c r="P11" s="101"/>
    </row>
    <row r="12" spans="1:16" x14ac:dyDescent="0.25">
      <c r="A12" s="101">
        <v>46171.162939814814</v>
      </c>
      <c r="B12" s="136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Y21" sqref="Y2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0" t="s">
        <v>72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Z1" s="77"/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29" t="s">
        <v>107</v>
      </c>
      <c r="H10" s="129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0" t="s">
        <v>335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0" t="s">
        <v>335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0" t="s">
        <v>335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0" t="s">
        <v>335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0" t="s">
        <v>335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0" t="s">
        <v>335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69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0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1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1" t="s">
        <v>182</v>
      </c>
      <c r="B31" s="62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2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183</v>
      </c>
      <c r="B32" s="60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3"/>
      <c r="H33" s="73"/>
      <c r="I33" s="73"/>
      <c r="J33" s="73"/>
      <c r="K33" s="73"/>
      <c r="L33" s="73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5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184</v>
      </c>
      <c r="H35" s="19"/>
      <c r="I35" s="19"/>
      <c r="J35" s="74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5">
    <cfRule type="expression" dxfId="2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1" t="s">
        <v>296</v>
      </c>
      <c r="C2" s="132"/>
      <c r="D2" s="132"/>
      <c r="E2" s="132"/>
      <c r="F2" s="132"/>
      <c r="G2" s="132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33" t="s">
        <v>316</v>
      </c>
      <c r="C4" s="132"/>
      <c r="D4" s="132"/>
      <c r="E4" s="132"/>
      <c r="F4" s="132"/>
      <c r="G4" s="132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 ca="1">IFERROR(AVERAGEIF(GS_Pleins!$G:$G,$B6,GS_Pleins[E85 station]),"")</f>
        <v>0.82350000000000001</v>
      </c>
      <c r="D6" s="89">
        <f ca="1">IFERROR(AVERAGEIF(GS_Pleins!$G:$G,$B6,GS_Pleins[SP98 station]),"")</f>
        <v>2.1349999999999998</v>
      </c>
      <c r="E6" s="89">
        <f ca="1">IFERROR(AVERAGEIF(GS_Pleins!$G:$G,$B6,GS_Pleins[SP95 station]),"")</f>
        <v>2.089</v>
      </c>
      <c r="F6" s="89">
        <f ca="1">IFERROR(AVERAGEIF(GS_Pleins!$G:$G,$B6,GS_Pleins[E10 station]),"")</f>
        <v>2.0390000000000001</v>
      </c>
      <c r="G6" s="89">
        <f ca="1">IFERROR(AVERAGEIF(GS_Pleins!$G:$G,$B6,GS_Pleins[Gazole station]),"")</f>
        <v>2.0990000000000002</v>
      </c>
      <c r="H6" s="89">
        <f ca="1">IFERROR(AVERAGEIF(GS_Pleins!$G:$G,$B6,GS_Pleins[GPLc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 ca="1">IFERROR(AVERAGEIF(GS_Pleins!$G:$G,$B7,GS_Pleins[E85 station]),"")</f>
        <v>0.77080000000000004</v>
      </c>
      <c r="D7" s="89">
        <f ca="1">IFERROR(AVERAGEIF(GS_Pleins!$G:$G,$B7,GS_Pleins[SP98 station]),"")</f>
        <v>2.0474999999999999</v>
      </c>
      <c r="E7" s="89" t="str">
        <f ca="1">IFERROR(AVERAGEIF(GS_Pleins!$G:$G,$B7,GS_Pleins[SP95 station]),"")</f>
        <v/>
      </c>
      <c r="F7" s="89" t="str">
        <f ca="1">IFERROR(AVERAGEIF(GS_Pleins!$G:$G,$B7,GS_Pleins[E10 station]),"")</f>
        <v/>
      </c>
      <c r="G7" s="89" t="str">
        <f ca="1">IFERROR(AVERAGEIF(GS_Pleins!$G:$G,$B7,GS_Pleins[Gazole station]),"")</f>
        <v/>
      </c>
      <c r="H7" s="89" t="str">
        <f ca="1">IFERROR(AVERAGEIF(GS_Pleins!$G:$G,$B7,GS_Pleins[GPLc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>
        <f ca="1">IFERROR(AVERAGEIF(GS_Pleins!$G:$G,$B8,GS_Pleins[E85 station]),"")</f>
        <v>0.80900000000000005</v>
      </c>
      <c r="D8" s="89">
        <f ca="1">IFERROR(AVERAGEIF(GS_Pleins!$G:$G,$B8,GS_Pleins[SP98 station]),"")</f>
        <v>2.0790000000000002</v>
      </c>
      <c r="E8" s="89" t="str">
        <f ca="1">IFERROR(AVERAGEIF(GS_Pleins!$G:$G,$B8,GS_Pleins[SP95 station]),"")</f>
        <v/>
      </c>
      <c r="F8" s="89" t="str">
        <f ca="1">IFERROR(AVERAGEIF(GS_Pleins!$G:$G,$B8,GS_Pleins[E10 station]),"")</f>
        <v/>
      </c>
      <c r="G8" s="89" t="str">
        <f ca="1">IFERROR(AVERAGEIF(GS_Pleins!$G:$G,$B8,GS_Pleins[Gazole station]),"")</f>
        <v/>
      </c>
      <c r="H8" s="89" t="str">
        <f ca="1">IFERROR(AVERAGEIF(GS_Pleins!$G:$G,$B8,GS_Pleins[GPLc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 ca="1">IFERROR(AVERAGEIF(GS_Pleins!$G:$G,$B9,GS_Pleins[E85 station]),"")</f>
        <v/>
      </c>
      <c r="D9" s="89" t="str">
        <f ca="1">IFERROR(AVERAGEIF(GS_Pleins!$G:$G,$B9,GS_Pleins[SP98 station]),"")</f>
        <v/>
      </c>
      <c r="E9" s="89" t="str">
        <f ca="1">IFERROR(AVERAGEIF(GS_Pleins!$G:$G,$B9,GS_Pleins[SP95 station]),"")</f>
        <v/>
      </c>
      <c r="F9" s="89" t="str">
        <f ca="1">IFERROR(AVERAGEIF(GS_Pleins!$G:$G,$B9,GS_Pleins[E10 station]),"")</f>
        <v/>
      </c>
      <c r="G9" s="89" t="str">
        <f ca="1">IFERROR(AVERAGEIF(GS_Pleins!$G:$G,$B9,GS_Pleins[Gazole station]),"")</f>
        <v/>
      </c>
      <c r="H9" s="89" t="str">
        <f ca="1">IFERROR(AVERAGEIF(GS_Pleins!$G:$G,$B9,GS_Pleins[GPLc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 ca="1">IFERROR(AVERAGEIF(GS_Pleins!$G:$G,$B10,GS_Pleins[E85 station]),"")</f>
        <v/>
      </c>
      <c r="D10" s="89" t="str">
        <f ca="1">IFERROR(AVERAGEIF(GS_Pleins!$G:$G,$B10,GS_Pleins[SP98 station]),"")</f>
        <v/>
      </c>
      <c r="E10" s="89" t="str">
        <f ca="1">IFERROR(AVERAGEIF(GS_Pleins!$G:$G,$B10,GS_Pleins[SP95 station]),"")</f>
        <v/>
      </c>
      <c r="F10" s="89" t="str">
        <f ca="1">IFERROR(AVERAGEIF(GS_Pleins!$G:$G,$B10,GS_Pleins[E10 station]),"")</f>
        <v/>
      </c>
      <c r="G10" s="89" t="str">
        <f ca="1">IFERROR(AVERAGEIF(GS_Pleins!$G:$G,$B10,GS_Pleins[Gazole station]),"")</f>
        <v/>
      </c>
      <c r="H10" s="89" t="str">
        <f ca="1">IFERROR(AVERAGEIF(GS_Pleins!$G:$G,$B10,GS_Pleins[GPLc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 ca="1">IFERROR(AVERAGEIF(GS_Pleins!$G:$G,$B11,GS_Pleins[E85 station]),"")</f>
        <v/>
      </c>
      <c r="D11" s="89" t="str">
        <f ca="1">IFERROR(AVERAGEIF(GS_Pleins!$G:$G,$B11,GS_Pleins[SP98 station]),"")</f>
        <v/>
      </c>
      <c r="E11" s="89" t="str">
        <f ca="1">IFERROR(AVERAGEIF(GS_Pleins!$G:$G,$B11,GS_Pleins[SP95 station]),"")</f>
        <v/>
      </c>
      <c r="F11" s="89" t="str">
        <f ca="1">IFERROR(AVERAGEIF(GS_Pleins!$G:$G,$B11,GS_Pleins[E10 station]),"")</f>
        <v/>
      </c>
      <c r="G11" s="89" t="str">
        <f ca="1">IFERROR(AVERAGEIF(GS_Pleins!$G:$G,$B11,GS_Pleins[Gazole station]),"")</f>
        <v/>
      </c>
      <c r="H11" s="89" t="str">
        <f ca="1">IFERROR(AVERAGEIF(GS_Pleins!$G:$G,$B11,GS_Pleins[GPLc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 ca="1">IFERROR(AVERAGEIF(GS_Pleins!$G:$G,$B12,GS_Pleins[E85 station]),"")</f>
        <v/>
      </c>
      <c r="D12" s="89" t="str">
        <f ca="1">IFERROR(AVERAGEIF(GS_Pleins!$G:$G,$B12,GS_Pleins[SP98 station]),"")</f>
        <v/>
      </c>
      <c r="E12" s="89" t="str">
        <f ca="1">IFERROR(AVERAGEIF(GS_Pleins!$G:$G,$B12,GS_Pleins[SP95 station]),"")</f>
        <v/>
      </c>
      <c r="F12" s="89" t="str">
        <f ca="1">IFERROR(AVERAGEIF(GS_Pleins!$G:$G,$B12,GS_Pleins[E10 station]),"")</f>
        <v/>
      </c>
      <c r="G12" s="89" t="str">
        <f ca="1">IFERROR(AVERAGEIF(GS_Pleins!$G:$G,$B12,GS_Pleins[Gazole station]),"")</f>
        <v/>
      </c>
      <c r="H12" s="89" t="str">
        <f ca="1">IFERROR(AVERAGEIF(GS_Pleins!$G:$G,$B12,GS_Pleins[GPLc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 ca="1">IFERROR(AVERAGEIF(GS_Pleins!$G:$G,$B13,GS_Pleins[E85 station]),"")</f>
        <v/>
      </c>
      <c r="D13" s="89" t="str">
        <f ca="1">IFERROR(AVERAGEIF(GS_Pleins!$G:$G,$B13,GS_Pleins[SP98 station]),"")</f>
        <v/>
      </c>
      <c r="E13" s="89" t="str">
        <f ca="1">IFERROR(AVERAGEIF(GS_Pleins!$G:$G,$B13,GS_Pleins[SP95 station]),"")</f>
        <v/>
      </c>
      <c r="F13" s="89" t="str">
        <f ca="1">IFERROR(AVERAGEIF(GS_Pleins!$G:$G,$B13,GS_Pleins[E10 station]),"")</f>
        <v/>
      </c>
      <c r="G13" s="89" t="str">
        <f ca="1">IFERROR(AVERAGEIF(GS_Pleins!$G:$G,$B13,GS_Pleins[Gazole station]),"")</f>
        <v/>
      </c>
      <c r="H13" s="89" t="str">
        <f ca="1">IFERROR(AVERAGEIF(GS_Pleins!$G:$G,$B13,GS_Pleins[GPLc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 ca="1">IFERROR(AVERAGEIF(GS_Pleins!$G:$G,$B14,GS_Pleins[E85 station]),"")</f>
        <v/>
      </c>
      <c r="D14" s="89" t="str">
        <f ca="1">IFERROR(AVERAGEIF(GS_Pleins!$G:$G,$B14,GS_Pleins[SP98 station]),"")</f>
        <v/>
      </c>
      <c r="E14" s="89" t="str">
        <f ca="1">IFERROR(AVERAGEIF(GS_Pleins!$G:$G,$B14,GS_Pleins[SP95 station]),"")</f>
        <v/>
      </c>
      <c r="F14" s="89" t="str">
        <f ca="1">IFERROR(AVERAGEIF(GS_Pleins!$G:$G,$B14,GS_Pleins[E10 station]),"")</f>
        <v/>
      </c>
      <c r="G14" s="89" t="str">
        <f ca="1">IFERROR(AVERAGEIF(GS_Pleins!$G:$G,$B14,GS_Pleins[Gazole station]),"")</f>
        <v/>
      </c>
      <c r="H14" s="89" t="str">
        <f ca="1">IFERROR(AVERAGEIF(GS_Pleins!$G:$G,$B14,GS_Pleins[GPLc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 ca="1">IFERROR(AVERAGEIF(GS_Pleins!$G:$G,$B15,GS_Pleins[E85 station]),"")</f>
        <v/>
      </c>
      <c r="D15" s="89" t="str">
        <f ca="1">IFERROR(AVERAGEIF(GS_Pleins!$G:$G,$B15,GS_Pleins[SP98 station]),"")</f>
        <v/>
      </c>
      <c r="E15" s="89" t="str">
        <f ca="1">IFERROR(AVERAGEIF(GS_Pleins!$G:$G,$B15,GS_Pleins[SP95 station]),"")</f>
        <v/>
      </c>
      <c r="F15" s="89" t="str">
        <f ca="1">IFERROR(AVERAGEIF(GS_Pleins!$G:$G,$B15,GS_Pleins[E10 station]),"")</f>
        <v/>
      </c>
      <c r="G15" s="89" t="str">
        <f ca="1">IFERROR(AVERAGEIF(GS_Pleins!$G:$G,$B15,GS_Pleins[Gazole station]),"")</f>
        <v/>
      </c>
      <c r="H15" s="89" t="str">
        <f ca="1">IFERROR(AVERAGEIF(GS_Pleins!$G:$G,$B15,GS_Pleins[GPLc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 ca="1">IFERROR(AVERAGEIF(GS_Pleins!$G:$G,$B16,GS_Pleins[E85 station]),"")</f>
        <v/>
      </c>
      <c r="D16" s="89" t="str">
        <f ca="1">IFERROR(AVERAGEIF(GS_Pleins!$G:$G,$B16,GS_Pleins[SP98 station]),"")</f>
        <v/>
      </c>
      <c r="E16" s="89" t="str">
        <f ca="1">IFERROR(AVERAGEIF(GS_Pleins!$G:$G,$B16,GS_Pleins[SP95 station]),"")</f>
        <v/>
      </c>
      <c r="F16" s="89" t="str">
        <f ca="1">IFERROR(AVERAGEIF(GS_Pleins!$G:$G,$B16,GS_Pleins[E10 station]),"")</f>
        <v/>
      </c>
      <c r="G16" s="89" t="str">
        <f ca="1">IFERROR(AVERAGEIF(GS_Pleins!$G:$G,$B16,GS_Pleins[Gazole station]),"")</f>
        <v/>
      </c>
      <c r="H16" s="89" t="str">
        <f ca="1">IFERROR(AVERAGEIF(GS_Pleins!$G:$G,$B16,GS_Pleins[GPLc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34" t="s">
        <v>304</v>
      </c>
      <c r="C19" s="135"/>
      <c r="D19" s="135"/>
      <c r="E19" s="135"/>
      <c r="F19" s="135"/>
      <c r="G19" s="135"/>
    </row>
    <row r="20" spans="2:9" ht="18" customHeight="1" x14ac:dyDescent="0.25">
      <c r="B20" s="134"/>
      <c r="C20" s="135"/>
      <c r="D20" s="135"/>
      <c r="E20" s="135"/>
      <c r="F20" s="135"/>
      <c r="G20" s="135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opLeftCell="A9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tabSelected="1" zoomScale="90" zoomScaleNormal="90" workbookViewId="0">
      <selection activeCell="D43" sqref="D4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2026-05-29T00:12:29Z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