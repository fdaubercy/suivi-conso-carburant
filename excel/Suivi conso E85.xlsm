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00DDA599-E7A7-40E3-AE55-39DBE85694BC}" xr6:coauthVersionLast="47" xr6:coauthVersionMax="47" xr10:uidLastSave="{00000000-0000-0000-0000-000000000000}"/>
  <bookViews>
    <workbookView xWindow="-120" yWindow="-120" windowWidth="24240" windowHeight="13020" firstSheet="1" activeTab="2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1" l="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B10" i="2"/>
  <c r="B11" i="2" s="1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7" i="7"/>
  <c r="D7" i="7"/>
  <c r="E7" i="7"/>
  <c r="F7" i="7"/>
  <c r="G7" i="7"/>
  <c r="H7" i="7"/>
  <c r="H6" i="7"/>
  <c r="G6" i="7"/>
  <c r="F6" i="7"/>
  <c r="E6" i="7"/>
  <c r="D6" i="7"/>
  <c r="C6" i="7"/>
  <c r="N26" i="2"/>
  <c r="J26" i="2"/>
  <c r="H26" i="2"/>
  <c r="E26" i="2"/>
  <c r="A26" i="2"/>
  <c r="B30" i="2"/>
  <c r="B34" i="2"/>
  <c r="B29" i="2"/>
  <c r="B31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3" i="2"/>
  <c r="B32" i="2"/>
  <c r="S16" i="2"/>
  <c r="M17" i="2"/>
  <c r="M18" i="2"/>
  <c r="K17" i="2"/>
  <c r="I17" i="2"/>
  <c r="H17" i="2" s="1"/>
  <c r="B37" i="2" l="1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L16" i="2"/>
  <c r="J29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30" i="2" l="1"/>
  <c r="J31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5" i="2"/>
  <c r="J32" i="2" l="1"/>
  <c r="J36" i="2"/>
  <c r="J33" i="2"/>
  <c r="J12" i="2" l="1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<sst xmlns="http://schemas.openxmlformats.org/spreadsheetml/2006/main" count="517" uniqueCount="374">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</sst>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86" fontId="0" fillId="0" borderId="12" xfId="0" applyNumberFormat="1" applyBorder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7"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9B18A158-4A05-8617-4654-E3778AF16212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56" dataDxfId="55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54"/>
    <tableColumn id="5" xr3:uid="{3DC79D37-A57D-45A6-B68B-28F91AE90D1B}" uniqueName="5" name="Litres" queryTableFieldId="5" dataDxfId="53"/>
    <tableColumn id="6" xr3:uid="{E20F9B47-933F-4695-AC5B-7BFCB43AA70B}" uniqueName="6" name="PrixL" queryTableFieldId="6" dataDxfId="52"/>
    <tableColumn id="8" xr3:uid="{1810D7F1-75C0-4692-B633-9344880F4391}" uniqueName="8" name="Station essence" queryTableFieldId="8" dataDxfId="51"/>
    <tableColumn id="9" xr3:uid="{B958E2B1-5DEB-4CEF-B30E-3537BD55A8E8}" uniqueName="9" name="Vehicule" queryTableFieldId="9" dataDxfId="50"/>
    <tableColumn id="10" xr3:uid="{7955E5A1-C834-43AD-B7C1-739EA1C9FB0B}" uniqueName="10" name="E85 station" queryTableFieldId="10" dataDxfId="49"/>
    <tableColumn id="11" xr3:uid="{168A26EB-A626-4924-B067-7D0EE30B248F}" uniqueName="11" name="SP98 station" queryTableFieldId="11" dataDxfId="48"/>
    <tableColumn id="12" xr3:uid="{18AADF40-972E-454B-9FD3-FD2D10CCF4B9}" uniqueName="12" name="SP95 station" queryTableFieldId="12" dataDxfId="47"/>
    <tableColumn id="13" xr3:uid="{A1195D38-1809-462B-9D20-AE18F43CBC4B}" uniqueName="13" name="E10 station" queryTableFieldId="13" dataDxfId="46"/>
    <tableColumn id="14" xr3:uid="{9F059A0B-5171-4FB9-8BF4-0CBD57021E52}" uniqueName="14" name="Gazole station" queryTableFieldId="14" dataDxfId="45"/>
    <tableColumn id="15" xr3:uid="{BE30AC6F-80E2-4B6C-B72A-506C9FC60853}" uniqueName="15" name="GPLc station" queryTableFieldId="15" dataDxfId="44"/>
    <tableColumn id="16" xr3:uid="{DD5EAF57-67B9-4006-88AF-5A82745A6E1D}" uniqueName="16" name="sync_id" queryTableFieldId="16" dataDxfId="13"/>
    <tableColumn id="7" xr3:uid="{217649AA-00FB-44C2-B916-78329111BFA4}" uniqueName="7" name="Modifie_local" queryTableFieldId="18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74E3FD6-A76B-49C2-8937-6B38087BF3F5}" name="DonneesExternes_1" displayName="DonneesExternes_1" ref="A1:Y12" totalsRowShown="0">
  <autoFilter ref="A1:Y12" xr:uid="{674E3FD6-A76B-49C2-8937-6B38087BF3F5}"/>
  <tableColumns count="25">
    <tableColumn id="1" xr3:uid="{5B6AC03D-2D93-4E78-8F73-92FC113F241F}" name="Horodatage" dataDxfId="1"/>
    <tableColumn id="2" xr3:uid="{945CD8EE-063B-4449-85DF-ECFC1815E3C7}" name="Date" dataDxfId="0"/>
    <tableColumn id="3" xr3:uid="{EB2905B3-B788-4E1F-82C3-5EE385FA9BB2}" name="Type"/>
    <tableColumn id="4" xr3:uid="{2016A3DD-19AD-4640-AF99-B4A76ED9D582}" name="Km compteur"/>
    <tableColumn id="5" xr3:uid="{00BA4646-EDBF-4C27-816D-02C116E3B16A}" name="Nb. Litres"/>
    <tableColumn id="6" xr3:uid="{27ECB63E-F538-4C6A-B0F0-26CDA956F919}" name="Prix €/L"/>
    <tableColumn id="7" xr3:uid="{1843CFE6-0875-4CF5-8959-AE44F87FCCD7}" name="Station essence"/>
    <tableColumn id="8" xr3:uid="{8737CE94-72AA-4E9A-B455-77D0435E4D47}" name="Véhicule"/>
    <tableColumn id="9" xr3:uid="{BE5D9B14-0062-4399-9530-C7E1506EE175}" name="E85 station (€/L)"/>
    <tableColumn id="10" xr3:uid="{64247ECF-54CC-409F-8066-D8EB9BD07A69}" name="SP98 station (€/L)"/>
    <tableColumn id="11" xr3:uid="{FAB66621-DEDB-4B44-9A4C-F7C4EF703DCA}" name="SP95 station (€/L)"/>
    <tableColumn id="12" xr3:uid="{F55A3989-6AE0-481B-9D53-FD396DCB9524}" name="E10 station (€/L)"/>
    <tableColumn id="13" xr3:uid="{316710F8-DF23-415F-B387-A40BEC23CD8D}" name="Gazole station (€/L)"/>
    <tableColumn id="14" xr3:uid="{2ECC7719-E333-4596-82D3-8F7075D68231}" name="GPLc station (€/L)"/>
    <tableColumn id="15" xr3:uid="{2175099E-3DFA-41A4-A2E0-065E565501B9}" name="sync_id"/>
    <tableColumn id="16" xr3:uid="{1A0CD5DB-E474-4242-A714-F965C95B1621}" name="Photo ticket"/>
    <tableColumn id="17" xr3:uid="{B7D44C7C-F3E1-47A9-B3EC-0B14D3A3DD33}" name="Colonne1"/>
    <tableColumn id="18" xr3:uid="{5080E01A-E193-4672-83A7-3BFC56AADF82}" name="Colonne2"/>
    <tableColumn id="19" xr3:uid="{E0338887-701D-474D-95C5-243B6179352B}" name="Colonne3"/>
    <tableColumn id="20" xr3:uid="{01756458-78BB-4F94-87EC-B383BFC48072}" name="Colonne4"/>
    <tableColumn id="21" xr3:uid="{E4D6E3D1-B8D2-4967-BA24-E287C669EABB}" name="Colonne5"/>
    <tableColumn id="22" xr3:uid="{CDB7A6E2-FC74-4209-8F33-D0D2FB267E67}" name="Colonne6"/>
    <tableColumn id="23" xr3:uid="{3B3E284C-8495-46A0-82D7-DCD6DDB5D90A}" name="Colonne7"/>
    <tableColumn id="24" xr3:uid="{04F25E5C-431C-4D9B-89B2-035754D4FE53}" name="Colonne8"/>
    <tableColumn id="25" xr3:uid="{B8271B46-872A-4390-8AAC-B42AB5BD054C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2" dataDxfId="40" headerRowBorderDxfId="41" tableBorderDxfId="39" totalsRowBorderDxfId="3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7">
      <calculatedColumnFormula>IF(B16="","",A15+1)</calculatedColumnFormula>
    </tableColumn>
    <tableColumn id="2" xr3:uid="{D9E9EBFF-BC9D-4E59-9822-91D7DEC1E7CE}" name="Date" dataDxfId="36"/>
    <tableColumn id="11" xr3:uid="{A77486BA-32D8-4661-BA23-1144AE2FD0EC}" name="Type" dataDxfId="35"/>
    <tableColumn id="3" xr3:uid="{6C87F133-7224-4AAB-ACB2-666E8B7315B5}" name="Km compteur" dataDxfId="34"/>
    <tableColumn id="15" xr3:uid="{E9E70181-907F-4D1A-BD9D-156B992A2880}" name="Nb. km" dataDxfId="3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2"/>
    <tableColumn id="5" xr3:uid="{A61BA34E-E60B-4F70-A1D9-62090C37C449}" name="Prix €/L" dataDxfId="31"/>
    <tableColumn id="13" xr3:uid="{C796B9E8-7AC6-4345-B44F-194876D2515D}" name="Coût c€/km" dataDxfId="30">
      <calculatedColumnFormula>IF(OR(D16="",D15="",I16="",ISTEXT(D15)),"",F16/(D16-D15)*100)</calculatedColumnFormula>
    </tableColumn>
    <tableColumn id="6" xr3:uid="{7A10B093-08A0-4955-A678-47B342940366}" name="Coût Plein (€)" dataDxfId="29">
      <calculatedColumnFormula>IF(F16="","",F16*G16)</calculatedColumnFormula>
    </tableColumn>
    <tableColumn id="7" xr3:uid="{0D4F331E-E5DE-4D78-8EE4-6B964BF0DB88}" name="Conso. (L/100km)" dataDxfId="28">
      <calculatedColumnFormula>IF(OR(D16="",D15="",F16="",ISTEXT(D15)),"",F16/(D16-D15)*100)</calculatedColumnFormula>
    </tableColumn>
    <tableColumn id="8" xr3:uid="{8C4BCB7E-42BC-494E-A304-19A9848326C2}" name="Prix S98 jour (€/L)" dataDxfId="2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2" dataDxfId="2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9" dataDxfId="18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1" t="s">
        <v>347</v>
      </c>
      <c r="B1" s="132"/>
    </row>
    <row r="2" spans="1:2" x14ac:dyDescent="0.25">
      <c r="A2" s="133" t="s">
        <v>348</v>
      </c>
      <c r="B2" s="132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150.52000000000001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tabSelected="1" zoomScale="70" zoomScaleNormal="70" workbookViewId="0">
      <selection activeCell="C19" sqref="C19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46164.921076388891</v>
      </c>
      <c r="B2" s="143">
        <v>46131.083333333336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345</v>
      </c>
      <c r="H2" s="99" t="s">
        <v>315</v>
      </c>
      <c r="I2" s="99"/>
      <c r="J2" s="99">
        <v>1.9730000000000001</v>
      </c>
      <c r="K2" s="99"/>
      <c r="L2" s="99"/>
      <c r="M2" s="99"/>
      <c r="N2" s="99"/>
      <c r="O2" s="99" t="s">
        <v>336</v>
      </c>
      <c r="P2" s="101"/>
    </row>
    <row r="3" spans="1:16" x14ac:dyDescent="0.25">
      <c r="A3" s="101">
        <v>46154</v>
      </c>
      <c r="B3" s="143">
        <v>46135.083333333336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345</v>
      </c>
      <c r="H3" s="99" t="s">
        <v>315</v>
      </c>
      <c r="I3" s="99"/>
      <c r="J3" s="99">
        <v>1.9259999999999999</v>
      </c>
      <c r="K3" s="99"/>
      <c r="L3" s="99"/>
      <c r="M3" s="99"/>
      <c r="N3" s="99"/>
      <c r="O3" s="99" t="s">
        <v>337</v>
      </c>
      <c r="P3" s="101"/>
    </row>
    <row r="4" spans="1:16" x14ac:dyDescent="0.25">
      <c r="A4" s="101">
        <v>46131</v>
      </c>
      <c r="B4" s="143">
        <v>46140.083333333336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346</v>
      </c>
      <c r="H4" s="99" t="s">
        <v>315</v>
      </c>
      <c r="I4" s="99"/>
      <c r="J4" s="99">
        <v>2.0310000000000001</v>
      </c>
      <c r="K4" s="99"/>
      <c r="L4" s="99"/>
      <c r="M4" s="99"/>
      <c r="N4" s="99"/>
      <c r="O4" s="99" t="s">
        <v>338</v>
      </c>
      <c r="P4" s="101"/>
    </row>
    <row r="5" spans="1:16" x14ac:dyDescent="0.25">
      <c r="A5" s="101">
        <v>46135</v>
      </c>
      <c r="B5" s="143">
        <v>46146.083333333336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335</v>
      </c>
      <c r="H5" s="99" t="s">
        <v>315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339</v>
      </c>
      <c r="P5" s="101"/>
    </row>
    <row r="6" spans="1:16" x14ac:dyDescent="0.25">
      <c r="A6" s="101">
        <v>46146</v>
      </c>
      <c r="B6" s="143">
        <v>46148.083333333336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335</v>
      </c>
      <c r="H6" s="99" t="s">
        <v>315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340</v>
      </c>
      <c r="P6" s="101"/>
    </row>
    <row r="7" spans="1:16" x14ac:dyDescent="0.25">
      <c r="A7" s="101">
        <v>46148</v>
      </c>
      <c r="B7" s="143">
        <v>46151.083333333336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335</v>
      </c>
      <c r="H7" s="99" t="s">
        <v>315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341</v>
      </c>
      <c r="P7" s="101"/>
    </row>
    <row r="8" spans="1:16" x14ac:dyDescent="0.25">
      <c r="A8" s="101">
        <v>46151</v>
      </c>
      <c r="B8" s="143">
        <v>46154.083333333336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335</v>
      </c>
      <c r="H8" s="99" t="s">
        <v>315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342</v>
      </c>
      <c r="P8" s="101"/>
    </row>
    <row r="9" spans="1:16" x14ac:dyDescent="0.25">
      <c r="A9" s="101">
        <v>46140</v>
      </c>
      <c r="B9" s="143">
        <v>46157.083333333336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335</v>
      </c>
      <c r="H9" s="99" t="s">
        <v>315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343</v>
      </c>
      <c r="P9" s="101"/>
    </row>
    <row r="10" spans="1:16" x14ac:dyDescent="0.25">
      <c r="A10" s="101">
        <v>46157</v>
      </c>
      <c r="B10" s="143">
        <v>46161.083333333336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344</v>
      </c>
      <c r="P10" s="101"/>
    </row>
    <row r="11" spans="1:16" x14ac:dyDescent="0.25">
      <c r="A11" s="101">
        <v>46161</v>
      </c>
      <c r="B11" s="143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335</v>
      </c>
      <c r="H11" s="99" t="s">
        <v>315</v>
      </c>
      <c r="I11" s="99">
        <v>0.79800000000000004</v>
      </c>
      <c r="J11" s="99"/>
      <c r="K11" s="99"/>
      <c r="L11" s="99"/>
      <c r="M11" s="99"/>
      <c r="N11" s="99"/>
      <c r="O11" s="99" t="s">
        <v>334</v>
      </c>
      <c r="P11" s="101"/>
    </row>
    <row r="12" spans="1:16" x14ac:dyDescent="0.25">
      <c r="A12" s="101">
        <v>46171.162939814814</v>
      </c>
      <c r="B12" s="143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conditionalFormatting sqref="F2:F12">
    <cfRule type="expression" dxfId="5" priority="1">
      <formula>AND($F2&lt;&gt;"",ISNUMBER($F2),$F2&lt;AVERAGEIFS(F:F,C:C,$C2,B:B,"&gt;="&amp;$B2-30,B:B," &lt;="&amp;$B2))</formula>
    </cfRule>
    <cfRule type="expression" dxfId="4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4" t="s">
        <v>370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ht="16.5" customHeight="1" x14ac:dyDescent="0.25">
      <c r="A2" s="135" t="s">
        <v>371</v>
      </c>
      <c r="B2" s="135"/>
      <c r="C2" s="135"/>
      <c r="D2" s="135"/>
      <c r="E2" s="135"/>
      <c r="F2" s="135"/>
      <c r="G2" s="135"/>
      <c r="H2" s="135"/>
      <c r="I2" s="135"/>
      <c r="J2" s="135"/>
    </row>
    <row r="3" spans="1:10" ht="6" customHeight="1" x14ac:dyDescent="0.25"/>
    <row r="4" spans="1:10" ht="24" customHeight="1" x14ac:dyDescent="0.25">
      <c r="A4" s="126" t="s">
        <v>1</v>
      </c>
      <c r="B4" s="126" t="s">
        <v>55</v>
      </c>
      <c r="C4" s="126" t="s">
        <v>308</v>
      </c>
      <c r="D4" s="126" t="s">
        <v>12</v>
      </c>
      <c r="E4" s="126" t="s">
        <v>372</v>
      </c>
      <c r="F4" s="126" t="s">
        <v>56</v>
      </c>
      <c r="G4" s="126" t="s">
        <v>57</v>
      </c>
      <c r="H4" s="126" t="s">
        <v>373</v>
      </c>
      <c r="I4" s="126" t="s">
        <v>365</v>
      </c>
      <c r="J4" s="126" t="s">
        <v>271</v>
      </c>
    </row>
    <row r="5" spans="1:10" x14ac:dyDescent="0.25">
      <c r="A5" s="144">
        <f>IFERROR(INDEX(GS_Pleins[Date],1),"")</f>
        <v>46131.083333333336</v>
      </c>
      <c r="B5" s="127" t="str">
        <f>IFERROR(INDEX(GS_Pleins[Type],1),"")</f>
        <v>Super 98</v>
      </c>
      <c r="C5" s="127" t="str">
        <f>IFERROR(INDEX(GS_Pleins[Vehicule],1),"")</f>
        <v>Z900</v>
      </c>
      <c r="D5" s="128">
        <f>IFERROR(INDEX(GS_Pleins[Km],1),"")</f>
        <v>9812</v>
      </c>
      <c r="E5" s="128"/>
      <c r="F5" s="129">
        <f>IFERROR(INDEX(GS_Pleins[Litres],1),"")</f>
        <v>11.4</v>
      </c>
      <c r="G5" s="130">
        <f>IFERROR(INDEX(GS_Pleins[PrixL],1),"")</f>
        <v>1.9730000000000001</v>
      </c>
      <c r="H5" s="129">
        <f>IFERROR($F5*$G5,"")</f>
        <v>22.4922</v>
      </c>
      <c r="I5" s="129" t="str">
        <f>IFERROR(IF(AND(ISNUMBER($E5),$E5&gt;0),$F5/$E5*100,""),"")</f>
        <v/>
      </c>
      <c r="J5" s="127" t="str">
        <f>IFERROR(INDEX(GS_Pleins[Station essence],1),"")</f>
        <v>Carrefour - Flers</v>
      </c>
    </row>
    <row r="6" spans="1:10" x14ac:dyDescent="0.25">
      <c r="A6" s="144">
        <f>IFERROR(INDEX(GS_Pleins[Date],2),"")</f>
        <v>46135.083333333336</v>
      </c>
      <c r="B6" s="127" t="str">
        <f>IFERROR(INDEX(GS_Pleins[Type],2),"")</f>
        <v>Super 98</v>
      </c>
      <c r="C6" s="127" t="str">
        <f>IFERROR(INDEX(GS_Pleins[Vehicule],2),"")</f>
        <v>Z900</v>
      </c>
      <c r="D6" s="128">
        <f>IFERROR(INDEX(GS_Pleins[Km],2),"")</f>
        <v>10094</v>
      </c>
      <c r="E6" s="128">
        <f>IFERROR(IF($C6=$C5,$D6-$D5,""),"")</f>
        <v>282</v>
      </c>
      <c r="F6" s="129">
        <f>IFERROR(INDEX(GS_Pleins[Litres],2),"")</f>
        <v>15.22</v>
      </c>
      <c r="G6" s="130">
        <f>IFERROR(INDEX(GS_Pleins[PrixL],2),"")</f>
        <v>1.9259999999999999</v>
      </c>
      <c r="H6" s="129">
        <f>IFERROR($F6*$G6,"")</f>
        <v>29.31372</v>
      </c>
      <c r="I6" s="129">
        <f>IFERROR(IF(AND(ISNUMBER($E6),$E6&gt;0),$F6/$E6*100,""),"")</f>
        <v>5.3971631205673765</v>
      </c>
      <c r="J6" s="127" t="str">
        <f>IFERROR(INDEX(GS_Pleins[Station essence],2),"")</f>
        <v>Carrefour - Flers</v>
      </c>
    </row>
    <row r="7" spans="1:10" x14ac:dyDescent="0.25">
      <c r="A7" s="144">
        <f>IFERROR(INDEX(GS_Pleins[Date],3),"")</f>
        <v>46140.083333333336</v>
      </c>
      <c r="B7" s="127" t="str">
        <f>IFERROR(INDEX(GS_Pleins[Type],3),"")</f>
        <v>Super 98</v>
      </c>
      <c r="C7" s="127" t="str">
        <f>IFERROR(INDEX(GS_Pleins[Vehicule],3),"")</f>
        <v>Z900</v>
      </c>
      <c r="D7" s="128">
        <f>IFERROR(INDEX(GS_Pleins[Km],3),"")</f>
        <v>10349</v>
      </c>
      <c r="E7" s="128">
        <f>IFERROR(IF($C7=$C6,$D7-$D6,""),"")</f>
        <v>255</v>
      </c>
      <c r="F7" s="129">
        <f>IFERROR(INDEX(GS_Pleins[Litres],3),"")</f>
        <v>13.75</v>
      </c>
      <c r="G7" s="130">
        <f>IFERROR(INDEX(GS_Pleins[PrixL],3),"")</f>
        <v>2.0310000000000001</v>
      </c>
      <c r="H7" s="129">
        <f>IFERROR($F7*$G7,"")</f>
        <v>27.926250000000003</v>
      </c>
      <c r="I7" s="129">
        <f>IFERROR(IF(AND(ISNUMBER($E7),$E7&gt;0),$F7/$E7*100,""),"")</f>
        <v>5.3921568627450984</v>
      </c>
      <c r="J7" s="127" t="str">
        <f>IFERROR(INDEX(GS_Pleins[Station essence],3),"")</f>
        <v>Leclerc - Douai</v>
      </c>
    </row>
    <row r="8" spans="1:10" x14ac:dyDescent="0.25">
      <c r="A8" s="144">
        <f>IFERROR(INDEX(GS_Pleins[Date],4),"")</f>
        <v>46146.083333333336</v>
      </c>
      <c r="B8" s="127" t="str">
        <f>IFERROR(INDEX(GS_Pleins[Type],4),"")</f>
        <v>SuperEthanol E85</v>
      </c>
      <c r="C8" s="127" t="str">
        <f>IFERROR(INDEX(GS_Pleins[Vehicule],4),"")</f>
        <v>Z900</v>
      </c>
      <c r="D8" s="128">
        <f>IFERROR(INDEX(GS_Pleins[Km],4),"")</f>
        <v>10553</v>
      </c>
      <c r="E8" s="128">
        <f>IFERROR(IF($C8=$C7,$D8-$D7,""),"")</f>
        <v>204</v>
      </c>
      <c r="F8" s="129">
        <f>IFERROR(INDEX(GS_Pleins[Litres],4),"")</f>
        <v>11.47</v>
      </c>
      <c r="G8" s="130">
        <f>IFERROR(INDEX(GS_Pleins[PrixL],4),"")</f>
        <v>0.80900000000000005</v>
      </c>
      <c r="H8" s="129">
        <f>IFERROR($F8*$G8,"")</f>
        <v>9.2792300000000019</v>
      </c>
      <c r="I8" s="129">
        <f>IFERROR(IF(AND(ISNUMBER($E8),$E8&gt;0),$F8/$E8*100,""),"")</f>
        <v>5.6225490196078436</v>
      </c>
      <c r="J8" s="127" t="str">
        <f>IFERROR(INDEX(GS_Pleins[Station essence],4),"")</f>
        <v>E.Leclerc - Beuvry</v>
      </c>
    </row>
    <row r="9" spans="1:10" x14ac:dyDescent="0.25">
      <c r="A9" s="144">
        <f>IFERROR(INDEX(GS_Pleins[Date],5),"")</f>
        <v>46148.083333333336</v>
      </c>
      <c r="B9" s="127" t="str">
        <f>IFERROR(INDEX(GS_Pleins[Type],5),"")</f>
        <v>SuperEthanol E85</v>
      </c>
      <c r="C9" s="127" t="str">
        <f>IFERROR(INDEX(GS_Pleins[Vehicule],5),"")</f>
        <v>Z900</v>
      </c>
      <c r="D9" s="128">
        <f>IFERROR(INDEX(GS_Pleins[Km],5),"")</f>
        <v>10749</v>
      </c>
      <c r="E9" s="128">
        <f>IFERROR(IF($C9=$C8,$D9-$D8,""),"")</f>
        <v>196</v>
      </c>
      <c r="F9" s="129">
        <f>IFERROR(INDEX(GS_Pleins[Litres],5),"")</f>
        <v>11.71</v>
      </c>
      <c r="G9" s="130">
        <f>IFERROR(INDEX(GS_Pleins[PrixL],5),"")</f>
        <v>0.747</v>
      </c>
      <c r="H9" s="129">
        <f>IFERROR($F9*$G9,"")</f>
        <v>8.7473700000000001</v>
      </c>
      <c r="I9" s="129">
        <f>IFERROR(IF(AND(ISNUMBER($E9),$E9&gt;0),$F9/$E9*100,""),"")</f>
        <v>5.9744897959183678</v>
      </c>
      <c r="J9" s="127" t="str">
        <f>IFERROR(INDEX(GS_Pleins[Station essence],5),"")</f>
        <v>E.Leclerc - Beuvry</v>
      </c>
    </row>
    <row r="10" spans="1:10" x14ac:dyDescent="0.25">
      <c r="A10" s="144">
        <f>IFERROR(INDEX(GS_Pleins[Date],6),"")</f>
        <v>46151.083333333336</v>
      </c>
      <c r="B10" s="127" t="str">
        <f>IFERROR(INDEX(GS_Pleins[Type],6),"")</f>
        <v>SuperEthanol E85</v>
      </c>
      <c r="C10" s="127" t="str">
        <f>IFERROR(INDEX(GS_Pleins[Vehicule],6),"")</f>
        <v>Z900</v>
      </c>
      <c r="D10" s="128">
        <f>IFERROR(INDEX(GS_Pleins[Km],6),"")</f>
        <v>10975</v>
      </c>
      <c r="E10" s="128">
        <f>IFERROR(IF($C10=$C9,$D10-$D9,""),"")</f>
        <v>226</v>
      </c>
      <c r="F10" s="129">
        <f>IFERROR(INDEX(GS_Pleins[Litres],6),"")</f>
        <v>15.28</v>
      </c>
      <c r="G10" s="130">
        <f>IFERROR(INDEX(GS_Pleins[PrixL],6),"")</f>
        <v>0.75700000000000001</v>
      </c>
      <c r="H10" s="129">
        <f>IFERROR($F10*$G10,"")</f>
        <v>11.56696</v>
      </c>
      <c r="I10" s="129">
        <f>IFERROR(IF(AND(ISNUMBER($E10),$E10&gt;0),$F10/$E10*100,""),"")</f>
        <v>6.7610619469026547</v>
      </c>
      <c r="J10" s="127" t="str">
        <f>IFERROR(INDEX(GS_Pleins[Station essence],6),"")</f>
        <v>E.Leclerc - Beuvry</v>
      </c>
    </row>
    <row r="11" spans="1:10" x14ac:dyDescent="0.25">
      <c r="A11" s="144">
        <f>IFERROR(INDEX(GS_Pleins[Date],7),"")</f>
        <v>46154.083333333336</v>
      </c>
      <c r="B11" s="127" t="str">
        <f>IFERROR(INDEX(GS_Pleins[Type],7),"")</f>
        <v>SuperEthanol E85</v>
      </c>
      <c r="C11" s="127" t="str">
        <f>IFERROR(INDEX(GS_Pleins[Vehicule],7),"")</f>
        <v>Z900</v>
      </c>
      <c r="D11" s="128">
        <f>IFERROR(INDEX(GS_Pleins[Km],7),"")</f>
        <v>11173</v>
      </c>
      <c r="E11" s="128">
        <f>IFERROR(IF($C11=$C10,$D11-$D10,""),"")</f>
        <v>198</v>
      </c>
      <c r="F11" s="129">
        <f>IFERROR(INDEX(GS_Pleins[Litres],7),"")</f>
        <v>13.94</v>
      </c>
      <c r="G11" s="130">
        <f>IFERROR(INDEX(GS_Pleins[PrixL],7),"")</f>
        <v>0.83499999999999996</v>
      </c>
      <c r="H11" s="129">
        <f>IFERROR($F11*$G11,"")</f>
        <v>11.639899999999999</v>
      </c>
      <c r="I11" s="129">
        <f>IFERROR(IF(AND(ISNUMBER($E11),$E11&gt;0),$F11/$E11*100,""),"")</f>
        <v>7.0404040404040398</v>
      </c>
      <c r="J11" s="127" t="str">
        <f>IFERROR(INDEX(GS_Pleins[Station essence],7),"")</f>
        <v>E.Leclerc - Beuvry</v>
      </c>
    </row>
    <row r="12" spans="1:10" x14ac:dyDescent="0.25">
      <c r="A12" s="144">
        <f>IFERROR(INDEX(GS_Pleins[Date],8),"")</f>
        <v>46157.083333333336</v>
      </c>
      <c r="B12" s="127" t="str">
        <f>IFERROR(INDEX(GS_Pleins[Type],8),"")</f>
        <v>SuperEthanol E85</v>
      </c>
      <c r="C12" s="127" t="str">
        <f>IFERROR(INDEX(GS_Pleins[Vehicule],8),"")</f>
        <v>Z900</v>
      </c>
      <c r="D12" s="128">
        <f>IFERROR(INDEX(GS_Pleins[Km],8),"")</f>
        <v>11376</v>
      </c>
      <c r="E12" s="128">
        <f>IFERROR(IF($C12=$C11,$D12-$D11,""),"")</f>
        <v>203</v>
      </c>
      <c r="F12" s="129">
        <f>IFERROR(INDEX(GS_Pleins[Litres],8),"")</f>
        <v>13.37</v>
      </c>
      <c r="G12" s="130">
        <f>IFERROR(INDEX(GS_Pleins[PrixL],8),"")</f>
        <v>0.71699999999999997</v>
      </c>
      <c r="H12" s="129">
        <f>IFERROR($F12*$G12,"")</f>
        <v>9.5862899999999982</v>
      </c>
      <c r="I12" s="129">
        <f>IFERROR(IF(AND(ISNUMBER($E12),$E12&gt;0),$F12/$E12*100,""),"")</f>
        <v>6.5862068965517233</v>
      </c>
      <c r="J12" s="127" t="str">
        <f>IFERROR(INDEX(GS_Pleins[Station essence],8),"")</f>
        <v>E.Leclerc - Beuvry</v>
      </c>
    </row>
    <row r="13" spans="1:10" x14ac:dyDescent="0.25">
      <c r="A13" s="144">
        <f>IFERROR(INDEX(GS_Pleins[Date],9),"")</f>
        <v>46161.083333333336</v>
      </c>
      <c r="B13" s="127" t="str">
        <f>IFERROR(INDEX(GS_Pleins[Type],9),"")</f>
        <v>SuperEthanol E85</v>
      </c>
      <c r="C13" s="127" t="str">
        <f>IFERROR(INDEX(GS_Pleins[Vehicule],9),"")</f>
        <v>Z900</v>
      </c>
      <c r="D13" s="128">
        <f>IFERROR(INDEX(GS_Pleins[Km],9),"")</f>
        <v>11596</v>
      </c>
      <c r="E13" s="128">
        <f>IFERROR(IF($C13=$C12,$D13-$D12,""),"")</f>
        <v>220</v>
      </c>
      <c r="F13" s="129">
        <f>IFERROR(INDEX(GS_Pleins[Litres],9),"")</f>
        <v>14.9</v>
      </c>
      <c r="G13" s="130">
        <f>IFERROR(INDEX(GS_Pleins[PrixL],9),"")</f>
        <v>0.79800000000000004</v>
      </c>
      <c r="H13" s="129">
        <f>IFERROR($F13*$G13,"")</f>
        <v>11.8902</v>
      </c>
      <c r="I13" s="129">
        <f>IFERROR(IF(AND(ISNUMBER($E13),$E13&gt;0),$F13/$E13*100,""),"")</f>
        <v>6.7727272727272734</v>
      </c>
      <c r="J13" s="127" t="str">
        <f>IFERROR(INDEX(GS_Pleins[Station essence],9),"")</f>
        <v>E.Leclerc - Beuvry</v>
      </c>
    </row>
    <row r="14" spans="1:10" x14ac:dyDescent="0.25">
      <c r="A14" s="144">
        <f>IFERROR(INDEX(GS_Pleins[Date],10),"")</f>
        <v>46164.083333333336</v>
      </c>
      <c r="B14" s="127" t="str">
        <f>IFERROR(INDEX(GS_Pleins[Type],10),"")</f>
        <v>SuperEthanol E85</v>
      </c>
      <c r="C14" s="127" t="str">
        <f>IFERROR(INDEX(GS_Pleins[Vehicule],10),"")</f>
        <v>Z900</v>
      </c>
      <c r="D14" s="128">
        <f>IFERROR(INDEX(GS_Pleins[Km],10),"")</f>
        <v>11831</v>
      </c>
      <c r="E14" s="128">
        <f>IFERROR(IF($C14=$C13,$D14-$D13,""),"")</f>
        <v>235</v>
      </c>
      <c r="F14" s="129">
        <f>IFERROR(INDEX(GS_Pleins[Litres],10),"")</f>
        <v>16.25</v>
      </c>
      <c r="G14" s="130">
        <f>IFERROR(INDEX(GS_Pleins[PrixL],10),"")</f>
        <v>0.79800000000000004</v>
      </c>
      <c r="H14" s="129">
        <f>IFERROR($F14*$G14,"")</f>
        <v>12.967500000000001</v>
      </c>
      <c r="I14" s="129">
        <f>IFERROR(IF(AND(ISNUMBER($E14),$E14&gt;0),$F14/$E14*100,""),"")</f>
        <v>6.9148936170212769</v>
      </c>
      <c r="J14" s="127" t="str">
        <f>IFERROR(INDEX(GS_Pleins[Station essence],10),"")</f>
        <v>E.Leclerc - Beuvry</v>
      </c>
    </row>
    <row r="15" spans="1:10" x14ac:dyDescent="0.25">
      <c r="A15" s="144">
        <f>IFERROR(INDEX(GS_Pleins[Date],11),"")</f>
        <v>46170.083333333336</v>
      </c>
      <c r="B15" s="127" t="str">
        <f>IFERROR(INDEX(GS_Pleins[Type],11),"")</f>
        <v>SuperEthanol E85</v>
      </c>
      <c r="C15" s="127" t="str">
        <f>IFERROR(INDEX(GS_Pleins[Vehicule],11),"")</f>
        <v>Z900</v>
      </c>
      <c r="D15" s="128">
        <f>IFERROR(INDEX(GS_Pleins[Km],11),"")</f>
        <v>12041</v>
      </c>
      <c r="E15" s="128">
        <f>IFERROR(IF($C15=$C14,$D15-$D14,""),"")</f>
        <v>210</v>
      </c>
      <c r="F15" s="129">
        <f>IFERROR(INDEX(GS_Pleins[Litres],11),"")</f>
        <v>13.23</v>
      </c>
      <c r="G15" s="130">
        <f>IFERROR(INDEX(GS_Pleins[PrixL],11),"")</f>
        <v>0.84899999999999998</v>
      </c>
      <c r="H15" s="129">
        <f>IFERROR($F15*$G15,"")</f>
        <v>11.23227</v>
      </c>
      <c r="I15" s="129">
        <f>IFERROR(IF(AND(ISNUMBER($E15),$E15&gt;0),$F15/$E15*100,""),"")</f>
        <v>6.3</v>
      </c>
      <c r="J15" s="127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O31" sqref="O3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7" t="s">
        <v>72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6.4965415736416467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15.475070705564583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0.20425412976715074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105.7995381736649</v>
      </c>
      <c r="C10" s="8" t="s">
        <v>104</v>
      </c>
      <c r="D10" s="4"/>
      <c r="E10" s="4"/>
      <c r="F10" s="4"/>
      <c r="G10" s="136" t="s">
        <v>107</v>
      </c>
      <c r="H10" s="136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408.74046182633504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0.20561965672963212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46170</v>
      </c>
      <c r="C26" s="64" t="s">
        <v>100</v>
      </c>
      <c r="D26" s="65">
        <v>12041</v>
      </c>
      <c r="E26" s="65">
        <f>IF(AND(ISNUMBER(D25),Tableau2[[#This Row],[Km compteur]]&lt;&gt;""),Tableau2[[#This Row],[Km compteur]]-D25,"")</f>
        <v>210</v>
      </c>
      <c r="F26" s="66">
        <v>13.23</v>
      </c>
      <c r="G26" s="67">
        <v>0.84899999999999998</v>
      </c>
      <c r="H26" s="78">
        <f>IF(OR(D26="",D25="",I26="",ISTEXT(D25)),"",F26/(D26-D25)*100)</f>
        <v>6.3</v>
      </c>
      <c r="I26" s="54">
        <f>IF(F26="","",F26*G26)</f>
        <v>11.23227</v>
      </c>
      <c r="J26" s="55">
        <f>IF(OR(D26="",D25="",F26="",ISTEXT(D25)),"",F26/(D26-D25)*100)</f>
        <v>6.3</v>
      </c>
      <c r="K26" s="68">
        <v>2.1789999999999998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80" t="s">
        <v>345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5" t="s">
        <v>15</v>
      </c>
      <c r="B28" s="6"/>
      <c r="C28" s="6"/>
      <c r="D28" s="6"/>
      <c r="E28" s="6"/>
      <c r="F28" s="4"/>
      <c r="G28" s="16" t="s">
        <v>19</v>
      </c>
      <c r="H28" s="17"/>
      <c r="I28" s="17"/>
      <c r="J28" s="17"/>
      <c r="K28" s="17"/>
      <c r="L28" s="17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7" t="s">
        <v>67</v>
      </c>
      <c r="B29" s="9">
        <f>COUNTIF(C16:C26,"SuperEthanol E85")</f>
        <v>8</v>
      </c>
      <c r="C29" s="9"/>
      <c r="D29" s="9"/>
      <c r="E29" s="9"/>
      <c r="F29" s="4"/>
      <c r="G29" s="18" t="s">
        <v>20</v>
      </c>
      <c r="H29" s="18"/>
      <c r="I29" s="18"/>
      <c r="J29" s="69">
        <f>SUM(L16:L26)</f>
        <v>192.70925817366492</v>
      </c>
      <c r="K29" s="18"/>
      <c r="L29" s="18"/>
      <c r="M29" s="8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10" t="s">
        <v>66</v>
      </c>
      <c r="B30" s="21">
        <f>COUNTIF(C16:C26,"Super 98")</f>
        <v>3</v>
      </c>
      <c r="C30" s="11"/>
      <c r="D30" s="11"/>
      <c r="E30" s="11"/>
      <c r="F30" s="4"/>
      <c r="G30" s="19" t="s">
        <v>22</v>
      </c>
      <c r="H30" s="19"/>
      <c r="I30" s="19"/>
      <c r="J30" s="70">
        <f>IF(J29=0,"",J29-B35)</f>
        <v>105.79953817366493</v>
      </c>
      <c r="K30" s="19"/>
      <c r="L30" s="19"/>
      <c r="M30" s="8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16</v>
      </c>
      <c r="B31" s="22">
        <f>IF(COUNTA(D16:D26)&lt;2,"",MAX(D16:D26)-MIN(D16:D26))</f>
        <v>2229</v>
      </c>
      <c r="C31" s="12"/>
      <c r="D31" s="12"/>
      <c r="E31" s="12"/>
      <c r="F31" s="4"/>
      <c r="G31" s="20" t="s">
        <v>24</v>
      </c>
      <c r="H31" s="18"/>
      <c r="I31" s="18"/>
      <c r="J31" s="71">
        <f>IF(J30="","",J30-B5)</f>
        <v>-408.74046182633504</v>
      </c>
      <c r="K31" s="18"/>
      <c r="L31" s="18"/>
      <c r="M31" s="8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61" t="s">
        <v>182</v>
      </c>
      <c r="B32" s="62">
        <f>IFERROR((LOOKUP(9.99999999999999E+307,Tableau2[Km compteur])-INDEX(Tableau2[Km compteur],1))/(LOOKUP(9.99999999999999E+307,Tableau2[Date])-INDEX(Tableau2[Date],1))*7,"-")</f>
        <v>400.07692307692309</v>
      </c>
      <c r="C32" s="11"/>
      <c r="D32" s="11"/>
      <c r="E32" s="11"/>
      <c r="F32" s="4"/>
      <c r="G32" s="19" t="s">
        <v>26</v>
      </c>
      <c r="H32" s="19"/>
      <c r="I32" s="19"/>
      <c r="J32" s="72">
        <f>IF(OR(B5="",B5=0,J30=""),"",MIN(J30/B5,1))</f>
        <v>0.20561965672963217</v>
      </c>
      <c r="K32" s="19"/>
      <c r="L32" s="19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183</v>
      </c>
      <c r="B33" s="60">
        <f>IFERROR((LOOKUP(9.99999999999999E+307,Tableau2[Km compteur])-INDEX(Tableau2[Km compteur],1))/(LOOKUP(9.99999999999999E+307,Tableau2[Date])-INDEX(Tableau2[Date],1))*30.4375,"-")</f>
        <v>1739.6201923076924</v>
      </c>
      <c r="C33" s="12"/>
      <c r="D33" s="12"/>
      <c r="E33" s="12"/>
      <c r="F33" s="4"/>
      <c r="G33" s="18" t="s">
        <v>27</v>
      </c>
      <c r="H33" s="18"/>
      <c r="I33" s="18"/>
      <c r="J33" s="18" t="str">
        <f>IF(J31="","",IF(J31&gt;=0,"✅ OUI ! Rentabilisé !","❌ Pas encore... Encore "&amp;TEXT(ABS(J31),"#,##")&amp;" € à économiser"))</f>
        <v>❌ Pas encore... Encore 408,74 € à économiser</v>
      </c>
      <c r="K33" s="18"/>
      <c r="L33" s="18"/>
      <c r="M33" s="4"/>
    </row>
    <row r="34" spans="1:27" x14ac:dyDescent="0.25">
      <c r="A34" s="10" t="s">
        <v>17</v>
      </c>
      <c r="B34" s="23">
        <f>SUMIF(C16:C26,"SuperEthanol E85",F16:F26)</f>
        <v>110.15</v>
      </c>
      <c r="C34" s="13"/>
      <c r="D34" s="13"/>
      <c r="E34" s="13"/>
      <c r="F34" s="4"/>
      <c r="G34" s="73"/>
      <c r="H34" s="73"/>
      <c r="I34" s="73"/>
      <c r="J34" s="73"/>
      <c r="K34" s="73"/>
      <c r="L34" s="73"/>
      <c r="M34" s="4"/>
    </row>
    <row r="35" spans="1:27" x14ac:dyDescent="0.25">
      <c r="A35" s="7" t="s">
        <v>18</v>
      </c>
      <c r="B35" s="24">
        <f>SUMIF(C16:C26,"SuperEthanol E85",I16:I26)</f>
        <v>86.909719999999993</v>
      </c>
      <c r="C35" s="12"/>
      <c r="D35" s="12"/>
      <c r="E35" s="12"/>
      <c r="F35" s="4"/>
      <c r="G35" s="18" t="s">
        <v>40</v>
      </c>
      <c r="H35" s="18"/>
      <c r="I35" s="18"/>
      <c r="J35" s="75">
        <f>IF(OR(J30="",B31="",B31=0),"",J30/B31*100)</f>
        <v>4.7465023855390278</v>
      </c>
      <c r="K35" s="18"/>
      <c r="L35" s="18"/>
      <c r="M35" s="4"/>
    </row>
    <row r="36" spans="1:27" x14ac:dyDescent="0.25">
      <c r="A36" s="10" t="s">
        <v>60</v>
      </c>
      <c r="B36" s="23">
        <f>IFERROR(AVERAGEIFS(J16:J26,C16:C26,"SuperEthanol E85"),"")</f>
        <v>6.4965415736416467</v>
      </c>
      <c r="C36" s="14"/>
      <c r="D36" s="14"/>
      <c r="E36" s="14"/>
      <c r="F36" s="4"/>
      <c r="G36" s="19" t="s">
        <v>184</v>
      </c>
      <c r="H36" s="19"/>
      <c r="I36" s="19"/>
      <c r="J36" s="74">
        <f>IF(OR(J35="",J35&lt;=0,J31=""),"",IF(J31&gt;=0,0,ROUNDUP(ABS(J31)/J35*100,0)))</f>
        <v>8612</v>
      </c>
      <c r="K36" s="19"/>
      <c r="L36" s="19"/>
      <c r="M36" s="4"/>
    </row>
    <row r="37" spans="1:27" x14ac:dyDescent="0.25">
      <c r="A37" s="7" t="s">
        <v>61</v>
      </c>
      <c r="B37" s="12">
        <f>IFERROR(AVERAGEIFS(J16:J26,C16:C26,"Super 98"),"")</f>
        <v>5.394659991656237</v>
      </c>
      <c r="C37" s="15"/>
      <c r="D37" s="15"/>
      <c r="E37" s="15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43" priority="2">
      <formula>AND($C16="SuperEthanol E85",$K16="")</formula>
    </cfRule>
  </conditionalFormatting>
  <conditionalFormatting sqref="G16:G26">
    <cfRule type="expression" dxfId="3" priority="3">
      <formula>AND($G16&lt;&gt;"",ISNUMBER($G16),$G16&lt;AVERAGEIFS(G:G,C:C,$C16,G:G,"&gt;="&amp;$G16-30,G:G," &lt;="&amp;$G16))</formula>
    </cfRule>
    <cfRule type="expression" dxfId="2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8" t="s">
        <v>296</v>
      </c>
      <c r="C2" s="139"/>
      <c r="D2" s="139"/>
      <c r="E2" s="139"/>
      <c r="F2" s="139"/>
      <c r="G2" s="139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40" t="s">
        <v>316</v>
      </c>
      <c r="C4" s="139"/>
      <c r="D4" s="139"/>
      <c r="E4" s="139"/>
      <c r="F4" s="139"/>
      <c r="G4" s="139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>IFERROR(AVERAGEIF(GS_Pleins[Station essence],$B6,GS_Pleins[E85 station]),"")</f>
        <v>0.84899999999999998</v>
      </c>
      <c r="D6" s="89">
        <f>IFERROR(AVERAGEIF(GS_Pleins[Station essence],$B6,GS_Pleins[SP98 station]),"")</f>
        <v>2.0259999999999998</v>
      </c>
      <c r="E6" s="89">
        <f>IFERROR(AVERAGEIF(GS_Pleins[Station essence],$B6,GS_Pleins[SP95 station]),"")</f>
        <v>2.089</v>
      </c>
      <c r="F6" s="89">
        <f>IFERROR(AVERAGEIF(GS_Pleins[Station essence],$B6,GS_Pleins[E10 station]),"")</f>
        <v>2.0390000000000001</v>
      </c>
      <c r="G6" s="89">
        <f>IFERROR(AVERAGEIF(GS_Pleins[Station essence],$B6,GS_Pleins[Gazole station]),"")</f>
        <v>2.0990000000000002</v>
      </c>
      <c r="H6" s="89">
        <f>IFERROR(AVERAGEIF(GS_Pleins[Station essence],$B6,GS_Pleins[GPLc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>IFERROR(AVERAGEIF(GS_Pleins[Station essence],$B7,GS_Pleins[E85 station]),"")</f>
        <v>0.78014285714285714</v>
      </c>
      <c r="D7" s="89">
        <f>IFERROR(AVERAGEIF(GS_Pleins[Station essence],$B7,GS_Pleins[SP98 station]),"")</f>
        <v>2.0926666666666667</v>
      </c>
      <c r="E7" s="89" t="str">
        <f>IFERROR(AVERAGEIF(GS_Pleins[Station essence],$B7,GS_Pleins[SP95 station]),"")</f>
        <v/>
      </c>
      <c r="F7" s="89" t="str">
        <f>IFERROR(AVERAGEIF(GS_Pleins[Station essence],$B7,GS_Pleins[E10 station]),"")</f>
        <v/>
      </c>
      <c r="G7" s="89" t="str">
        <f>IFERROR(AVERAGEIF(GS_Pleins[Station essence],$B7,GS_Pleins[Gazole station]),"")</f>
        <v/>
      </c>
      <c r="H7" s="89" t="str">
        <f>IFERROR(AVERAGEIF(GS_Pleins[Station essence],$B7,GS_Pleins[GPLc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 t="str">
        <f>IFERROR(AVERAGEIF(GS_Pleins[Station essence],$B8,GS_Pleins[E85 station]),"")</f>
        <v/>
      </c>
      <c r="D8" s="89">
        <f>IFERROR(AVERAGEIF(GS_Pleins[Station essence],$B8,GS_Pleins[SP98 station]),"")</f>
        <v>2.0310000000000001</v>
      </c>
      <c r="E8" s="89" t="str">
        <f>IFERROR(AVERAGEIF(GS_Pleins[Station essence],$B8,GS_Pleins[SP95 station]),"")</f>
        <v/>
      </c>
      <c r="F8" s="89" t="str">
        <f>IFERROR(AVERAGEIF(GS_Pleins[Station essence],$B8,GS_Pleins[E10 station]),"")</f>
        <v/>
      </c>
      <c r="G8" s="89" t="str">
        <f>IFERROR(AVERAGEIF(GS_Pleins[Station essence],$B8,GS_Pleins[Gazole station]),"")</f>
        <v/>
      </c>
      <c r="H8" s="89" t="str">
        <f>IFERROR(AVERAGEIF(GS_Pleins[Station essence],$B8,GS_Pleins[GPLc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>IFERROR(AVERAGEIF(GS_Pleins[Station essence],$B9,GS_Pleins[E85 station]),"")</f>
        <v/>
      </c>
      <c r="D9" s="89" t="str">
        <f>IFERROR(AVERAGEIF(GS_Pleins[Station essence],$B9,GS_Pleins[SP98 station]),"")</f>
        <v/>
      </c>
      <c r="E9" s="89" t="str">
        <f>IFERROR(AVERAGEIF(GS_Pleins[Station essence],$B9,GS_Pleins[SP95 station]),"")</f>
        <v/>
      </c>
      <c r="F9" s="89" t="str">
        <f>IFERROR(AVERAGEIF(GS_Pleins[Station essence],$B9,GS_Pleins[E10 station]),"")</f>
        <v/>
      </c>
      <c r="G9" s="89" t="str">
        <f>IFERROR(AVERAGEIF(GS_Pleins[Station essence],$B9,GS_Pleins[Gazole station]),"")</f>
        <v/>
      </c>
      <c r="H9" s="89" t="str">
        <f>IFERROR(AVERAGEIF(GS_Pleins[Station essence],$B9,GS_Pleins[GPLc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>IFERROR(AVERAGEIF(GS_Pleins[Station essence],$B10,GS_Pleins[E85 station]),"")</f>
        <v/>
      </c>
      <c r="D10" s="89" t="str">
        <f>IFERROR(AVERAGEIF(GS_Pleins[Station essence],$B10,GS_Pleins[SP98 station]),"")</f>
        <v/>
      </c>
      <c r="E10" s="89" t="str">
        <f>IFERROR(AVERAGEIF(GS_Pleins[Station essence],$B10,GS_Pleins[SP95 station]),"")</f>
        <v/>
      </c>
      <c r="F10" s="89" t="str">
        <f>IFERROR(AVERAGEIF(GS_Pleins[Station essence],$B10,GS_Pleins[E10 station]),"")</f>
        <v/>
      </c>
      <c r="G10" s="89" t="str">
        <f>IFERROR(AVERAGEIF(GS_Pleins[Station essence],$B10,GS_Pleins[Gazole station]),"")</f>
        <v/>
      </c>
      <c r="H10" s="89" t="str">
        <f>IFERROR(AVERAGEIF(GS_Pleins[Station essence],$B10,GS_Pleins[GPLc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>IFERROR(AVERAGEIF(GS_Pleins[Station essence],$B11,GS_Pleins[E85 station]),"")</f>
        <v/>
      </c>
      <c r="D11" s="89" t="str">
        <f>IFERROR(AVERAGEIF(GS_Pleins[Station essence],$B11,GS_Pleins[SP98 station]),"")</f>
        <v/>
      </c>
      <c r="E11" s="89" t="str">
        <f>IFERROR(AVERAGEIF(GS_Pleins[Station essence],$B11,GS_Pleins[SP95 station]),"")</f>
        <v/>
      </c>
      <c r="F11" s="89" t="str">
        <f>IFERROR(AVERAGEIF(GS_Pleins[Station essence],$B11,GS_Pleins[E10 station]),"")</f>
        <v/>
      </c>
      <c r="G11" s="89" t="str">
        <f>IFERROR(AVERAGEIF(GS_Pleins[Station essence],$B11,GS_Pleins[Gazole station]),"")</f>
        <v/>
      </c>
      <c r="H11" s="89" t="str">
        <f>IFERROR(AVERAGEIF(GS_Pleins[Station essence],$B11,GS_Pleins[GPLc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>IFERROR(AVERAGEIF(GS_Pleins[Station essence],$B12,GS_Pleins[E85 station]),"")</f>
        <v/>
      </c>
      <c r="D12" s="89" t="str">
        <f>IFERROR(AVERAGEIF(GS_Pleins[Station essence],$B12,GS_Pleins[SP98 station]),"")</f>
        <v/>
      </c>
      <c r="E12" s="89" t="str">
        <f>IFERROR(AVERAGEIF(GS_Pleins[Station essence],$B12,GS_Pleins[SP95 station]),"")</f>
        <v/>
      </c>
      <c r="F12" s="89" t="str">
        <f>IFERROR(AVERAGEIF(GS_Pleins[Station essence],$B12,GS_Pleins[E10 station]),"")</f>
        <v/>
      </c>
      <c r="G12" s="89" t="str">
        <f>IFERROR(AVERAGEIF(GS_Pleins[Station essence],$B12,GS_Pleins[Gazole station]),"")</f>
        <v/>
      </c>
      <c r="H12" s="89" t="str">
        <f>IFERROR(AVERAGEIF(GS_Pleins[Station essence],$B12,GS_Pleins[GPLc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>IFERROR(AVERAGEIF(GS_Pleins[Station essence],$B13,GS_Pleins[E85 station]),"")</f>
        <v/>
      </c>
      <c r="D13" s="89" t="str">
        <f>IFERROR(AVERAGEIF(GS_Pleins[Station essence],$B13,GS_Pleins[SP98 station]),"")</f>
        <v/>
      </c>
      <c r="E13" s="89" t="str">
        <f>IFERROR(AVERAGEIF(GS_Pleins[Station essence],$B13,GS_Pleins[SP95 station]),"")</f>
        <v/>
      </c>
      <c r="F13" s="89" t="str">
        <f>IFERROR(AVERAGEIF(GS_Pleins[Station essence],$B13,GS_Pleins[E10 station]),"")</f>
        <v/>
      </c>
      <c r="G13" s="89" t="str">
        <f>IFERROR(AVERAGEIF(GS_Pleins[Station essence],$B13,GS_Pleins[Gazole station]),"")</f>
        <v/>
      </c>
      <c r="H13" s="89" t="str">
        <f>IFERROR(AVERAGEIF(GS_Pleins[Station essence],$B13,GS_Pleins[GPLc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>IFERROR(AVERAGEIF(GS_Pleins[Station essence],$B14,GS_Pleins[E85 station]),"")</f>
        <v/>
      </c>
      <c r="D14" s="89" t="str">
        <f>IFERROR(AVERAGEIF(GS_Pleins[Station essence],$B14,GS_Pleins[SP98 station]),"")</f>
        <v/>
      </c>
      <c r="E14" s="89" t="str">
        <f>IFERROR(AVERAGEIF(GS_Pleins[Station essence],$B14,GS_Pleins[SP95 station]),"")</f>
        <v/>
      </c>
      <c r="F14" s="89" t="str">
        <f>IFERROR(AVERAGEIF(GS_Pleins[Station essence],$B14,GS_Pleins[E10 station]),"")</f>
        <v/>
      </c>
      <c r="G14" s="89" t="str">
        <f>IFERROR(AVERAGEIF(GS_Pleins[Station essence],$B14,GS_Pleins[Gazole station]),"")</f>
        <v/>
      </c>
      <c r="H14" s="89" t="str">
        <f>IFERROR(AVERAGEIF(GS_Pleins[Station essence],$B14,GS_Pleins[GPLc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>IFERROR(AVERAGEIF(GS_Pleins[Station essence],$B15,GS_Pleins[E85 station]),"")</f>
        <v/>
      </c>
      <c r="D15" s="89" t="str">
        <f>IFERROR(AVERAGEIF(GS_Pleins[Station essence],$B15,GS_Pleins[SP98 station]),"")</f>
        <v/>
      </c>
      <c r="E15" s="89" t="str">
        <f>IFERROR(AVERAGEIF(GS_Pleins[Station essence],$B15,GS_Pleins[SP95 station]),"")</f>
        <v/>
      </c>
      <c r="F15" s="89" t="str">
        <f>IFERROR(AVERAGEIF(GS_Pleins[Station essence],$B15,GS_Pleins[E10 station]),"")</f>
        <v/>
      </c>
      <c r="G15" s="89" t="str">
        <f>IFERROR(AVERAGEIF(GS_Pleins[Station essence],$B15,GS_Pleins[Gazole station]),"")</f>
        <v/>
      </c>
      <c r="H15" s="89" t="str">
        <f>IFERROR(AVERAGEIF(GS_Pleins[Station essence],$B15,GS_Pleins[GPLc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>IFERROR(AVERAGEIF(GS_Pleins[Station essence],$B16,GS_Pleins[E85 station]),"")</f>
        <v/>
      </c>
      <c r="D16" s="89" t="str">
        <f>IFERROR(AVERAGEIF(GS_Pleins[Station essence],$B16,GS_Pleins[SP98 station]),"")</f>
        <v/>
      </c>
      <c r="E16" s="89" t="str">
        <f>IFERROR(AVERAGEIF(GS_Pleins[Station essence],$B16,GS_Pleins[SP95 station]),"")</f>
        <v/>
      </c>
      <c r="F16" s="89" t="str">
        <f>IFERROR(AVERAGEIF(GS_Pleins[Station essence],$B16,GS_Pleins[E10 station]),"")</f>
        <v/>
      </c>
      <c r="G16" s="89" t="str">
        <f>IFERROR(AVERAGEIF(GS_Pleins[Station essence],$B16,GS_Pleins[Gazole station]),"")</f>
        <v/>
      </c>
      <c r="H16" s="89" t="str">
        <f>IFERROR(AVERAGEIF(GS_Pleins[Station essence],$B16,GS_Pleins[GPLc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41" t="s">
        <v>304</v>
      </c>
      <c r="C19" s="142"/>
      <c r="D19" s="142"/>
      <c r="E19" s="142"/>
      <c r="F19" s="142"/>
      <c r="G19" s="142"/>
    </row>
    <row r="20" spans="2:9" ht="18" customHeight="1" x14ac:dyDescent="0.25">
      <c r="B20" s="141"/>
      <c r="C20" s="142"/>
      <c r="D20" s="142"/>
      <c r="E20" s="142"/>
      <c r="F20" s="142"/>
      <c r="G20" s="142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2026-05-30T03:50:13Z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