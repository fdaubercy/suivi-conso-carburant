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66252941-1785-4A10-A00E-BB630E7B12A5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/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H21" i="8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<sst xmlns="http://schemas.openxmlformats.org/spreadsheetml/2006/main" count="517" uniqueCount="374">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</sst>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/>
      <bottom style="thin">
        <color rgb="FFE2E8F0"/>
      </bottom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thin">
        <color rgb="FFE2E8F0"/>
      </left>
      <right/>
      <top/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/>
      <diagonal/>
    </border>
    <border>
      <left style="thin">
        <color rgb="FFE2E8F0"/>
      </left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4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1" fillId="22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85" fontId="0" fillId="0" borderId="12" xfId="0" applyNumberFormat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186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186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185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62">
    <dxf>
      <numFmt numFmtId="27" formatCode="dd/mm/yyyy\ hh:mm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2E75B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/>
        <top style="thin">
          <color rgb="FFE2E8F0"/>
        </top>
        <bottom style="thin">
          <color rgb="FFE2E8F0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185" formatCode="0.00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numFmt numFmtId="186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rgb="FFE2E8F0"/>
        </right>
        <top style="thin">
          <color rgb="FFE2E8F0"/>
        </top>
        <bottom style="thin">
          <color rgb="FFE2E8F0"/>
        </bottom>
        <vertical/>
        <horizontal/>
      </border>
    </dxf>
    <dxf>
      <border outline="0">
        <top style="thin">
          <color rgb="FFE2E8F0"/>
        </top>
      </border>
    </dxf>
    <dxf>
      <border outline="0">
        <bottom style="thin">
          <color rgb="FFE2E8F0"/>
        </bottom>
      </border>
    </dxf>
    <dxf>
      <border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1</xdr:row>
      <xdr:rowOff>50800</xdr:rowOff>
    </xdr:from>
    <xdr:to>
      <xdr:col>9</xdr:col>
      <xdr:colOff>1504949</xdr:colOff>
      <xdr:row>2</xdr:row>
      <xdr:rowOff>9525</xdr:rowOff>
    </xdr:to>
    <xdr:sp macro="CreerSuiviAut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ECF697A-5AEA-45FE-7124-B03D8E98D02F}"/>
            </a:ext>
          </a:extLst>
        </xdr:cNvPr>
        <xdr:cNvSpPr/>
      </xdr:nvSpPr>
      <xdr:spPr>
        <a:xfrm>
          <a:off x="7115174" y="431800"/>
          <a:ext cx="1419225" cy="254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</a:t>
          </a:r>
          <a:r>
            <a:rPr lang="fr-FR" sz="1200">
              <a:solidFill>
                <a:srgbClr val="FFFFFF"/>
              </a:solidFill>
            </a:rPr>
            <a:t>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61" dataDxfId="60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21"/>
    <tableColumn id="2" xr3:uid="{6AFDA1AD-8B7E-4056-B820-4B105507BC22}" uniqueName="2" name="Date" queryTableFieldId="2" dataDxfId="19"/>
    <tableColumn id="3" xr3:uid="{0E3159AD-DEC3-4CB0-8263-673EE4364DE4}" uniqueName="3" name="Type" queryTableFieldId="3" dataDxfId="20"/>
    <tableColumn id="4" xr3:uid="{9CA1100B-4402-4A99-881C-A70EA8E0EBA0}" uniqueName="4" name="Km" queryTableFieldId="4" dataDxfId="59"/>
    <tableColumn id="5" xr3:uid="{3DC79D37-A57D-45A6-B68B-28F91AE90D1B}" uniqueName="5" name="Litres" queryTableFieldId="5" dataDxfId="58"/>
    <tableColumn id="6" xr3:uid="{E20F9B47-933F-4695-AC5B-7BFCB43AA70B}" uniqueName="6" name="PrixL" queryTableFieldId="6" dataDxfId="57"/>
    <tableColumn id="8" xr3:uid="{1810D7F1-75C0-4692-B633-9344880F4391}" uniqueName="8" name="Station essence" queryTableFieldId="8" dataDxfId="56"/>
    <tableColumn id="9" xr3:uid="{B958E2B1-5DEB-4CEF-B30E-3537BD55A8E8}" uniqueName="9" name="Vehicule" queryTableFieldId="9" dataDxfId="55"/>
    <tableColumn id="10" xr3:uid="{7955E5A1-C834-43AD-B7C1-739EA1C9FB0B}" uniqueName="10" name="E85 station" queryTableFieldId="10" dataDxfId="54"/>
    <tableColumn id="11" xr3:uid="{168A26EB-A626-4924-B067-7D0EE30B248F}" uniqueName="11" name="SP98 station" queryTableFieldId="11" dataDxfId="53"/>
    <tableColumn id="12" xr3:uid="{18AADF40-972E-454B-9FD3-FD2D10CCF4B9}" uniqueName="12" name="SP95 station" queryTableFieldId="12" dataDxfId="52"/>
    <tableColumn id="13" xr3:uid="{A1195D38-1809-462B-9D20-AE18F43CBC4B}" uniqueName="13" name="E10 station" queryTableFieldId="13" dataDxfId="51"/>
    <tableColumn id="14" xr3:uid="{9F059A0B-5171-4FB9-8BF4-0CBD57021E52}" uniqueName="14" name="Gazole station" queryTableFieldId="14" dataDxfId="50"/>
    <tableColumn id="15" xr3:uid="{BE30AC6F-80E2-4B6C-B72A-506C9FC60853}" uniqueName="15" name="GPLc station" queryTableFieldId="15" dataDxfId="49"/>
    <tableColumn id="16" xr3:uid="{DD5EAF57-67B9-4006-88AF-5A82745A6E1D}" uniqueName="16" name="sync_id" queryTableFieldId="16" dataDxfId="18"/>
    <tableColumn id="7" xr3:uid="{217649AA-00FB-44C2-B916-78329111BFA4}" uniqueName="7" name="Modifie_local" queryTableFieldId="18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AAF972-CD0D-4C68-9CBA-D9DAAEE0DF85}" name="Tableau8" displayName="Tableau8" ref="A4:J15" totalsRowShown="0" headerRowDxfId="2" dataDxfId="3" headerRowBorderDxfId="15" tableBorderDxfId="16" totalsRowBorderDxfId="14">
  <autoFilter ref="A4:J15" xr:uid="{67AAF972-CD0D-4C68-9CBA-D9DAAEE0DF85}"/>
  <tableColumns count="10">
    <tableColumn id="1" xr3:uid="{EE13C082-37D1-4DEA-B62A-48D82AB97080}" name="Date" dataDxfId="13"/>
    <tableColumn id="2" xr3:uid="{00970C13-D7E5-4E27-A4AD-528FD26ACC21}" name="Type" dataDxfId="12"/>
    <tableColumn id="3" xr3:uid="{642FA84C-47E3-4875-B822-C819000BFB1F}" name="Vehicule" dataDxfId="11"/>
    <tableColumn id="4" xr3:uid="{45A72944-9EBC-4842-9882-0F6F7FFE731A}" name="Km compteur" dataDxfId="10"/>
    <tableColumn id="5" xr3:uid="{C703E35F-82DB-459F-B8DF-9ADF94AA8C5C}" name="Nb km" dataDxfId="9">
      <calculatedColumnFormula>IFERROR(IF($C5=$C4,$D5-$D4,""),"")</calculatedColumnFormula>
    </tableColumn>
    <tableColumn id="6" xr3:uid="{BF4FF75B-2E0B-4A9F-BF3E-5629C59EEC71}" name="Nb. Litres" dataDxfId="8"/>
    <tableColumn id="7" xr3:uid="{2F1861F4-E873-4B91-92D4-74071EB7B777}" name="Prix €/L" dataDxfId="7"/>
    <tableColumn id="8" xr3:uid="{D63C5804-55CB-48DF-856F-146B472E8E4E}" name="Cout plein (€)" dataDxfId="6">
      <calculatedColumnFormula>IFERROR($F5*$G5,"")</calculatedColumnFormula>
    </tableColumn>
    <tableColumn id="9" xr3:uid="{15BA49C8-41B2-4898-B1E4-79F2FFE687BC}" name="L/100 km" dataDxfId="5">
      <calculatedColumnFormula>IFERROR(IF(AND(ISNUMBER($E5),$E5&gt;0),$F5/$E5*100,""),"")</calculatedColumnFormula>
    </tableColumn>
    <tableColumn id="10" xr3:uid="{B3B70CFA-7903-4C1D-809E-F92E4B780BAD}" name="Station essenc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306BAE-ED2E-4DA1-B6BE-E788528B7A73}" name="DonneesExternes_1" displayName="DonneesExternes_1" ref="A1:Y12" totalsRowShown="0">
  <autoFilter ref="A1:Y12" xr:uid="{3B306BAE-ED2E-4DA1-B6BE-E788528B7A73}"/>
  <tableColumns count="25">
    <tableColumn id="1" xr3:uid="{0D135947-9F9D-461C-87DF-25ECAF354015}" name="Horodatage" dataDxfId="1"/>
    <tableColumn id="2" xr3:uid="{08CB428E-95C6-40C4-A9CE-C2A84520866B}" name="Date" dataDxfId="0"/>
    <tableColumn id="3" xr3:uid="{5EBFAAC4-8E29-49E7-8624-98EB6037D765}" name="Type"/>
    <tableColumn id="4" xr3:uid="{D2C542E1-BF98-477D-8715-3B1EC616F637}" name="Km compteur"/>
    <tableColumn id="5" xr3:uid="{F13386D0-D9F7-4875-AFFB-B280EFB84512}" name="Nb. Litres"/>
    <tableColumn id="6" xr3:uid="{86C52F90-BD56-408C-8D3E-BF11FFAEE9BE}" name="Prix €/L"/>
    <tableColumn id="7" xr3:uid="{6B3E2D6E-D419-467B-8331-565B0135372C}" name="Station essence"/>
    <tableColumn id="8" xr3:uid="{642F4828-D33F-4540-B930-1362DB499BDB}" name="Véhicule"/>
    <tableColumn id="9" xr3:uid="{36ACAE59-8036-47F0-AAFF-8A4309A35F4E}" name="E85 station (€/L)"/>
    <tableColumn id="10" xr3:uid="{1E0A7BBF-26D9-4B37-9A7F-52483F7AF3CC}" name="SP98 station (€/L)"/>
    <tableColumn id="11" xr3:uid="{CAA50679-4BB8-4116-85E6-EADDE7255123}" name="SP95 station (€/L)"/>
    <tableColumn id="12" xr3:uid="{872F90B8-BAEF-4EA4-A4B5-145F61061688}" name="E10 station (€/L)"/>
    <tableColumn id="13" xr3:uid="{1FD191E4-D068-4879-AB54-20063E653A94}" name="Gazole station (€/L)"/>
    <tableColumn id="14" xr3:uid="{6EE48AFB-E3E8-468E-9EA0-24DB9CBBF885}" name="GPLc station (€/L)"/>
    <tableColumn id="15" xr3:uid="{BC7D2ADC-19A3-4887-AD00-E730388BA031}" name="sync_id"/>
    <tableColumn id="16" xr3:uid="{0213E802-AFA5-418A-B7C5-FDE0FFD99D21}" name="Photo ticket"/>
    <tableColumn id="17" xr3:uid="{F078ACF2-334D-499F-8394-37BE7A233920}" name="Colonne1"/>
    <tableColumn id="18" xr3:uid="{C7DA481F-3377-4327-9993-0BBAE4F6690E}" name="Colonne2"/>
    <tableColumn id="19" xr3:uid="{58F3B69A-45D9-4144-B267-8C286DCD1FCC}" name="Colonne3"/>
    <tableColumn id="20" xr3:uid="{13C58208-CDD1-4BE0-88D2-55E3825B35B2}" name="Colonne4"/>
    <tableColumn id="21" xr3:uid="{5F90BE1C-9A29-4172-A6BE-876DD37E9AD1}" name="Colonne5"/>
    <tableColumn id="22" xr3:uid="{549CF6D6-A41A-4BD7-A30F-0553D1104311}" name="Colonne6"/>
    <tableColumn id="23" xr3:uid="{88D696DB-6CAA-4EA3-B424-FD873C1817A3}" name="Colonne7"/>
    <tableColumn id="24" xr3:uid="{7D5A3AF0-EFDA-4141-836E-7E81881E921D}" name="Colonne8"/>
    <tableColumn id="25" xr3:uid="{DDDB32F0-636D-4765-8DFE-5CF7AC651345}" name="Colonne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7" dataDxfId="45" headerRowBorderDxfId="46" tableBorderDxfId="44" totalsRowBorderDxfId="43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42">
      <calculatedColumnFormula>IF(B16="","",A15+1)</calculatedColumnFormula>
    </tableColumn>
    <tableColumn id="2" xr3:uid="{D9E9EBFF-BC9D-4E59-9822-91D7DEC1E7CE}" name="Date" dataDxfId="41"/>
    <tableColumn id="11" xr3:uid="{A77486BA-32D8-4661-BA23-1144AE2FD0EC}" name="Type" dataDxfId="40"/>
    <tableColumn id="3" xr3:uid="{6C87F133-7224-4AAB-ACB2-666E8B7315B5}" name="Km compteur" dataDxfId="39"/>
    <tableColumn id="15" xr3:uid="{E9E70181-907F-4D1A-BD9D-156B992A2880}" name="Nb. km" dataDxfId="38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7"/>
    <tableColumn id="5" xr3:uid="{A61BA34E-E60B-4F70-A1D9-62090C37C449}" name="Prix €/L" dataDxfId="36"/>
    <tableColumn id="13" xr3:uid="{C796B9E8-7AC6-4345-B44F-194876D2515D}" name="Coût c€/km" dataDxfId="35">
      <calculatedColumnFormula>IF(OR(D16="",D15="",I16="",ISTEXT(D15)),"",F16/(D16-D15)*100)</calculatedColumnFormula>
    </tableColumn>
    <tableColumn id="6" xr3:uid="{7A10B093-08A0-4955-A678-47B342940366}" name="Coût Plein (€)" dataDxfId="34">
      <calculatedColumnFormula>IF(F16="","",F16*G16)</calculatedColumnFormula>
    </tableColumn>
    <tableColumn id="7" xr3:uid="{0D4F331E-E5DE-4D78-8EE4-6B964BF0DB88}" name="Conso. (L/100km)" dataDxfId="33">
      <calculatedColumnFormula>IF(OR(D16="",D15="",F16="",ISTEXT(D15)),"",F16/(D16-D15)*100)</calculatedColumnFormula>
    </tableColumn>
    <tableColumn id="8" xr3:uid="{8C4BCB7E-42BC-494E-A304-19A9848326C2}" name="Prix S98 jour (€/L)" dataDxfId="32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3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7" dataDxfId="26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24" dataDxfId="23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21"/>
  <sheetViews>
    <sheetView zoomScale="70" zoomScaleNormal="70" workbookViewId="0">
      <selection activeCell="H22" sqref="H2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36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36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36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36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36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36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36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36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36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36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  <row r="21" spans="8:8" x14ac:dyDescent="0.25">
      <c r="H21" s="98">
        <f>IFERROR(AVERAGEIF(GS_Pleins[Station essence],"Carrefour - Flers",GS_Pleins[E85 station]),"")</f>
        <v>0.84899999999999998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tabSelected="1" workbookViewId="0">
      <pane ySplit="4" topLeftCell="A5" activePane="bottomLeft" state="frozenSplit"/>
      <selection pane="bottomLeft" activeCell="J21" sqref="J21"/>
    </sheetView>
  </sheetViews>
  <sheetFormatPr baseColWidth="10" defaultRowHeight="15.75" x14ac:dyDescent="0.25"/>
  <cols>
    <col min="1" max="1" width="16.75" style="81" customWidth="1"/>
    <col min="2" max="2" width="17" style="81" customWidth="1"/>
    <col min="3" max="3" width="14.25" style="81" customWidth="1"/>
    <col min="4" max="4" width="19.875" style="81" customWidth="1"/>
    <col min="5" max="5" width="11.625" style="81" customWidth="1"/>
    <col min="6" max="6" width="14.75" style="81" customWidth="1"/>
    <col min="7" max="7" width="13.25" style="81" customWidth="1"/>
    <col min="8" max="8" width="18" style="81" customWidth="1"/>
    <col min="9" max="9" width="14.25" style="81" customWidth="1"/>
    <col min="10" max="10" width="25" style="81" customWidth="1"/>
    <col min="11" max="16384" width="11" style="81"/>
  </cols>
  <sheetData>
    <row r="1" spans="1:10" ht="30" customHeight="1" x14ac:dyDescent="0.25">
      <c r="A1" s="137" t="s">
        <v>370</v>
      </c>
      <c r="B1" s="137"/>
      <c r="C1" s="137"/>
      <c r="D1" s="137"/>
      <c r="E1" s="137"/>
      <c r="F1" s="137"/>
      <c r="G1" s="137"/>
      <c r="H1" s="137"/>
      <c r="I1" s="137"/>
      <c r="J1" s="137"/>
    </row>
    <row r="2" spans="1:10" ht="23.25" customHeight="1" x14ac:dyDescent="0.25">
      <c r="A2" s="142" t="s">
        <v>371</v>
      </c>
      <c r="B2" s="142"/>
      <c r="C2" s="142"/>
      <c r="D2" s="142"/>
      <c r="E2" s="142"/>
      <c r="F2" s="142"/>
      <c r="G2" s="142"/>
      <c r="H2" s="142"/>
      <c r="I2" s="142"/>
      <c r="J2" s="142"/>
    </row>
    <row r="3" spans="1:10" ht="6" customHeight="1" x14ac:dyDescent="0.25"/>
    <row r="4" spans="1:10" ht="19.5" customHeight="1" x14ac:dyDescent="0.25">
      <c r="A4" s="145" t="s">
        <v>1</v>
      </c>
      <c r="B4" s="146" t="s">
        <v>55</v>
      </c>
      <c r="C4" s="146" t="s">
        <v>308</v>
      </c>
      <c r="D4" s="146" t="s">
        <v>12</v>
      </c>
      <c r="E4" s="146" t="s">
        <v>372</v>
      </c>
      <c r="F4" s="146" t="s">
        <v>56</v>
      </c>
      <c r="G4" s="146" t="s">
        <v>57</v>
      </c>
      <c r="H4" s="146" t="s">
        <v>373</v>
      </c>
      <c r="I4" s="146" t="s">
        <v>365</v>
      </c>
      <c r="J4" s="147" t="s">
        <v>271</v>
      </c>
    </row>
    <row r="5" spans="1:10" x14ac:dyDescent="0.25">
      <c r="A5" s="143">
        <f>IFERROR(INDEX(GS_Pleins[Date],1),"")</f>
        <v>46131.083333333336</v>
      </c>
      <c r="B5" s="138" t="str">
        <f>IFERROR(INDEX(GS_Pleins[Type],1),"")</f>
        <v>Super 98</v>
      </c>
      <c r="C5" s="138" t="str">
        <f>IFERROR(INDEX(GS_Pleins[Vehicule],1),"")</f>
        <v>Z900</v>
      </c>
      <c r="D5" s="139">
        <f>IFERROR(INDEX(GS_Pleins[Km],1),"")</f>
        <v>9812</v>
      </c>
      <c r="E5" s="139"/>
      <c r="F5" s="140">
        <f>IFERROR(INDEX(GS_Pleins[Litres],1),"")</f>
        <v>11.4</v>
      </c>
      <c r="G5" s="141">
        <f>IFERROR(INDEX(GS_Pleins[PrixL],1),"")</f>
        <v>1.9730000000000001</v>
      </c>
      <c r="H5" s="140">
        <f>IFERROR($F5*$G5,"")</f>
        <v>22.4922</v>
      </c>
      <c r="I5" s="140" t="str">
        <f>IFERROR(IF(AND(ISNUMBER($E5),$E5&gt;0),$F5/$E5*100,""),"")</f>
        <v/>
      </c>
      <c r="J5" s="144" t="str">
        <f>IFERROR(INDEX(GS_Pleins[Station essence],1),"")</f>
        <v>Carrefour - Flers</v>
      </c>
    </row>
    <row r="6" spans="1:10" x14ac:dyDescent="0.25">
      <c r="A6" s="143">
        <f>IFERROR(INDEX(GS_Pleins[Date],2),"")</f>
        <v>46135.083333333336</v>
      </c>
      <c r="B6" s="138" t="str">
        <f>IFERROR(INDEX(GS_Pleins[Type],2),"")</f>
        <v>Super 98</v>
      </c>
      <c r="C6" s="138" t="str">
        <f>IFERROR(INDEX(GS_Pleins[Vehicule],2),"")</f>
        <v>Z900</v>
      </c>
      <c r="D6" s="139">
        <f>IFERROR(INDEX(GS_Pleins[Km],2),"")</f>
        <v>10094</v>
      </c>
      <c r="E6" s="139">
        <f>IFERROR(IF($C6=$C5,$D6-$D5,""),"")</f>
        <v>282</v>
      </c>
      <c r="F6" s="140">
        <f>IFERROR(INDEX(GS_Pleins[Litres],2),"")</f>
        <v>15.22</v>
      </c>
      <c r="G6" s="141">
        <f>IFERROR(INDEX(GS_Pleins[PrixL],2),"")</f>
        <v>1.9259999999999999</v>
      </c>
      <c r="H6" s="140">
        <f>IFERROR($F6*$G6,"")</f>
        <v>29.31372</v>
      </c>
      <c r="I6" s="140">
        <f>IFERROR(IF(AND(ISNUMBER($E6),$E6&gt;0),$F6/$E6*100,""),"")</f>
        <v>5.3971631205673765</v>
      </c>
      <c r="J6" s="144" t="str">
        <f>IFERROR(INDEX(GS_Pleins[Station essence],2),"")</f>
        <v>Carrefour - Flers</v>
      </c>
    </row>
    <row r="7" spans="1:10" x14ac:dyDescent="0.25">
      <c r="A7" s="143">
        <f>IFERROR(INDEX(GS_Pleins[Date],3),"")</f>
        <v>46140.083333333336</v>
      </c>
      <c r="B7" s="138" t="str">
        <f>IFERROR(INDEX(GS_Pleins[Type],3),"")</f>
        <v>Super 98</v>
      </c>
      <c r="C7" s="138" t="str">
        <f>IFERROR(INDEX(GS_Pleins[Vehicule],3),"")</f>
        <v>Z900</v>
      </c>
      <c r="D7" s="139">
        <f>IFERROR(INDEX(GS_Pleins[Km],3),"")</f>
        <v>10349</v>
      </c>
      <c r="E7" s="139">
        <f>IFERROR(IF($C7=$C6,$D7-$D6,""),"")</f>
        <v>255</v>
      </c>
      <c r="F7" s="140">
        <f>IFERROR(INDEX(GS_Pleins[Litres],3),"")</f>
        <v>13.75</v>
      </c>
      <c r="G7" s="141">
        <f>IFERROR(INDEX(GS_Pleins[PrixL],3),"")</f>
        <v>2.0310000000000001</v>
      </c>
      <c r="H7" s="140">
        <f>IFERROR($F7*$G7,"")</f>
        <v>27.926250000000003</v>
      </c>
      <c r="I7" s="140">
        <f>IFERROR(IF(AND(ISNUMBER($E7),$E7&gt;0),$F7/$E7*100,""),"")</f>
        <v>5.3921568627450984</v>
      </c>
      <c r="J7" s="144" t="str">
        <f>IFERROR(INDEX(GS_Pleins[Station essence],3),"")</f>
        <v>Leclerc - Douai</v>
      </c>
    </row>
    <row r="8" spans="1:10" x14ac:dyDescent="0.25">
      <c r="A8" s="143">
        <f>IFERROR(INDEX(GS_Pleins[Date],4),"")</f>
        <v>46146.083333333336</v>
      </c>
      <c r="B8" s="138" t="str">
        <f>IFERROR(INDEX(GS_Pleins[Type],4),"")</f>
        <v>SuperEthanol E85</v>
      </c>
      <c r="C8" s="138" t="str">
        <f>IFERROR(INDEX(GS_Pleins[Vehicule],4),"")</f>
        <v>Z900</v>
      </c>
      <c r="D8" s="139">
        <f>IFERROR(INDEX(GS_Pleins[Km],4),"")</f>
        <v>10553</v>
      </c>
      <c r="E8" s="139">
        <f>IFERROR(IF($C8=$C7,$D8-$D7,""),"")</f>
        <v>204</v>
      </c>
      <c r="F8" s="140">
        <f>IFERROR(INDEX(GS_Pleins[Litres],4),"")</f>
        <v>11.47</v>
      </c>
      <c r="G8" s="141">
        <f>IFERROR(INDEX(GS_Pleins[PrixL],4),"")</f>
        <v>0.80900000000000005</v>
      </c>
      <c r="H8" s="140">
        <f>IFERROR($F8*$G8,"")</f>
        <v>9.2792300000000019</v>
      </c>
      <c r="I8" s="140">
        <f>IFERROR(IF(AND(ISNUMBER($E8),$E8&gt;0),$F8/$E8*100,""),"")</f>
        <v>5.6225490196078436</v>
      </c>
      <c r="J8" s="144" t="str">
        <f>IFERROR(INDEX(GS_Pleins[Station essence],4),"")</f>
        <v>E.Leclerc - Beuvry</v>
      </c>
    </row>
    <row r="9" spans="1:10" x14ac:dyDescent="0.25">
      <c r="A9" s="143">
        <f>IFERROR(INDEX(GS_Pleins[Date],5),"")</f>
        <v>46148.083333333336</v>
      </c>
      <c r="B9" s="138" t="str">
        <f>IFERROR(INDEX(GS_Pleins[Type],5),"")</f>
        <v>SuperEthanol E85</v>
      </c>
      <c r="C9" s="138" t="str">
        <f>IFERROR(INDEX(GS_Pleins[Vehicule],5),"")</f>
        <v>Z900</v>
      </c>
      <c r="D9" s="139">
        <f>IFERROR(INDEX(GS_Pleins[Km],5),"")</f>
        <v>10749</v>
      </c>
      <c r="E9" s="139">
        <f>IFERROR(IF($C9=$C8,$D9-$D8,""),"")</f>
        <v>196</v>
      </c>
      <c r="F9" s="140">
        <f>IFERROR(INDEX(GS_Pleins[Litres],5),"")</f>
        <v>11.71</v>
      </c>
      <c r="G9" s="141">
        <f>IFERROR(INDEX(GS_Pleins[PrixL],5),"")</f>
        <v>0.747</v>
      </c>
      <c r="H9" s="140">
        <f>IFERROR($F9*$G9,"")</f>
        <v>8.7473700000000001</v>
      </c>
      <c r="I9" s="140">
        <f>IFERROR(IF(AND(ISNUMBER($E9),$E9&gt;0),$F9/$E9*100,""),"")</f>
        <v>5.9744897959183678</v>
      </c>
      <c r="J9" s="144" t="str">
        <f>IFERROR(INDEX(GS_Pleins[Station essence],5),"")</f>
        <v>E.Leclerc - Beuvry</v>
      </c>
    </row>
    <row r="10" spans="1:10" x14ac:dyDescent="0.25">
      <c r="A10" s="143">
        <f>IFERROR(INDEX(GS_Pleins[Date],6),"")</f>
        <v>46151.083333333336</v>
      </c>
      <c r="B10" s="138" t="str">
        <f>IFERROR(INDEX(GS_Pleins[Type],6),"")</f>
        <v>SuperEthanol E85</v>
      </c>
      <c r="C10" s="138" t="str">
        <f>IFERROR(INDEX(GS_Pleins[Vehicule],6),"")</f>
        <v>Z900</v>
      </c>
      <c r="D10" s="139">
        <f>IFERROR(INDEX(GS_Pleins[Km],6),"")</f>
        <v>10975</v>
      </c>
      <c r="E10" s="139">
        <f>IFERROR(IF($C10=$C9,$D10-$D9,""),"")</f>
        <v>226</v>
      </c>
      <c r="F10" s="140">
        <f>IFERROR(INDEX(GS_Pleins[Litres],6),"")</f>
        <v>15.28</v>
      </c>
      <c r="G10" s="141">
        <f>IFERROR(INDEX(GS_Pleins[PrixL],6),"")</f>
        <v>0.75700000000000001</v>
      </c>
      <c r="H10" s="140">
        <f>IFERROR($F10*$G10,"")</f>
        <v>11.56696</v>
      </c>
      <c r="I10" s="140">
        <f>IFERROR(IF(AND(ISNUMBER($E10),$E10&gt;0),$F10/$E10*100,""),"")</f>
        <v>6.7610619469026547</v>
      </c>
      <c r="J10" s="144" t="str">
        <f>IFERROR(INDEX(GS_Pleins[Station essence],6),"")</f>
        <v>E.Leclerc - Beuvry</v>
      </c>
    </row>
    <row r="11" spans="1:10" x14ac:dyDescent="0.25">
      <c r="A11" s="143">
        <f>IFERROR(INDEX(GS_Pleins[Date],7),"")</f>
        <v>46154.083333333336</v>
      </c>
      <c r="B11" s="138" t="str">
        <f>IFERROR(INDEX(GS_Pleins[Type],7),"")</f>
        <v>SuperEthanol E85</v>
      </c>
      <c r="C11" s="138" t="str">
        <f>IFERROR(INDEX(GS_Pleins[Vehicule],7),"")</f>
        <v>Z900</v>
      </c>
      <c r="D11" s="139">
        <f>IFERROR(INDEX(GS_Pleins[Km],7),"")</f>
        <v>11173</v>
      </c>
      <c r="E11" s="139">
        <f>IFERROR(IF($C11=$C10,$D11-$D10,""),"")</f>
        <v>198</v>
      </c>
      <c r="F11" s="140">
        <f>IFERROR(INDEX(GS_Pleins[Litres],7),"")</f>
        <v>13.94</v>
      </c>
      <c r="G11" s="141">
        <f>IFERROR(INDEX(GS_Pleins[PrixL],7),"")</f>
        <v>0.83499999999999996</v>
      </c>
      <c r="H11" s="140">
        <f>IFERROR($F11*$G11,"")</f>
        <v>11.639899999999999</v>
      </c>
      <c r="I11" s="140">
        <f>IFERROR(IF(AND(ISNUMBER($E11),$E11&gt;0),$F11/$E11*100,""),"")</f>
        <v>7.0404040404040398</v>
      </c>
      <c r="J11" s="144" t="str">
        <f>IFERROR(INDEX(GS_Pleins[Station essence],7),"")</f>
        <v>E.Leclerc - Beuvry</v>
      </c>
    </row>
    <row r="12" spans="1:10" x14ac:dyDescent="0.25">
      <c r="A12" s="143">
        <f>IFERROR(INDEX(GS_Pleins[Date],8),"")</f>
        <v>46157.083333333336</v>
      </c>
      <c r="B12" s="138" t="str">
        <f>IFERROR(INDEX(GS_Pleins[Type],8),"")</f>
        <v>SuperEthanol E85</v>
      </c>
      <c r="C12" s="138" t="str">
        <f>IFERROR(INDEX(GS_Pleins[Vehicule],8),"")</f>
        <v>Z900</v>
      </c>
      <c r="D12" s="139">
        <f>IFERROR(INDEX(GS_Pleins[Km],8),"")</f>
        <v>11376</v>
      </c>
      <c r="E12" s="139">
        <f>IFERROR(IF($C12=$C11,$D12-$D11,""),"")</f>
        <v>203</v>
      </c>
      <c r="F12" s="140">
        <f>IFERROR(INDEX(GS_Pleins[Litres],8),"")</f>
        <v>13.37</v>
      </c>
      <c r="G12" s="141">
        <f>IFERROR(INDEX(GS_Pleins[PrixL],8),"")</f>
        <v>0.71699999999999997</v>
      </c>
      <c r="H12" s="140">
        <f>IFERROR($F12*$G12,"")</f>
        <v>9.5862899999999982</v>
      </c>
      <c r="I12" s="140">
        <f>IFERROR(IF(AND(ISNUMBER($E12),$E12&gt;0),$F12/$E12*100,""),"")</f>
        <v>6.5862068965517233</v>
      </c>
      <c r="J12" s="144" t="str">
        <f>IFERROR(INDEX(GS_Pleins[Station essence],8),"")</f>
        <v>E.Leclerc - Beuvry</v>
      </c>
    </row>
    <row r="13" spans="1:10" x14ac:dyDescent="0.25">
      <c r="A13" s="143">
        <f>IFERROR(INDEX(GS_Pleins[Date],9),"")</f>
        <v>46161.083333333336</v>
      </c>
      <c r="B13" s="138" t="str">
        <f>IFERROR(INDEX(GS_Pleins[Type],9),"")</f>
        <v>SuperEthanol E85</v>
      </c>
      <c r="C13" s="138" t="str">
        <f>IFERROR(INDEX(GS_Pleins[Vehicule],9),"")</f>
        <v>Z900</v>
      </c>
      <c r="D13" s="139">
        <f>IFERROR(INDEX(GS_Pleins[Km],9),"")</f>
        <v>11596</v>
      </c>
      <c r="E13" s="139">
        <f>IFERROR(IF($C13=$C12,$D13-$D12,""),"")</f>
        <v>220</v>
      </c>
      <c r="F13" s="140">
        <f>IFERROR(INDEX(GS_Pleins[Litres],9),"")</f>
        <v>14.9</v>
      </c>
      <c r="G13" s="141">
        <f>IFERROR(INDEX(GS_Pleins[PrixL],9),"")</f>
        <v>0.79800000000000004</v>
      </c>
      <c r="H13" s="140">
        <f>IFERROR($F13*$G13,"")</f>
        <v>11.8902</v>
      </c>
      <c r="I13" s="140">
        <f>IFERROR(IF(AND(ISNUMBER($E13),$E13&gt;0),$F13/$E13*100,""),"")</f>
        <v>6.7727272727272734</v>
      </c>
      <c r="J13" s="144" t="str">
        <f>IFERROR(INDEX(GS_Pleins[Station essence],9),"")</f>
        <v>E.Leclerc - Beuvry</v>
      </c>
    </row>
    <row r="14" spans="1:10" x14ac:dyDescent="0.25">
      <c r="A14" s="143">
        <f>IFERROR(INDEX(GS_Pleins[Date],10),"")</f>
        <v>46164.083333333336</v>
      </c>
      <c r="B14" s="138" t="str">
        <f>IFERROR(INDEX(GS_Pleins[Type],10),"")</f>
        <v>SuperEthanol E85</v>
      </c>
      <c r="C14" s="138" t="str">
        <f>IFERROR(INDEX(GS_Pleins[Vehicule],10),"")</f>
        <v>Z900</v>
      </c>
      <c r="D14" s="139">
        <f>IFERROR(INDEX(GS_Pleins[Km],10),"")</f>
        <v>11831</v>
      </c>
      <c r="E14" s="139">
        <f>IFERROR(IF($C14=$C13,$D14-$D13,""),"")</f>
        <v>235</v>
      </c>
      <c r="F14" s="140">
        <f>IFERROR(INDEX(GS_Pleins[Litres],10),"")</f>
        <v>16.25</v>
      </c>
      <c r="G14" s="141">
        <f>IFERROR(INDEX(GS_Pleins[PrixL],10),"")</f>
        <v>0.79800000000000004</v>
      </c>
      <c r="H14" s="140">
        <f>IFERROR($F14*$G14,"")</f>
        <v>12.967500000000001</v>
      </c>
      <c r="I14" s="140">
        <f>IFERROR(IF(AND(ISNUMBER($E14),$E14&gt;0),$F14/$E14*100,""),"")</f>
        <v>6.9148936170212769</v>
      </c>
      <c r="J14" s="144" t="str">
        <f>IFERROR(INDEX(GS_Pleins[Station essence],10),"")</f>
        <v>E.Leclerc - Beuvry</v>
      </c>
    </row>
    <row r="15" spans="1:10" x14ac:dyDescent="0.25">
      <c r="A15" s="148">
        <f>IFERROR(INDEX(GS_Pleins[Date],11),"")</f>
        <v>46170.083333333336</v>
      </c>
      <c r="B15" s="149" t="str">
        <f>IFERROR(INDEX(GS_Pleins[Type],11),"")</f>
        <v>SuperEthanol E85</v>
      </c>
      <c r="C15" s="149" t="str">
        <f>IFERROR(INDEX(GS_Pleins[Vehicule],11),"")</f>
        <v>Z900</v>
      </c>
      <c r="D15" s="150">
        <f>IFERROR(INDEX(GS_Pleins[Km],11),"")</f>
        <v>12041</v>
      </c>
      <c r="E15" s="150">
        <f>IFERROR(IF($C15=$C14,$D15-$D14,""),"")</f>
        <v>210</v>
      </c>
      <c r="F15" s="151">
        <f>IFERROR(INDEX(GS_Pleins[Litres],11),"")</f>
        <v>13.23</v>
      </c>
      <c r="G15" s="152">
        <f>IFERROR(INDEX(GS_Pleins[PrixL],11),"")</f>
        <v>0.84899999999999998</v>
      </c>
      <c r="H15" s="151">
        <f>IFERROR($F15*$G15,"")</f>
        <v>11.23227</v>
      </c>
      <c r="I15" s="151">
        <f>IFERROR(IF(AND(ISNUMBER($E15),$E15&gt;0),$F15/$E15*100,""),"")</f>
        <v>6.3</v>
      </c>
      <c r="J15" s="153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8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2026-05-30T02:26:23Z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