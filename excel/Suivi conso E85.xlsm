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A79C76F3-B651-451C-8182-EDBF9D7C29A9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" l="1"/>
  <c r="I26" i="2"/>
  <c r="J26" i="2"/>
  <c r="K26" i="2"/>
  <c r="L26" i="2" s="1"/>
  <c r="M26" i="2" s="1"/>
  <c r="E27" i="2"/>
  <c r="H27" i="2"/>
  <c r="I27" i="2"/>
  <c r="J27" i="2"/>
  <c r="L27" i="2"/>
  <c r="M27" i="2"/>
  <c r="N27" i="2"/>
  <c r="E28" i="2"/>
  <c r="H28" i="2"/>
  <c r="I28" i="2"/>
  <c r="J28" i="2"/>
  <c r="L28" i="2"/>
  <c r="M28" i="2"/>
  <c r="N28" i="2"/>
  <c r="E29" i="2"/>
  <c r="H29" i="2"/>
  <c r="I29" i="2"/>
  <c r="J29" i="2"/>
  <c r="L29" i="2"/>
  <c r="M29" i="2"/>
  <c r="N29" i="2"/>
  <c r="E30" i="2"/>
  <c r="H30" i="2"/>
  <c r="I30" i="2"/>
  <c r="J30" i="2"/>
  <c r="E31" i="2"/>
  <c r="H31" i="2"/>
  <c r="I31" i="2"/>
  <c r="J31" i="2"/>
  <c r="E32" i="2"/>
  <c r="H32" i="2"/>
  <c r="I32" i="2"/>
  <c r="J32" i="2"/>
  <c r="E33" i="2"/>
  <c r="H33" i="2"/>
  <c r="I33" i="2"/>
  <c r="J33" i="2"/>
  <c r="E34" i="2"/>
  <c r="H34" i="2"/>
  <c r="I34" i="2"/>
  <c r="J34" i="2"/>
  <c r="E35" i="2"/>
  <c r="H35" i="2"/>
  <c r="I35" i="2"/>
  <c r="J35" i="2"/>
  <c r="E36" i="2"/>
  <c r="H36" i="2"/>
  <c r="I36" i="2"/>
  <c r="J36" i="2"/>
  <c r="B40" i="2"/>
  <c r="B44" i="2"/>
  <c r="B39" i="2"/>
  <c r="B41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26" i="2" l="1"/>
  <c r="E25" i="2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B47" i="2" s="1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I22" i="2"/>
  <c r="H22" i="2" s="1"/>
  <c r="B43" i="2"/>
  <c r="B42" i="2"/>
  <c r="S16" i="2"/>
  <c r="M17" i="2"/>
  <c r="M18" i="2"/>
  <c r="K17" i="2"/>
  <c r="I17" i="2"/>
  <c r="H17" i="2" s="1"/>
  <c r="B46" i="2" l="1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30" i="2" l="1"/>
  <c r="L31" i="2"/>
  <c r="M31" i="2" s="1"/>
  <c r="L32" i="2"/>
  <c r="M32" i="2" s="1"/>
  <c r="L33" i="2"/>
  <c r="M33" i="2" s="1"/>
  <c r="L34" i="2"/>
  <c r="M34" i="2" s="1"/>
  <c r="L35" i="2"/>
  <c r="M35" i="2" s="1"/>
  <c r="L36" i="2"/>
  <c r="M36" i="2" s="1"/>
  <c r="L19" i="2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45" i="2" s="1"/>
  <c r="I20" i="2"/>
  <c r="H20" i="2" s="1"/>
  <c r="I21" i="2"/>
  <c r="H21" i="2" s="1"/>
  <c r="I23" i="2"/>
  <c r="H23" i="2" s="1"/>
  <c r="I16" i="2"/>
  <c r="H16" i="2" s="1"/>
  <c r="N30" i="2" l="1"/>
  <c r="N31" i="2" s="1"/>
  <c r="N32" i="2" s="1"/>
  <c r="N33" i="2" s="1"/>
  <c r="N34" i="2" s="1"/>
  <c r="N35" i="2" s="1"/>
  <c r="N36" i="2" s="1"/>
  <c r="M30" i="2"/>
  <c r="L18" i="2"/>
  <c r="L16" i="2"/>
  <c r="J3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N26" i="2" s="1"/>
  <c r="J40" i="2" l="1"/>
  <c r="J4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45" i="2"/>
  <c r="J42" i="2" l="1"/>
  <c r="J46" i="2"/>
  <c r="J43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<sst xmlns="http://schemas.openxmlformats.org/spreadsheetml/2006/main" count="525" uniqueCount="370">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</sst>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36</xdr:row>
      <xdr:rowOff>0</xdr:rowOff>
    </xdr:from>
    <xdr:to>
      <xdr:col>2</xdr:col>
      <xdr:colOff>279400</xdr:colOff>
      <xdr:row>36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B02D92-8DD7-403B-B7F6-FDC7210A263B}" name="DonneesExternes_1" displayName="DonneesExternes_1" ref="A1:Y12" totalsRowShown="0">
  <autoFilter ref="A1:Y12" xr:uid="{8BB02D92-8DD7-403B-B7F6-FDC7210A263B}"/>
  <tableColumns count="25">
    <tableColumn id="1" xr3:uid="{1DD1C2C1-55E2-42EC-9BA2-7E6E228A669C}" name="Horodatage" dataDxfId="2"/>
    <tableColumn id="2" xr3:uid="{3CF1CA68-B1E3-4D9A-A5A0-22EF42C7F2D0}" name="Date" dataDxfId="1"/>
    <tableColumn id="3" xr3:uid="{078AB7BF-2234-41BB-9485-F020F2E35327}" name="Type"/>
    <tableColumn id="4" xr3:uid="{6CA4EB6B-34D6-44B4-913C-DB071D4671A1}" name="Km compteur"/>
    <tableColumn id="5" xr3:uid="{610F1474-5A60-4734-BDC1-EFAB716BAEF6}" name="Nb. Litres"/>
    <tableColumn id="6" xr3:uid="{6E391A8E-65F9-4BE1-B336-3056FED1D2BC}" name="Prix €/L"/>
    <tableColumn id="7" xr3:uid="{AAADFD9E-4F5F-478A-99FB-257AC0490C1B}" name="Station essence"/>
    <tableColumn id="8" xr3:uid="{65BE778F-4F9B-4C21-A5CD-616445C68AB0}" name="Véhicule"/>
    <tableColumn id="9" xr3:uid="{483845B8-2C74-45DD-BCCC-A3261805B99A}" name="E85 station (€/L)"/>
    <tableColumn id="10" xr3:uid="{1005BBB1-11F3-496A-A390-4FF2BCB18839}" name="SP98 station (€/L)"/>
    <tableColumn id="11" xr3:uid="{47ABB5E5-6B19-4C71-B060-45D397E7D913}" name="SP95 station (€/L)"/>
    <tableColumn id="12" xr3:uid="{8821297F-EB1A-4333-ADA1-42992B30926F}" name="E10 station (€/L)"/>
    <tableColumn id="13" xr3:uid="{3263BEF7-AC1D-4EED-A0F8-424B2FB358F8}" name="Gazole station (€/L)"/>
    <tableColumn id="14" xr3:uid="{E83FD600-62FE-4C25-B5D7-391B876E8AD7}" name="GPLc station (€/L)"/>
    <tableColumn id="15" xr3:uid="{502CE8F5-6868-4C09-A9A5-9B94D414C748}" name="sync_id"/>
    <tableColumn id="16" xr3:uid="{CD1BDCBA-56A9-4487-A2A1-B43A11C5297C}" name="Photo ticket"/>
    <tableColumn id="17" xr3:uid="{AD807536-3082-48A6-9C8F-1B721CDD696E}" name="Colonne1"/>
    <tableColumn id="18" xr3:uid="{00AC139A-F6A7-46AB-B34D-2BBEEF417BBE}" name="Colonne2"/>
    <tableColumn id="19" xr3:uid="{6803C050-DF4B-4F89-9B09-66A079313DFA}" name="Colonne3"/>
    <tableColumn id="20" xr3:uid="{656653AF-743A-42C9-A2CC-5DFF1619BB3C}" name="Colonne4"/>
    <tableColumn id="21" xr3:uid="{B1C96C21-41C7-47A8-9A2F-D3B9747BF0DE}" name="Colonne5"/>
    <tableColumn id="22" xr3:uid="{894798AE-9E6E-4783-A55E-4A3C2FE8DA7D}" name="Colonne6"/>
    <tableColumn id="23" xr3:uid="{1DB2CD3D-7DBC-44A8-90E0-912237F5EFA6}" name="Colonne7"/>
    <tableColumn id="24" xr3:uid="{74B301D8-29C1-4E8D-85DA-1845C961DC05}" name="Colonne8"/>
    <tableColumn id="25" xr3:uid="{C80AD8D3-8F79-47DF-A2A5-6B56C3D9487E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36" totalsRowShown="0" headerRowDxfId="33" dataDxfId="31" headerRowBorderDxfId="32" tableBorderDxfId="30" totalsRowBorderDxfId="29">
  <autoFilter ref="A15:O3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8"/>
  <sheetViews>
    <sheetView tabSelected="1" zoomScale="70" zoomScaleNormal="70" workbookViewId="0">
      <pane xSplit="1" ySplit="2" topLeftCell="B11" activePane="bottomRight" state="frozen"/>
      <selection pane="topRight" activeCell="B1" sqref="B1"/>
      <selection pane="bottomLeft" activeCell="A3" sqref="A3"/>
      <selection pane="bottomRight" activeCell="B34" sqref="B34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46171.162939814814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 t="str">
        <f>IFERROR(AVERAGEIFS(Tableau2[Conso. (L/100km)],Tableau2[Type],"SuperEthanol E85"),"")</f>
        <v/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4.2028008016459406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15.668615838285499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-20.591569893554819</v>
      </c>
      <c r="C7" s="25" t="s">
        <v>59</v>
      </c>
      <c r="D7" s="4"/>
      <c r="E7" s="4"/>
      <c r="F7" s="4"/>
      <c r="G7" s="59" t="s">
        <v>9</v>
      </c>
      <c r="H7" s="59"/>
      <c r="I7" s="59"/>
      <c r="J7" s="41" t="e">
        <f>IF(OR(B6="",B6=0,COUNTIF(Tableau2[Type],"SuperEthanol E85")=0),0.2,AVERAGEIFS(Tableau2[Conso. (L/100km)],Tableau2[Type],"SuperEthanol E85")/B6-1)</f>
        <v>#DIV/0!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0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514.54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 t="str">
        <f>IFERROR(IF(B11=0,LOOKUP(9.99999999999999E+307,Tableau2[Km compteur]),IF(OR(B12="-",B12=0),"En attente d'un plein E85",LOOKUP(9.99999999999999E+307,Tableau2[Km compteur])+B11/B12)),"En attente d'un plein E85")</f>
        <v>En attente d'un plein E85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t="e" cm="1">
        <f t="array" ref="Q17">IFERROR(IF(SMALL(IF((Tableau2[Type]="SuperEthanol E85")*(Tableau2[Économie cumulée (€)]&lt;&gt;""),ROW(Tableau2[Type])),1)&gt;0,1,NA()),NA())</f>
        <v>#N/A</v>
      </c>
      <c r="R17" s="3" t="e" cm="1">
        <f t="array" ref="R17">IFERROR(INDEX(Tableau2[Économie cumulée (€)],SMALL(IF((Tableau2[Type]="SuperEthanol E85")*(Tableau2[Économie cumulée (€)]&lt;&gt;""),ROW(Tableau2[Type])-ROW(Tableau2[#Headers])),1)),NA())</f>
        <v>#N/A</v>
      </c>
      <c r="S17" s="3" t="e">
        <f t="shared" ref="R17:S32" si="4">IF(ISNA(Q17),NA(),$B$5)</f>
        <v>#N/A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t="e" cm="1">
        <f t="array" ref="Q18">IFERROR(IF(SMALL(IF((Tableau2[Type]="SuperEthanol E85")*(Tableau2[Économie cumulée (€)]&lt;&gt;""),ROW(Tableau2[Type])),2)&gt;0,2,NA()),NA())</f>
        <v>#N/A</v>
      </c>
      <c r="R18" s="3" t="e" cm="1">
        <f t="array" ref="R18">IFERROR(INDEX(Tableau2[Économie cumulée (€)],SMALL(IF((Tableau2[Type]="SuperEthanol E85")*(Tableau2[Économie cumulée (€)]&lt;&gt;""),ROW(Tableau2[Type])-ROW(Tableau2[#Headers])),2)),NA())</f>
        <v>#N/A</v>
      </c>
      <c r="S18" s="3" t="e">
        <f t="shared" si="4"/>
        <v>#N/A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19" s="57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19" s="58" t="e">
        <f>IF(Tableau2[[#This Row],[Type]]&lt;&gt;"SuperEthanol E85","",IF(Tableau2[[#This Row],[Coût Plein (€)]]="","",IF(N18&lt;&gt;"",N18+(L19-Tableau2[[#This Row],[Coût Plein (€)]]),L19-Tableau2[[#This Row],[Coût Plein (€)]])))</f>
        <v>#DIV/0!</v>
      </c>
      <c r="O19" s="80" t="s">
        <v>335</v>
      </c>
      <c r="Q19" s="3" t="e" cm="1">
        <f t="array" ref="Q19">IFERROR(IF(SMALL(IF((Tableau2[Type]="SuperEthanol E85")*(Tableau2[Économie cumulée (€)]&lt;&gt;""),ROW(Tableau2[Type])),3)&gt;0,3,NA()),NA())</f>
        <v>#N/A</v>
      </c>
      <c r="R19" s="3" t="e" cm="1">
        <f t="array" ref="R19">IFERROR(INDEX(Tableau2[Économie cumulée (€)],SMALL(IF((Tableau2[Type]="SuperEthanol E85")*(Tableau2[Économie cumulée (€)]&lt;&gt;""),ROW(Tableau2[Type])-ROW(Tableau2[#Headers])),3)),NA())</f>
        <v>#N/A</v>
      </c>
      <c r="S19" s="3" t="e">
        <f t="shared" si="4"/>
        <v>#N/A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0" s="57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0" s="58" t="e">
        <f>IF(Tableau2[[#This Row],[Type]]&lt;&gt;"SuperEthanol E85","",IF(Tableau2[[#This Row],[Coût Plein (€)]]="","",IF(N19&lt;&gt;"",N19+(L20-Tableau2[[#This Row],[Coût Plein (€)]]),L20-Tableau2[[#This Row],[Coût Plein (€)]])))</f>
        <v>#DIV/0!</v>
      </c>
      <c r="O20" s="80" t="s">
        <v>335</v>
      </c>
      <c r="Q20" s="3" t="e" cm="1">
        <f t="array" ref="Q20">IFERROR(IF(SMALL(IF((Tableau2[Type]="SuperEthanol E85")*(Tableau2[Économie cumulée (€)]&lt;&gt;""),ROW(Tableau2[Type])),4)&gt;0,4,NA()),NA())</f>
        <v>#N/A</v>
      </c>
      <c r="R20" s="3" t="e" cm="1">
        <f t="array" ref="R20">IFERROR(INDEX(Tableau2[Économie cumulée (€)],SMALL(IF((Tableau2[Type]="SuperEthanol E85")*(Tableau2[Économie cumulée (€)]&lt;&gt;""),ROW(Tableau2[Type])-ROW(Tableau2[#Headers])),4)),NA())</f>
        <v>#N/A</v>
      </c>
      <c r="S20" s="3" t="e">
        <f t="shared" si="4"/>
        <v>#N/A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1" s="57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1" s="58" t="e">
        <f>IF(Tableau2[[#This Row],[Type]]&lt;&gt;"SuperEthanol E85","",IF(Tableau2[[#This Row],[Coût Plein (€)]]="","",IF(N20&lt;&gt;"",N20+(L21-Tableau2[[#This Row],[Coût Plein (€)]]),L21-Tableau2[[#This Row],[Coût Plein (€)]])))</f>
        <v>#DIV/0!</v>
      </c>
      <c r="O21" s="80" t="s">
        <v>335</v>
      </c>
      <c r="Q21" s="3" t="e" cm="1">
        <f t="array" ref="Q21">IFERROR(IF(SMALL(IF((Tableau2[Type]="SuperEthanol E85")*(Tableau2[Économie cumulée (€)]&lt;&gt;""),ROW(Tableau2[Type])),5)&gt;0,5,NA()),NA())</f>
        <v>#N/A</v>
      </c>
      <c r="R21" s="3" t="e" cm="1">
        <f t="array" ref="R21">IFERROR(INDEX(Tableau2[Économie cumulée (€)],SMALL(IF((Tableau2[Type]="SuperEthanol E85")*(Tableau2[Économie cumulée (€)]&lt;&gt;""),ROW(Tableau2[Type])-ROW(Tableau2[#Headers])),5)),NA())</f>
        <v>#N/A</v>
      </c>
      <c r="S21" s="3" t="e">
        <f t="shared" si="4"/>
        <v>#N/A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2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2" s="58" t="e">
        <f>IF(Tableau2[[#This Row],[Type]]&lt;&gt;"SuperEthanol E85","",IF(Tableau2[[#This Row],[Coût Plein (€)]]="","",IF(N21&lt;&gt;"",N21+(L22-Tableau2[[#This Row],[Coût Plein (€)]]),L22-Tableau2[[#This Row],[Coût Plein (€)]])))</f>
        <v>#DIV/0!</v>
      </c>
      <c r="O22" s="80" t="s">
        <v>335</v>
      </c>
      <c r="Q22" s="3" t="e" cm="1">
        <f t="array" ref="Q22">IFERROR(IF(SMALL(IF((Tableau2[Type]="SuperEthanol E85")*(Tableau2[Économie cumulée (€)]&lt;&gt;""),ROW(Tableau2[Type])),6)&gt;0,6,NA()),NA())</f>
        <v>#N/A</v>
      </c>
      <c r="R22" s="3" t="e" cm="1">
        <f t="array" ref="R22">IFERROR(INDEX(Tableau2[Économie cumulée (€)],SMALL(IF((Tableau2[Type]="SuperEthanol E85")*(Tableau2[Économie cumulée (€)]&lt;&gt;""),ROW(Tableau2[Type])-ROW(Tableau2[#Headers])),6)),NA())</f>
        <v>#N/A</v>
      </c>
      <c r="S22" s="3" t="e">
        <f t="shared" si="4"/>
        <v>#N/A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3" s="57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3" s="58" t="e">
        <f>IF(Tableau2[[#This Row],[Type]]&lt;&gt;"SuperEthanol E85","",IF(Tableau2[[#This Row],[Coût Plein (€)]]="","",IF(N22&lt;&gt;"",N22+(L23-Tableau2[[#This Row],[Coût Plein (€)]]),L23-Tableau2[[#This Row],[Coût Plein (€)]])))</f>
        <v>#DIV/0!</v>
      </c>
      <c r="O23" s="80" t="s">
        <v>335</v>
      </c>
      <c r="Q23" s="3" t="e" cm="1">
        <f t="array" ref="Q23">IFERROR(IF(SMALL(IF((Tableau2[Type]="SuperEthanol E85")*(Tableau2[Économie cumulée (€)]&lt;&gt;""),ROW(Tableau2[Type])),7)&gt;0,7,NA()),NA())</f>
        <v>#N/A</v>
      </c>
      <c r="R23" s="3" t="e" cm="1">
        <f t="array" ref="R23">IFERROR(INDEX(Tableau2[Économie cumulée (€)],SMALL(IF((Tableau2[Type]="SuperEthanol E85")*(Tableau2[Économie cumulée (€)]&lt;&gt;""),ROW(Tableau2[Type])-ROW(Tableau2[#Headers])),7)),NA())</f>
        <v>#N/A</v>
      </c>
      <c r="S23" s="3" t="e">
        <f t="shared" si="4"/>
        <v>#N/A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4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4" s="58" t="e">
        <f>IF(Tableau2[[#This Row],[Type]]&lt;&gt;"SuperEthanol E85","",IF(Tableau2[[#This Row],[Coût Plein (€)]]="","",IF(N23&lt;&gt;"",N23+(L24-Tableau2[[#This Row],[Coût Plein (€)]]),L24-Tableau2[[#This Row],[Coût Plein (€)]])))</f>
        <v>#DIV/0!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25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25" s="54" t="e">
        <f>IF(Tableau2[[#This Row],[Type]]&lt;&gt;"SuperEthanol E85","",IF(Tableau2[[#This Row],[Coût Plein (€)]]="","",IF(N24&lt;&gt;"",N24+(L25-Tableau2[[#This Row],[Coût Plein (€)]]),L25-Tableau2[[#This Row],[Coût Plein (€)]])))</f>
        <v>#DIV/0!</v>
      </c>
      <c r="O25" s="80" t="s">
        <v>335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2</v>
      </c>
      <c r="C26" s="64" t="s">
        <v>100</v>
      </c>
      <c r="D26" s="65">
        <v>11831</v>
      </c>
      <c r="E26" s="65">
        <f>IF(AND(ISNUMBER(D25),Tableau2[[#This Row],[Km compteur]]&lt;&gt;""),Tableau2[[#This Row],[Km compteur]]-D25,"")</f>
        <v>0</v>
      </c>
      <c r="F26" s="66">
        <v>16.25</v>
      </c>
      <c r="G26" s="67">
        <v>0.79800000000000004</v>
      </c>
      <c r="H26" s="78" t="e">
        <f>IF(OR(D26="",D25="",I26="",ISTEXT(D25)),"",F26/(D26-D25)*100)</f>
        <v>#DIV/0!</v>
      </c>
      <c r="I26" s="54">
        <f>IF(F26="","",F26*G26)</f>
        <v>12.967500000000001</v>
      </c>
      <c r="J26" s="55" t="e">
        <f>IF(OR(D26="",D25="",F26="",ISTEXT(D25)),"",F26/(D26-D25)*100)</f>
        <v>#DIV/0!</v>
      </c>
      <c r="K26" s="68" t="str">
        <f>IF(Tableau2[[#This Row],[Type]]="Super 98",Tableau2[[#This Row],[Prix €/L]],"")</f>
        <v/>
      </c>
      <c r="L2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6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#VALUE!</v>
      </c>
      <c r="N26" s="54" t="e">
        <f>IF(Tableau2[[#This Row],[Type]]&lt;&gt;"SuperEthanol E85","",IF(Tableau2[[#This Row],[Coût Plein (€)]]="","",IF(N25&lt;&gt;"",N25+(L26-Tableau2[[#This Row],[Coût Plein (€)]]),L26-Tableau2[[#This Row],[Coût Plein (€)]])))</f>
        <v>#DIV/0!</v>
      </c>
      <c r="O26" s="80" t="s">
        <v>335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79">
        <f>IF(B27="","",A26+1)</f>
        <v>12</v>
      </c>
      <c r="B27" s="48">
        <v>2</v>
      </c>
      <c r="C27" s="64" t="s">
        <v>81</v>
      </c>
      <c r="D27" s="65">
        <v>9812</v>
      </c>
      <c r="E27" s="65">
        <f>IF(AND(ISNUMBER(D26),Tableau2[[#This Row],[Km compteur]]&lt;&gt;""),Tableau2[[#This Row],[Km compteur]]-D26,"")</f>
        <v>-2019</v>
      </c>
      <c r="F27" s="66">
        <v>11.4</v>
      </c>
      <c r="G27" s="67">
        <v>1.9730000000000001</v>
      </c>
      <c r="H27" s="78">
        <f>IF(OR(D27="",D26="",I27="",ISTEXT(D26)),"",F27/(D27-D26)*100)</f>
        <v>-0.56463595839524516</v>
      </c>
      <c r="I27" s="54">
        <f>IF(F27="","",F27*G27)</f>
        <v>22.4922</v>
      </c>
      <c r="J27" s="55">
        <f>IF(OR(D27="",D26="",F27="",ISTEXT(D26)),"",F27/(D27-D26)*100)</f>
        <v>-0.56463595839524516</v>
      </c>
      <c r="K27" s="68">
        <v>1.9730000000000001</v>
      </c>
      <c r="L2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7" s="6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7" s="54" t="str">
        <f>IF(Tableau2[[#This Row],[Type]]&lt;&gt;"SuperEthanol E85","",IF(Tableau2[[#This Row],[Coût Plein (€)]]="","",IF(N26&lt;&gt;"",N26+(L27-Tableau2[[#This Row],[Coût Plein (€)]]),L27-Tableau2[[#This Row],[Coût Plein (€)]])))</f>
        <v/>
      </c>
      <c r="O27" s="80" t="s">
        <v>345</v>
      </c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9">
        <f>IF(B28="","",A27+1)</f>
        <v>13</v>
      </c>
      <c r="B28" s="48">
        <v>2</v>
      </c>
      <c r="C28" s="64" t="s">
        <v>81</v>
      </c>
      <c r="D28" s="65">
        <v>10094</v>
      </c>
      <c r="E28" s="65">
        <f>IF(AND(ISNUMBER(D27),Tableau2[[#This Row],[Km compteur]]&lt;&gt;""),Tableau2[[#This Row],[Km compteur]]-D27,"")</f>
        <v>282</v>
      </c>
      <c r="F28" s="66">
        <v>15.22</v>
      </c>
      <c r="G28" s="67">
        <v>1.9259999999999999</v>
      </c>
      <c r="H28" s="78">
        <f>IF(OR(D28="",D27="",I28="",ISTEXT(D27)),"",F28/(D28-D27)*100)</f>
        <v>5.3971631205673765</v>
      </c>
      <c r="I28" s="54">
        <f>IF(F28="","",F28*G28)</f>
        <v>29.31372</v>
      </c>
      <c r="J28" s="55">
        <f>IF(OR(D28="",D27="",F28="",ISTEXT(D27)),"",F28/(D28-D27)*100)</f>
        <v>5.3971631205673765</v>
      </c>
      <c r="K28" s="68">
        <v>1.9259999999999999</v>
      </c>
      <c r="L2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8" s="6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8" s="54" t="str">
        <f>IF(Tableau2[[#This Row],[Type]]&lt;&gt;"SuperEthanol E85","",IF(Tableau2[[#This Row],[Coût Plein (€)]]="","",IF(N27&lt;&gt;"",N27+(L28-Tableau2[[#This Row],[Coût Plein (€)]]),L28-Tableau2[[#This Row],[Coût Plein (€)]])))</f>
        <v/>
      </c>
      <c r="O28" s="80" t="s">
        <v>345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9">
        <f>IF(B29="","",A28+1)</f>
        <v>14</v>
      </c>
      <c r="B29" s="48">
        <v>2</v>
      </c>
      <c r="C29" s="64" t="s">
        <v>81</v>
      </c>
      <c r="D29" s="65">
        <v>10349</v>
      </c>
      <c r="E29" s="65">
        <f>IF(AND(ISNUMBER(D28),Tableau2[[#This Row],[Km compteur]]&lt;&gt;""),Tableau2[[#This Row],[Km compteur]]-D28,"")</f>
        <v>255</v>
      </c>
      <c r="F29" s="66">
        <v>13.75</v>
      </c>
      <c r="G29" s="67">
        <v>2.0310000000000001</v>
      </c>
      <c r="H29" s="78">
        <f>IF(OR(D29="",D28="",I29="",ISTEXT(D28)),"",F29/(D29-D28)*100)</f>
        <v>5.3921568627450984</v>
      </c>
      <c r="I29" s="54">
        <f>IF(F29="","",F29*G29)</f>
        <v>27.926250000000003</v>
      </c>
      <c r="J29" s="55">
        <f>IF(OR(D29="",D28="",F29="",ISTEXT(D28)),"",F29/(D29-D28)*100)</f>
        <v>5.3921568627450984</v>
      </c>
      <c r="K29" s="68">
        <v>2.0310000000000001</v>
      </c>
      <c r="L29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9" s="6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9" s="54" t="str">
        <f>IF(Tableau2[[#This Row],[Type]]&lt;&gt;"SuperEthanol E85","",IF(Tableau2[[#This Row],[Coût Plein (€)]]="","",IF(N28&lt;&gt;"",N28+(L29-Tableau2[[#This Row],[Coût Plein (€)]]),L29-Tableau2[[#This Row],[Coût Plein (€)]])))</f>
        <v/>
      </c>
      <c r="O29" s="80" t="s">
        <v>346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9">
        <f>IF(B30="","",A29+1)</f>
        <v>15</v>
      </c>
      <c r="B30" s="48">
        <v>2</v>
      </c>
      <c r="C30" s="64" t="s">
        <v>100</v>
      </c>
      <c r="D30" s="65">
        <v>10553</v>
      </c>
      <c r="E30" s="65">
        <f>IF(AND(ISNUMBER(D29),Tableau2[[#This Row],[Km compteur]]&lt;&gt;""),Tableau2[[#This Row],[Km compteur]]-D29,"")</f>
        <v>204</v>
      </c>
      <c r="F30" s="66">
        <v>11.47</v>
      </c>
      <c r="G30" s="67">
        <v>0.80900000000000005</v>
      </c>
      <c r="H30" s="78">
        <f>IF(OR(D30="",D29="",I30="",ISTEXT(D29)),"",F30/(D30-D29)*100)</f>
        <v>5.6225490196078436</v>
      </c>
      <c r="I30" s="54">
        <f>IF(F30="","",F30*G30)</f>
        <v>9.2792300000000019</v>
      </c>
      <c r="J30" s="55">
        <f>IF(OR(D30="",D29="",F30="",ISTEXT(D29)),"",F30/(D30-D29)*100)</f>
        <v>5.6225490196078436</v>
      </c>
      <c r="K30" s="68">
        <v>2.0790000000000002</v>
      </c>
      <c r="L30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0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0" s="54" t="e">
        <f>IF(Tableau2[[#This Row],[Type]]&lt;&gt;"SuperEthanol E85","",IF(Tableau2[[#This Row],[Coût Plein (€)]]="","",IF(N29&lt;&gt;"",N29+(L30-Tableau2[[#This Row],[Coût Plein (€)]]),L30-Tableau2[[#This Row],[Coût Plein (€)]])))</f>
        <v>#DIV/0!</v>
      </c>
      <c r="O30" s="80" t="s">
        <v>335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9">
        <f>IF(B31="","",A30+1)</f>
        <v>16</v>
      </c>
      <c r="B31" s="48">
        <v>2</v>
      </c>
      <c r="C31" s="64" t="s">
        <v>100</v>
      </c>
      <c r="D31" s="65">
        <v>10749</v>
      </c>
      <c r="E31" s="65">
        <f>IF(AND(ISNUMBER(D30),Tableau2[[#This Row],[Km compteur]]&lt;&gt;""),Tableau2[[#This Row],[Km compteur]]-D30,"")</f>
        <v>196</v>
      </c>
      <c r="F31" s="66">
        <v>11.71</v>
      </c>
      <c r="G31" s="67">
        <v>0.747</v>
      </c>
      <c r="H31" s="78">
        <f>IF(OR(D31="",D30="",I31="",ISTEXT(D30)),"",F31/(D31-D30)*100)</f>
        <v>5.9744897959183678</v>
      </c>
      <c r="I31" s="54">
        <f>IF(F31="","",F31*G31)</f>
        <v>8.7473700000000001</v>
      </c>
      <c r="J31" s="55">
        <f>IF(OR(D31="",D30="",F31="",ISTEXT(D30)),"",F31/(D31-D30)*100)</f>
        <v>5.9744897959183678</v>
      </c>
      <c r="K31" s="68">
        <v>2.0979999999999999</v>
      </c>
      <c r="L31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1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1" s="54" t="e">
        <f>IF(Tableau2[[#This Row],[Type]]&lt;&gt;"SuperEthanol E85","",IF(Tableau2[[#This Row],[Coût Plein (€)]]="","",IF(N30&lt;&gt;"",N30+(L31-Tableau2[[#This Row],[Coût Plein (€)]]),L31-Tableau2[[#This Row],[Coût Plein (€)]])))</f>
        <v>#DIV/0!</v>
      </c>
      <c r="O31" s="80" t="s">
        <v>335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9">
        <f>IF(B32="","",A31+1)</f>
        <v>17</v>
      </c>
      <c r="B32" s="48">
        <v>2</v>
      </c>
      <c r="C32" s="64" t="s">
        <v>100</v>
      </c>
      <c r="D32" s="65">
        <v>10975</v>
      </c>
      <c r="E32" s="65">
        <f>IF(AND(ISNUMBER(D31),Tableau2[[#This Row],[Km compteur]]&lt;&gt;""),Tableau2[[#This Row],[Km compteur]]-D31,"")</f>
        <v>226</v>
      </c>
      <c r="F32" s="66">
        <v>15.28</v>
      </c>
      <c r="G32" s="67">
        <v>0.75700000000000001</v>
      </c>
      <c r="H32" s="78">
        <f>IF(OR(D32="",D31="",I32="",ISTEXT(D31)),"",F32/(D32-D31)*100)</f>
        <v>6.7610619469026547</v>
      </c>
      <c r="I32" s="54">
        <f>IF(F32="","",F32*G32)</f>
        <v>11.56696</v>
      </c>
      <c r="J32" s="55">
        <f>IF(OR(D32="",D31="",F32="",ISTEXT(D31)),"",F32/(D32-D31)*100)</f>
        <v>6.7610619469026547</v>
      </c>
      <c r="K32" s="68">
        <v>2.0979999999999999</v>
      </c>
      <c r="L32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2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2" s="54" t="e">
        <f>IF(Tableau2[[#This Row],[Type]]&lt;&gt;"SuperEthanol E85","",IF(Tableau2[[#This Row],[Coût Plein (€)]]="","",IF(N31&lt;&gt;"",N31+(L32-Tableau2[[#This Row],[Coût Plein (€)]]),L32-Tableau2[[#This Row],[Coût Plein (€)]])))</f>
        <v>#DIV/0!</v>
      </c>
      <c r="O32" s="80" t="s">
        <v>335</v>
      </c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9">
        <f>IF(B33="","",A32+1)</f>
        <v>18</v>
      </c>
      <c r="B33" s="48">
        <v>2</v>
      </c>
      <c r="C33" s="64" t="s">
        <v>100</v>
      </c>
      <c r="D33" s="65">
        <v>11173</v>
      </c>
      <c r="E33" s="65">
        <f>IF(AND(ISNUMBER(D32),Tableau2[[#This Row],[Km compteur]]&lt;&gt;""),Tableau2[[#This Row],[Km compteur]]-D32,"")</f>
        <v>198</v>
      </c>
      <c r="F33" s="66">
        <v>13.94</v>
      </c>
      <c r="G33" s="67">
        <v>0.83499999999999996</v>
      </c>
      <c r="H33" s="78">
        <f>IF(OR(D33="",D32="",I33="",ISTEXT(D32)),"",F33/(D33-D32)*100)</f>
        <v>7.0404040404040398</v>
      </c>
      <c r="I33" s="54">
        <f>IF(F33="","",F33*G33)</f>
        <v>11.639899999999999</v>
      </c>
      <c r="J33" s="55">
        <f>IF(OR(D33="",D32="",F33="",ISTEXT(D32)),"",F33/(D33-D32)*100)</f>
        <v>7.0404040404040398</v>
      </c>
      <c r="K33" s="68">
        <v>2.0950000000000002</v>
      </c>
      <c r="L33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3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3" s="54" t="e">
        <f>IF(Tableau2[[#This Row],[Type]]&lt;&gt;"SuperEthanol E85","",IF(Tableau2[[#This Row],[Coût Plein (€)]]="","",IF(N32&lt;&gt;"",N32+(L33-Tableau2[[#This Row],[Coût Plein (€)]]),L33-Tableau2[[#This Row],[Coût Plein (€)]])))</f>
        <v>#DIV/0!</v>
      </c>
      <c r="O33" s="80" t="s">
        <v>335</v>
      </c>
    </row>
    <row r="34" spans="1:27" x14ac:dyDescent="0.25">
      <c r="A34" s="79">
        <f>IF(B34="","",A33+1)</f>
        <v>19</v>
      </c>
      <c r="B34" s="48">
        <v>2</v>
      </c>
      <c r="C34" s="64" t="s">
        <v>100</v>
      </c>
      <c r="D34" s="65">
        <v>11376</v>
      </c>
      <c r="E34" s="65">
        <f>IF(AND(ISNUMBER(D33),Tableau2[[#This Row],[Km compteur]]&lt;&gt;""),Tableau2[[#This Row],[Km compteur]]-D33,"")</f>
        <v>203</v>
      </c>
      <c r="F34" s="66">
        <v>13.37</v>
      </c>
      <c r="G34" s="67">
        <v>0.71699999999999997</v>
      </c>
      <c r="H34" s="78">
        <f>IF(OR(D34="",D33="",I34="",ISTEXT(D33)),"",F34/(D34-D33)*100)</f>
        <v>6.5862068965517233</v>
      </c>
      <c r="I34" s="54">
        <f>IF(F34="","",F34*G34)</f>
        <v>9.5862899999999982</v>
      </c>
      <c r="J34" s="55">
        <f>IF(OR(D34="",D33="",F34="",ISTEXT(D33)),"",F34/(D34-D33)*100)</f>
        <v>6.5862068965517233</v>
      </c>
      <c r="K34" s="68">
        <v>2.0950000000000002</v>
      </c>
      <c r="L34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4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4" s="54" t="e">
        <f>IF(Tableau2[[#This Row],[Type]]&lt;&gt;"SuperEthanol E85","",IF(Tableau2[[#This Row],[Coût Plein (€)]]="","",IF(N33&lt;&gt;"",N33+(L34-Tableau2[[#This Row],[Coût Plein (€)]]),L34-Tableau2[[#This Row],[Coût Plein (€)]])))</f>
        <v>#DIV/0!</v>
      </c>
      <c r="O34" s="80" t="s">
        <v>335</v>
      </c>
    </row>
    <row r="35" spans="1:27" x14ac:dyDescent="0.25">
      <c r="A35" s="79">
        <f>IF(B35="","",A34+1)</f>
        <v>20</v>
      </c>
      <c r="B35" s="48">
        <v>2</v>
      </c>
      <c r="C35" s="64" t="s">
        <v>100</v>
      </c>
      <c r="D35" s="65">
        <v>11596</v>
      </c>
      <c r="E35" s="65">
        <f>IF(AND(ISNUMBER(D34),Tableau2[[#This Row],[Km compteur]]&lt;&gt;""),Tableau2[[#This Row],[Km compteur]]-D34,"")</f>
        <v>220</v>
      </c>
      <c r="F35" s="66">
        <v>14.9</v>
      </c>
      <c r="G35" s="67">
        <v>0.79800000000000004</v>
      </c>
      <c r="H35" s="78">
        <f>IF(OR(D35="",D34="",I35="",ISTEXT(D34)),"",F35/(D35-D34)*100)</f>
        <v>6.7727272727272734</v>
      </c>
      <c r="I35" s="54">
        <f>IF(F35="","",F35*G35)</f>
        <v>11.8902</v>
      </c>
      <c r="J35" s="55">
        <f>IF(OR(D35="",D34="",F35="",ISTEXT(D34)),"",F35/(D35-D34)*100)</f>
        <v>6.7727272727272734</v>
      </c>
      <c r="K35" s="68">
        <v>2.0910000000000002</v>
      </c>
      <c r="L35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5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5" s="54" t="e">
        <f>IF(Tableau2[[#This Row],[Type]]&lt;&gt;"SuperEthanol E85","",IF(Tableau2[[#This Row],[Coût Plein (€)]]="","",IF(N34&lt;&gt;"",N34+(L35-Tableau2[[#This Row],[Coût Plein (€)]]),L35-Tableau2[[#This Row],[Coût Plein (€)]])))</f>
        <v>#DIV/0!</v>
      </c>
      <c r="O35" s="80" t="s">
        <v>335</v>
      </c>
    </row>
    <row r="36" spans="1:27" x14ac:dyDescent="0.25">
      <c r="A36" s="79">
        <f>IF(B36="","",A35+1)</f>
        <v>21</v>
      </c>
      <c r="B36" s="48">
        <v>2</v>
      </c>
      <c r="C36" s="64" t="s">
        <v>100</v>
      </c>
      <c r="D36" s="65">
        <v>12041</v>
      </c>
      <c r="E36" s="65">
        <f>IF(AND(ISNUMBER(D35),Tableau2[[#This Row],[Km compteur]]&lt;&gt;""),Tableau2[[#This Row],[Km compteur]]-D35,"")</f>
        <v>445</v>
      </c>
      <c r="F36" s="66">
        <v>13.23</v>
      </c>
      <c r="G36" s="67">
        <v>0.84899999999999998</v>
      </c>
      <c r="H36" s="78">
        <f>IF(OR(D36="",D35="",I36="",ISTEXT(D35)),"",F36/(D36-D35)*100)</f>
        <v>2.9730337078651683</v>
      </c>
      <c r="I36" s="54">
        <f>IF(F36="","",F36*G36)</f>
        <v>11.23227</v>
      </c>
      <c r="J36" s="55">
        <f>IF(OR(D36="",D35="",F36="",ISTEXT(D35)),"",F36/(D36-D35)*100)</f>
        <v>2.9730337078651683</v>
      </c>
      <c r="K36" s="68">
        <v>2.1789999999999998</v>
      </c>
      <c r="L36" s="54" t="e">
        <f>IF(OR(Tableau2[[#This Row],[Type]]&lt;&gt;"SuperEthanol E85",Tableau2[[#This Row],[Nb. Litres]]="",Tableau2[[#This Row],[Prix S98 jour (€/L)]]=""),"",Tableau2[[#This Row],[Nb. Litres]]/(1+$J$7)*Tableau2[[#This Row],[Prix S98 jour (€/L)]])</f>
        <v>#DIV/0!</v>
      </c>
      <c r="M36" s="63" t="e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#DIV/0!</v>
      </c>
      <c r="N36" s="54" t="e">
        <f>IF(Tableau2[[#This Row],[Type]]&lt;&gt;"SuperEthanol E85","",IF(Tableau2[[#This Row],[Coût Plein (€)]]="","",IF(N35&lt;&gt;"",N35+(L36-Tableau2[[#This Row],[Coût Plein (€)]]),L36-Tableau2[[#This Row],[Coût Plein (€)]])))</f>
        <v>#DIV/0!</v>
      </c>
      <c r="O36" s="80" t="s">
        <v>345</v>
      </c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27" x14ac:dyDescent="0.25">
      <c r="A38" s="5" t="s">
        <v>15</v>
      </c>
      <c r="B38" s="6"/>
      <c r="C38" s="6"/>
      <c r="D38" s="6"/>
      <c r="E38" s="6"/>
      <c r="F38" s="4"/>
      <c r="G38" s="16" t="s">
        <v>19</v>
      </c>
      <c r="H38" s="17"/>
      <c r="I38" s="17"/>
      <c r="J38" s="17"/>
      <c r="K38" s="17"/>
      <c r="L38" s="17"/>
      <c r="M38" s="4"/>
    </row>
    <row r="39" spans="1:27" x14ac:dyDescent="0.25">
      <c r="A39" s="7" t="s">
        <v>67</v>
      </c>
      <c r="B39" s="9">
        <f>COUNTIF(C16:C36,"SuperEthanol E85")</f>
        <v>15</v>
      </c>
      <c r="C39" s="9"/>
      <c r="D39" s="9"/>
      <c r="E39" s="9"/>
      <c r="F39" s="4"/>
      <c r="G39" s="18" t="s">
        <v>20</v>
      </c>
      <c r="H39" s="18"/>
      <c r="I39" s="18"/>
      <c r="J39" s="69" t="e">
        <f>SUM(L16:L36)</f>
        <v>#DIV/0!</v>
      </c>
      <c r="K39" s="18"/>
      <c r="L39" s="18"/>
      <c r="M39" s="8" t="s">
        <v>21</v>
      </c>
      <c r="AA39"/>
    </row>
    <row r="40" spans="1:27" x14ac:dyDescent="0.25">
      <c r="A40" s="10" t="s">
        <v>66</v>
      </c>
      <c r="B40" s="21">
        <f>COUNTIF(C16:C36,"Super 98")</f>
        <v>6</v>
      </c>
      <c r="C40" s="11"/>
      <c r="D40" s="11"/>
      <c r="E40" s="11"/>
      <c r="F40" s="4"/>
      <c r="G40" s="19" t="s">
        <v>22</v>
      </c>
      <c r="H40" s="19"/>
      <c r="I40" s="19"/>
      <c r="J40" s="70" t="e">
        <f>IF(J39=0,"",J39-B45)</f>
        <v>#DIV/0!</v>
      </c>
      <c r="K40" s="19"/>
      <c r="L40" s="19"/>
      <c r="M40" s="8" t="s">
        <v>23</v>
      </c>
    </row>
    <row r="41" spans="1:27" x14ac:dyDescent="0.25">
      <c r="A41" s="7" t="s">
        <v>16</v>
      </c>
      <c r="B41" s="22">
        <f>IF(COUNTA(D16:D36)&lt;2,"",MAX(D16:D36)-MIN(D16:D36))</f>
        <v>2229</v>
      </c>
      <c r="C41" s="12"/>
      <c r="D41" s="12"/>
      <c r="E41" s="12"/>
      <c r="F41" s="4"/>
      <c r="G41" s="20" t="s">
        <v>24</v>
      </c>
      <c r="H41" s="18"/>
      <c r="I41" s="18"/>
      <c r="J41" s="71" t="e">
        <f>IF(J40="","",J40-B5)</f>
        <v>#DIV/0!</v>
      </c>
      <c r="K41" s="18"/>
      <c r="L41" s="18"/>
      <c r="M41" s="8" t="s">
        <v>25</v>
      </c>
    </row>
    <row r="42" spans="1:27" x14ac:dyDescent="0.25">
      <c r="A42" s="61" t="s">
        <v>182</v>
      </c>
      <c r="B42" s="62">
        <f>IFERROR((LOOKUP(9.99999999999999E+307,Tableau2[Km compteur])-INDEX(Tableau2[Km compteur],1))/(LOOKUP(9.99999999999999E+307,Tableau2[Date])-INDEX(Tableau2[Date],1))*7,"-")</f>
        <v>-0.33824708968327954</v>
      </c>
      <c r="C42" s="11"/>
      <c r="D42" s="11"/>
      <c r="E42" s="11"/>
      <c r="F42" s="4"/>
      <c r="G42" s="19" t="s">
        <v>26</v>
      </c>
      <c r="H42" s="19"/>
      <c r="I42" s="19"/>
      <c r="J42" s="72" t="e">
        <f>IF(OR(B5="",B5=0,J40=""),"",MIN(J40/B5,1))</f>
        <v>#DIV/0!</v>
      </c>
      <c r="K42" s="19"/>
      <c r="L42" s="19"/>
      <c r="M42" s="4"/>
    </row>
    <row r="43" spans="1:27" x14ac:dyDescent="0.25">
      <c r="A43" s="7" t="s">
        <v>183</v>
      </c>
      <c r="B43" s="60">
        <f>IFERROR((LOOKUP(9.99999999999999E+307,Tableau2[Km compteur])-INDEX(Tableau2[Km compteur],1))/(LOOKUP(9.99999999999999E+307,Tableau2[Date])-INDEX(Tableau2[Date],1))*30.4375,"-")</f>
        <v>-1.4707708274621172</v>
      </c>
      <c r="C43" s="12"/>
      <c r="D43" s="12"/>
      <c r="E43" s="12"/>
      <c r="F43" s="4"/>
      <c r="G43" s="18" t="s">
        <v>27</v>
      </c>
      <c r="H43" s="18"/>
      <c r="I43" s="18"/>
      <c r="J43" s="18" t="e">
        <f>IF(J41="","",IF(J41&gt;=0,"✅ OUI ! Rentabilisé !","❌ Pas encore... Encore "&amp;TEXT(ABS(J41),"#,##")&amp;" € à économiser"))</f>
        <v>#DIV/0!</v>
      </c>
      <c r="K43" s="18"/>
      <c r="L43" s="18"/>
      <c r="M43" s="4"/>
    </row>
    <row r="44" spans="1:27" x14ac:dyDescent="0.25">
      <c r="A44" s="10" t="s">
        <v>17</v>
      </c>
      <c r="B44" s="23">
        <f>SUMIF(C16:C36,"SuperEthanol E85",F16:F36)</f>
        <v>207.07</v>
      </c>
      <c r="C44" s="13"/>
      <c r="D44" s="13"/>
      <c r="E44" s="13"/>
      <c r="F44" s="4"/>
      <c r="G44" s="73"/>
      <c r="H44" s="73"/>
      <c r="I44" s="73"/>
      <c r="J44" s="73"/>
      <c r="K44" s="73"/>
      <c r="L44" s="73"/>
      <c r="M44" s="4"/>
    </row>
    <row r="45" spans="1:27" x14ac:dyDescent="0.25">
      <c r="A45" s="7" t="s">
        <v>18</v>
      </c>
      <c r="B45" s="24">
        <f>SUMIF(C16:C36,"SuperEthanol E85",I16:I36)</f>
        <v>162.58716999999999</v>
      </c>
      <c r="C45" s="12"/>
      <c r="D45" s="12"/>
      <c r="E45" s="12"/>
      <c r="F45" s="4"/>
      <c r="G45" s="18" t="s">
        <v>40</v>
      </c>
      <c r="H45" s="18"/>
      <c r="I45" s="18"/>
      <c r="J45" s="75" t="e">
        <f>IF(OR(J40="",B41="",B41=0),"",J40/B41*100)</f>
        <v>#DIV/0!</v>
      </c>
      <c r="K45" s="18"/>
      <c r="L45" s="18"/>
      <c r="M45" s="4"/>
    </row>
    <row r="46" spans="1:27" x14ac:dyDescent="0.25">
      <c r="A46" s="10" t="s">
        <v>60</v>
      </c>
      <c r="B46" s="23" t="str">
        <f>IFERROR(AVERAGEIFS(J16:J36,C16:C36,"SuperEthanol E85"),"")</f>
        <v/>
      </c>
      <c r="C46" s="14"/>
      <c r="D46" s="14"/>
      <c r="E46" s="14"/>
      <c r="F46" s="4"/>
      <c r="G46" s="19" t="s">
        <v>184</v>
      </c>
      <c r="H46" s="19"/>
      <c r="I46" s="19"/>
      <c r="J46" s="74" t="e">
        <f>IF(OR(J45="",J45&lt;=0,J41=""),"",IF(J41&gt;=0,0,ROUNDUP(ABS(J41)/J45*100,0)))</f>
        <v>#DIV/0!</v>
      </c>
      <c r="K46" s="19"/>
      <c r="L46" s="19"/>
      <c r="M46" s="4"/>
    </row>
    <row r="47" spans="1:27" x14ac:dyDescent="0.25">
      <c r="A47" s="7" t="s">
        <v>61</v>
      </c>
      <c r="B47" s="12">
        <f>IFERROR(AVERAGEIFS(J16:J36,C16:C36,"Super 98"),"")</f>
        <v>4.2028008016459406</v>
      </c>
      <c r="C47" s="15"/>
      <c r="D47" s="15"/>
      <c r="E47" s="15"/>
      <c r="F47" s="4"/>
      <c r="G47" s="4"/>
      <c r="H47" s="4"/>
      <c r="I47" s="4"/>
      <c r="J47" s="4"/>
      <c r="K47" s="4"/>
      <c r="L47" s="4"/>
    </row>
    <row r="48" spans="1:27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</sheetData>
  <sheetProtection selectLockedCells="1"/>
  <mergeCells count="2">
    <mergeCell ref="G10:H10"/>
    <mergeCell ref="A1:O1"/>
  </mergeCells>
  <phoneticPr fontId="15" type="noConversion"/>
  <conditionalFormatting sqref="K16:K36">
    <cfRule type="expression" dxfId="0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3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3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