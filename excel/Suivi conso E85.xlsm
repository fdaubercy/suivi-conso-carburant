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61F72B99-8174-48E5-B346-05F5532C5242}" xr6:coauthVersionLast="47" xr6:coauthVersionMax="47" xr10:uidLastSave="{00000000-0000-0000-0000-000000000000}"/>
  <bookViews>
    <workbookView xWindow="0" yWindow="0" windowWidth="24000" windowHeight="1278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H21" i="8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<sst xmlns="http://schemas.openxmlformats.org/spreadsheetml/2006/main" count="517" uniqueCount="374">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</sst>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1" fillId="22" borderId="0" xfId="0" applyFont="1" applyFill="1" applyAlignment="1">
      <alignment horizontal="center" vertical="center"/>
    </xf>
    <xf numFmtId="186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85" fontId="0" fillId="0" borderId="12" xfId="0" applyNumberFormat="1" applyBorder="1" applyAlignment="1">
      <alignment horizontal="center" vertical="center"/>
    </xf>
    <xf numFmtId="0" fontId="32" fillId="0" borderId="0" xfId="0" applyFont="1" applyAlignment="1">
      <alignment horizontal="left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3"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D99C8B9-DE2A-6F32-3E61-2D84B6987E0E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52" dataDxfId="51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12"/>
    <tableColumn id="2" xr3:uid="{6AFDA1AD-8B7E-4056-B820-4B105507BC22}" uniqueName="2" name="Date" queryTableFieldId="2" dataDxfId="10"/>
    <tableColumn id="3" xr3:uid="{0E3159AD-DEC3-4CB0-8263-673EE4364DE4}" uniqueName="3" name="Type" queryTableFieldId="3" dataDxfId="11"/>
    <tableColumn id="4" xr3:uid="{9CA1100B-4402-4A99-881C-A70EA8E0EBA0}" uniqueName="4" name="Km" queryTableFieldId="4" dataDxfId="50"/>
    <tableColumn id="5" xr3:uid="{3DC79D37-A57D-45A6-B68B-28F91AE90D1B}" uniqueName="5" name="Litres" queryTableFieldId="5" dataDxfId="49"/>
    <tableColumn id="6" xr3:uid="{E20F9B47-933F-4695-AC5B-7BFCB43AA70B}" uniqueName="6" name="PrixL" queryTableFieldId="6" dataDxfId="48"/>
    <tableColumn id="8" xr3:uid="{1810D7F1-75C0-4692-B633-9344880F4391}" uniqueName="8" name="Station essence" queryTableFieldId="8" dataDxfId="47"/>
    <tableColumn id="9" xr3:uid="{B958E2B1-5DEB-4CEF-B30E-3537BD55A8E8}" uniqueName="9" name="Vehicule" queryTableFieldId="9" dataDxfId="46"/>
    <tableColumn id="10" xr3:uid="{7955E5A1-C834-43AD-B7C1-739EA1C9FB0B}" uniqueName="10" name="E85 station" queryTableFieldId="10" dataDxfId="45"/>
    <tableColumn id="11" xr3:uid="{168A26EB-A626-4924-B067-7D0EE30B248F}" uniqueName="11" name="SP98 station" queryTableFieldId="11" dataDxfId="44"/>
    <tableColumn id="12" xr3:uid="{18AADF40-972E-454B-9FD3-FD2D10CCF4B9}" uniqueName="12" name="SP95 station" queryTableFieldId="12" dataDxfId="43"/>
    <tableColumn id="13" xr3:uid="{A1195D38-1809-462B-9D20-AE18F43CBC4B}" uniqueName="13" name="E10 station" queryTableFieldId="13" dataDxfId="42"/>
    <tableColumn id="14" xr3:uid="{9F059A0B-5171-4FB9-8BF4-0CBD57021E52}" uniqueName="14" name="Gazole station" queryTableFieldId="14" dataDxfId="41"/>
    <tableColumn id="15" xr3:uid="{BE30AC6F-80E2-4B6C-B72A-506C9FC60853}" uniqueName="15" name="GPLc station" queryTableFieldId="15" dataDxfId="40"/>
    <tableColumn id="16" xr3:uid="{DD5EAF57-67B9-4006-88AF-5A82745A6E1D}" uniqueName="16" name="sync_id" queryTableFieldId="16" dataDxfId="9"/>
    <tableColumn id="7" xr3:uid="{217649AA-00FB-44C2-B916-78329111BFA4}" uniqueName="7" name="Modifie_local" queryTableFieldId="18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D443D45-7832-438C-A026-7AAD10419163}" name="DonneesExternes_1" displayName="DonneesExternes_1" ref="A1:Y12" totalsRowShown="0">
  <autoFilter ref="A1:Y12" xr:uid="{8D443D45-7832-438C-A026-7AAD10419163}"/>
  <tableColumns count="25">
    <tableColumn id="1" xr3:uid="{8D122C3C-0C52-4EB3-9A72-2D2CE1478243}" name="Horodatage" dataDxfId="1"/>
    <tableColumn id="2" xr3:uid="{CC94F6F8-FD60-422D-B52A-9F3B4459ECC8}" name="Date" dataDxfId="0"/>
    <tableColumn id="3" xr3:uid="{D8CB175A-99F7-4025-99F6-B3F25DA32D56}" name="Type"/>
    <tableColumn id="4" xr3:uid="{4F40BB58-B6EB-4D41-951A-8C0CEC97CB37}" name="Km compteur"/>
    <tableColumn id="5" xr3:uid="{C9413865-01D3-47DC-8FB0-61944982A656}" name="Nb. Litres"/>
    <tableColumn id="6" xr3:uid="{7468741B-EE98-474C-90E3-11CB38E897D7}" name="Prix €/L"/>
    <tableColumn id="7" xr3:uid="{3F19F0D8-D0C1-41C5-A007-C06CD49B0DD2}" name="Station essence"/>
    <tableColumn id="8" xr3:uid="{70FB34FC-0FF9-4022-94B4-9E17405BAC22}" name="Véhicule"/>
    <tableColumn id="9" xr3:uid="{32773B50-E2C4-4530-B322-CAB086C28718}" name="E85 station (€/L)"/>
    <tableColumn id="10" xr3:uid="{A1C9A39F-4005-4EA1-94A5-FC192EA95A74}" name="SP98 station (€/L)"/>
    <tableColumn id="11" xr3:uid="{060A6665-BE77-4E3D-A390-267E33F31C8A}" name="SP95 station (€/L)"/>
    <tableColumn id="12" xr3:uid="{BF3A236E-4899-4740-9268-F4890DC2C661}" name="E10 station (€/L)"/>
    <tableColumn id="13" xr3:uid="{1A1C5B0B-9817-4A1E-B0BE-1902EA8E68D2}" name="Gazole station (€/L)"/>
    <tableColumn id="14" xr3:uid="{8AA8CB41-C9FC-44CE-8991-97D46C3D5ADB}" name="GPLc station (€/L)"/>
    <tableColumn id="15" xr3:uid="{62292252-0C2A-4EB0-9321-E62C26B7FF44}" name="sync_id"/>
    <tableColumn id="16" xr3:uid="{3A0E1439-747E-4B96-9389-47532C23688A}" name="Photo ticket"/>
    <tableColumn id="17" xr3:uid="{598523E2-D19A-4795-9116-4B73DAFAC946}" name="Colonne1"/>
    <tableColumn id="18" xr3:uid="{E94548E2-30B0-44A6-9BB3-B524E9C6D18F}" name="Colonne2"/>
    <tableColumn id="19" xr3:uid="{3CC511BE-01BD-4DE0-A54D-5CC079B92A13}" name="Colonne3"/>
    <tableColumn id="20" xr3:uid="{F1E4B0C3-09CE-401E-96B9-82E75F69E7BA}" name="Colonne4"/>
    <tableColumn id="21" xr3:uid="{EE6E5BDB-FF1D-4023-941A-577FA30E4CE2}" name="Colonne5"/>
    <tableColumn id="22" xr3:uid="{3DFA549E-C106-48DE-85B2-8ED0941109EE}" name="Colonne6"/>
    <tableColumn id="23" xr3:uid="{99E6C65C-58FD-4548-B615-9057CB9256FD}" name="Colonne7"/>
    <tableColumn id="24" xr3:uid="{221AF6CF-CF45-477A-A19D-5521C706F6D8}" name="Colonne8"/>
    <tableColumn id="25" xr3:uid="{936EAAA5-6437-4747-AF03-1B8CE5F9ED75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8" dataDxfId="36" headerRowBorderDxfId="37" tableBorderDxfId="35" totalsRowBorderDxfId="34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3">
      <calculatedColumnFormula>IF(B16="","",A15+1)</calculatedColumnFormula>
    </tableColumn>
    <tableColumn id="2" xr3:uid="{D9E9EBFF-BC9D-4E59-9822-91D7DEC1E7CE}" name="Date" dataDxfId="32"/>
    <tableColumn id="11" xr3:uid="{A77486BA-32D8-4661-BA23-1144AE2FD0EC}" name="Type" dataDxfId="31"/>
    <tableColumn id="3" xr3:uid="{6C87F133-7224-4AAB-ACB2-666E8B7315B5}" name="Km compteur" dataDxfId="30"/>
    <tableColumn id="15" xr3:uid="{E9E70181-907F-4D1A-BD9D-156B992A2880}" name="Nb. km" dataDxfId="29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8"/>
    <tableColumn id="5" xr3:uid="{A61BA34E-E60B-4F70-A1D9-62090C37C449}" name="Prix €/L" dataDxfId="27"/>
    <tableColumn id="13" xr3:uid="{C796B9E8-7AC6-4345-B44F-194876D2515D}" name="Coût c€/km" dataDxfId="26">
      <calculatedColumnFormula>IF(OR(D16="",D15="",I16="",ISTEXT(D15)),"",F16/(D16-D15)*100)</calculatedColumnFormula>
    </tableColumn>
    <tableColumn id="6" xr3:uid="{7A10B093-08A0-4955-A678-47B342940366}" name="Coût Plein (€)" dataDxfId="25">
      <calculatedColumnFormula>IF(F16="","",F16*G16)</calculatedColumnFormula>
    </tableColumn>
    <tableColumn id="7" xr3:uid="{0D4F331E-E5DE-4D78-8EE4-6B964BF0DB88}" name="Conso. (L/100km)" dataDxfId="24">
      <calculatedColumnFormula>IF(OR(D16="",D15="",F16="",ISTEXT(D15)),"",F16/(D16-D15)*100)</calculatedColumnFormula>
    </tableColumn>
    <tableColumn id="8" xr3:uid="{8C4BCB7E-42BC-494E-A304-19A9848326C2}" name="Prix S98 jour (€/L)" dataDxfId="23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2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1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0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8" dataDxfId="17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5" dataDxfId="14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21"/>
  <sheetViews>
    <sheetView zoomScale="70" zoomScaleNormal="70" workbookViewId="0">
      <selection activeCell="F1" sqref="F1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36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36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36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36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36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36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36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36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36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36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  <row r="21" spans="8:8" x14ac:dyDescent="0.25">
      <c r="H21" s="98">
        <f>IFERROR(AVERAGEIF(GS_Pleins[Station essence],"Carrefour - Flers",GS_Pleins[E85 station]),"")</f>
        <v>0.84899999999999998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G8" sqref="G8"/>
    </sheetView>
  </sheetViews>
  <sheetFormatPr baseColWidth="10" defaultRowHeight="15.75" x14ac:dyDescent="0.25"/>
  <cols>
    <col min="1" max="1" width="12.625" style="81" customWidth="1"/>
    <col min="2" max="2" width="15" style="81" bestFit="1" customWidth="1"/>
    <col min="3" max="3" width="8.125" style="81" bestFit="1" customWidth="1"/>
    <col min="4" max="4" width="12.5" style="81" bestFit="1" customWidth="1"/>
    <col min="5" max="5" width="6.5" style="81" bestFit="1" customWidth="1"/>
    <col min="6" max="6" width="9" style="81" bestFit="1" customWidth="1"/>
    <col min="7" max="7" width="7.375" style="81" bestFit="1" customWidth="1"/>
    <col min="8" max="8" width="12.375" style="81" bestFit="1" customWidth="1"/>
    <col min="9" max="9" width="8.75" style="81" bestFit="1" customWidth="1"/>
    <col min="10" max="10" width="24.625" style="81" customWidth="1"/>
    <col min="11" max="16384" width="11" style="81"/>
  </cols>
  <sheetData>
    <row r="1" spans="1:10" ht="30" customHeight="1" x14ac:dyDescent="0.25">
      <c r="A1" s="138" t="s">
        <v>370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ht="16.5" customHeight="1" x14ac:dyDescent="0.25">
      <c r="A2" s="144" t="s">
        <v>371</v>
      </c>
      <c r="B2" s="144"/>
      <c r="C2" s="144"/>
      <c r="D2" s="144"/>
      <c r="E2" s="144"/>
      <c r="F2" s="144"/>
      <c r="G2" s="144"/>
      <c r="H2" s="144"/>
      <c r="I2" s="144"/>
      <c r="J2" s="144"/>
    </row>
    <row r="3" spans="1:10" ht="6" customHeight="1" x14ac:dyDescent="0.25"/>
    <row r="4" spans="1:10" ht="24" customHeight="1" x14ac:dyDescent="0.25">
      <c r="A4" s="137" t="s">
        <v>1</v>
      </c>
      <c r="B4" s="137" t="s">
        <v>55</v>
      </c>
      <c r="C4" s="137" t="s">
        <v>308</v>
      </c>
      <c r="D4" s="137" t="s">
        <v>12</v>
      </c>
      <c r="E4" s="137" t="s">
        <v>372</v>
      </c>
      <c r="F4" s="137" t="s">
        <v>56</v>
      </c>
      <c r="G4" s="137" t="s">
        <v>57</v>
      </c>
      <c r="H4" s="137" t="s">
        <v>373</v>
      </c>
      <c r="I4" s="137" t="s">
        <v>365</v>
      </c>
      <c r="J4" s="137" t="s">
        <v>271</v>
      </c>
    </row>
    <row r="5" spans="1:10" x14ac:dyDescent="0.25">
      <c r="A5" s="139">
        <f>IFERROR(INDEX(GS_Pleins[Date],1),"")</f>
        <v>46131.083333333336</v>
      </c>
      <c r="B5" s="140" t="str">
        <f>IFERROR(INDEX(GS_Pleins[Type],1),"")</f>
        <v>Super 98</v>
      </c>
      <c r="C5" s="140" t="str">
        <f>IFERROR(INDEX(GS_Pleins[Vehicule],1),"")</f>
        <v>Z900</v>
      </c>
      <c r="D5" s="141">
        <f>IFERROR(INDEX(GS_Pleins[Km],1),"")</f>
        <v>9812</v>
      </c>
      <c r="E5" s="141"/>
      <c r="F5" s="142">
        <f>IFERROR(INDEX(GS_Pleins[Litres],1),"")</f>
        <v>11.4</v>
      </c>
      <c r="G5" s="143">
        <f>IFERROR(INDEX(GS_Pleins[PrixL],1),"")</f>
        <v>1.9730000000000001</v>
      </c>
      <c r="H5" s="142">
        <f>IFERROR($F5*$G5,"")</f>
        <v>22.4922</v>
      </c>
      <c r="I5" s="142" t="str">
        <f>IFERROR(IF(AND(ISNUMBER($E5),$E5&gt;0),$F5/$E5*100,""),"")</f>
        <v/>
      </c>
      <c r="J5" s="140" t="str">
        <f>IFERROR(INDEX(GS_Pleins[Station essence],1),"")</f>
        <v>Carrefour - Flers</v>
      </c>
    </row>
    <row r="6" spans="1:10" x14ac:dyDescent="0.25">
      <c r="A6" s="139">
        <f>IFERROR(INDEX(GS_Pleins[Date],2),"")</f>
        <v>46135.083333333336</v>
      </c>
      <c r="B6" s="140" t="str">
        <f>IFERROR(INDEX(GS_Pleins[Type],2),"")</f>
        <v>Super 98</v>
      </c>
      <c r="C6" s="140" t="str">
        <f>IFERROR(INDEX(GS_Pleins[Vehicule],2),"")</f>
        <v>Z900</v>
      </c>
      <c r="D6" s="141">
        <f>IFERROR(INDEX(GS_Pleins[Km],2),"")</f>
        <v>10094</v>
      </c>
      <c r="E6" s="141">
        <f>IFERROR(IF($C6=$C5,$D6-$D5,""),"")</f>
        <v>282</v>
      </c>
      <c r="F6" s="142">
        <f>IFERROR(INDEX(GS_Pleins[Litres],2),"")</f>
        <v>15.22</v>
      </c>
      <c r="G6" s="143">
        <f>IFERROR(INDEX(GS_Pleins[PrixL],2),"")</f>
        <v>1.9259999999999999</v>
      </c>
      <c r="H6" s="142">
        <f>IFERROR($F6*$G6,"")</f>
        <v>29.31372</v>
      </c>
      <c r="I6" s="142">
        <f>IFERROR(IF(AND(ISNUMBER($E6),$E6&gt;0),$F6/$E6*100,""),"")</f>
        <v>5.3971631205673765</v>
      </c>
      <c r="J6" s="140" t="str">
        <f>IFERROR(INDEX(GS_Pleins[Station essence],2),"")</f>
        <v>Carrefour - Flers</v>
      </c>
    </row>
    <row r="7" spans="1:10" x14ac:dyDescent="0.25">
      <c r="A7" s="139">
        <f>IFERROR(INDEX(GS_Pleins[Date],3),"")</f>
        <v>46140.083333333336</v>
      </c>
      <c r="B7" s="140" t="str">
        <f>IFERROR(INDEX(GS_Pleins[Type],3),"")</f>
        <v>Super 98</v>
      </c>
      <c r="C7" s="140" t="str">
        <f>IFERROR(INDEX(GS_Pleins[Vehicule],3),"")</f>
        <v>Z900</v>
      </c>
      <c r="D7" s="141">
        <f>IFERROR(INDEX(GS_Pleins[Km],3),"")</f>
        <v>10349</v>
      </c>
      <c r="E7" s="141">
        <f>IFERROR(IF($C7=$C6,$D7-$D6,""),"")</f>
        <v>255</v>
      </c>
      <c r="F7" s="142">
        <f>IFERROR(INDEX(GS_Pleins[Litres],3),"")</f>
        <v>13.75</v>
      </c>
      <c r="G7" s="143">
        <f>IFERROR(INDEX(GS_Pleins[PrixL],3),"")</f>
        <v>2.0310000000000001</v>
      </c>
      <c r="H7" s="142">
        <f>IFERROR($F7*$G7,"")</f>
        <v>27.926250000000003</v>
      </c>
      <c r="I7" s="142">
        <f>IFERROR(IF(AND(ISNUMBER($E7),$E7&gt;0),$F7/$E7*100,""),"")</f>
        <v>5.3921568627450984</v>
      </c>
      <c r="J7" s="140" t="str">
        <f>IFERROR(INDEX(GS_Pleins[Station essence],3),"")</f>
        <v>Leclerc - Douai</v>
      </c>
    </row>
    <row r="8" spans="1:10" x14ac:dyDescent="0.25">
      <c r="A8" s="139">
        <f>IFERROR(INDEX(GS_Pleins[Date],4),"")</f>
        <v>46146.083333333336</v>
      </c>
      <c r="B8" s="140" t="str">
        <f>IFERROR(INDEX(GS_Pleins[Type],4),"")</f>
        <v>SuperEthanol E85</v>
      </c>
      <c r="C8" s="140" t="str">
        <f>IFERROR(INDEX(GS_Pleins[Vehicule],4),"")</f>
        <v>Z900</v>
      </c>
      <c r="D8" s="141">
        <f>IFERROR(INDEX(GS_Pleins[Km],4),"")</f>
        <v>10553</v>
      </c>
      <c r="E8" s="141">
        <f>IFERROR(IF($C8=$C7,$D8-$D7,""),"")</f>
        <v>204</v>
      </c>
      <c r="F8" s="142">
        <f>IFERROR(INDEX(GS_Pleins[Litres],4),"")</f>
        <v>11.47</v>
      </c>
      <c r="G8" s="143">
        <f>IFERROR(INDEX(GS_Pleins[PrixL],4),"")</f>
        <v>0.80900000000000005</v>
      </c>
      <c r="H8" s="142">
        <f>IFERROR($F8*$G8,"")</f>
        <v>9.2792300000000019</v>
      </c>
      <c r="I8" s="142">
        <f>IFERROR(IF(AND(ISNUMBER($E8),$E8&gt;0),$F8/$E8*100,""),"")</f>
        <v>5.6225490196078436</v>
      </c>
      <c r="J8" s="140" t="str">
        <f>IFERROR(INDEX(GS_Pleins[Station essence],4),"")</f>
        <v>E.Leclerc - Beuvry</v>
      </c>
    </row>
    <row r="9" spans="1:10" x14ac:dyDescent="0.25">
      <c r="A9" s="139">
        <f>IFERROR(INDEX(GS_Pleins[Date],5),"")</f>
        <v>46148.083333333336</v>
      </c>
      <c r="B9" s="140" t="str">
        <f>IFERROR(INDEX(GS_Pleins[Type],5),"")</f>
        <v>SuperEthanol E85</v>
      </c>
      <c r="C9" s="140" t="str">
        <f>IFERROR(INDEX(GS_Pleins[Vehicule],5),"")</f>
        <v>Z900</v>
      </c>
      <c r="D9" s="141">
        <f>IFERROR(INDEX(GS_Pleins[Km],5),"")</f>
        <v>10749</v>
      </c>
      <c r="E9" s="141">
        <f>IFERROR(IF($C9=$C8,$D9-$D8,""),"")</f>
        <v>196</v>
      </c>
      <c r="F9" s="142">
        <f>IFERROR(INDEX(GS_Pleins[Litres],5),"")</f>
        <v>11.71</v>
      </c>
      <c r="G9" s="143">
        <f>IFERROR(INDEX(GS_Pleins[PrixL],5),"")</f>
        <v>0.747</v>
      </c>
      <c r="H9" s="142">
        <f>IFERROR($F9*$G9,"")</f>
        <v>8.7473700000000001</v>
      </c>
      <c r="I9" s="142">
        <f>IFERROR(IF(AND(ISNUMBER($E9),$E9&gt;0),$F9/$E9*100,""),"")</f>
        <v>5.9744897959183678</v>
      </c>
      <c r="J9" s="140" t="str">
        <f>IFERROR(INDEX(GS_Pleins[Station essence],5),"")</f>
        <v>E.Leclerc - Beuvry</v>
      </c>
    </row>
    <row r="10" spans="1:10" x14ac:dyDescent="0.25">
      <c r="A10" s="139">
        <f>IFERROR(INDEX(GS_Pleins[Date],6),"")</f>
        <v>46151.083333333336</v>
      </c>
      <c r="B10" s="140" t="str">
        <f>IFERROR(INDEX(GS_Pleins[Type],6),"")</f>
        <v>SuperEthanol E85</v>
      </c>
      <c r="C10" s="140" t="str">
        <f>IFERROR(INDEX(GS_Pleins[Vehicule],6),"")</f>
        <v>Z900</v>
      </c>
      <c r="D10" s="141">
        <f>IFERROR(INDEX(GS_Pleins[Km],6),"")</f>
        <v>10975</v>
      </c>
      <c r="E10" s="141">
        <f>IFERROR(IF($C10=$C9,$D10-$D9,""),"")</f>
        <v>226</v>
      </c>
      <c r="F10" s="142">
        <f>IFERROR(INDEX(GS_Pleins[Litres],6),"")</f>
        <v>15.28</v>
      </c>
      <c r="G10" s="143">
        <f>IFERROR(INDEX(GS_Pleins[PrixL],6),"")</f>
        <v>0.75700000000000001</v>
      </c>
      <c r="H10" s="142">
        <f>IFERROR($F10*$G10,"")</f>
        <v>11.56696</v>
      </c>
      <c r="I10" s="142">
        <f>IFERROR(IF(AND(ISNUMBER($E10),$E10&gt;0),$F10/$E10*100,""),"")</f>
        <v>6.7610619469026547</v>
      </c>
      <c r="J10" s="140" t="str">
        <f>IFERROR(INDEX(GS_Pleins[Station essence],6),"")</f>
        <v>E.Leclerc - Beuvry</v>
      </c>
    </row>
    <row r="11" spans="1:10" x14ac:dyDescent="0.25">
      <c r="A11" s="139">
        <f>IFERROR(INDEX(GS_Pleins[Date],7),"")</f>
        <v>46154.083333333336</v>
      </c>
      <c r="B11" s="140" t="str">
        <f>IFERROR(INDEX(GS_Pleins[Type],7),"")</f>
        <v>SuperEthanol E85</v>
      </c>
      <c r="C11" s="140" t="str">
        <f>IFERROR(INDEX(GS_Pleins[Vehicule],7),"")</f>
        <v>Z900</v>
      </c>
      <c r="D11" s="141">
        <f>IFERROR(INDEX(GS_Pleins[Km],7),"")</f>
        <v>11173</v>
      </c>
      <c r="E11" s="141">
        <f>IFERROR(IF($C11=$C10,$D11-$D10,""),"")</f>
        <v>198</v>
      </c>
      <c r="F11" s="142">
        <f>IFERROR(INDEX(GS_Pleins[Litres],7),"")</f>
        <v>13.94</v>
      </c>
      <c r="G11" s="143">
        <f>IFERROR(INDEX(GS_Pleins[PrixL],7),"")</f>
        <v>0.83499999999999996</v>
      </c>
      <c r="H11" s="142">
        <f>IFERROR($F11*$G11,"")</f>
        <v>11.639899999999999</v>
      </c>
      <c r="I11" s="142">
        <f>IFERROR(IF(AND(ISNUMBER($E11),$E11&gt;0),$F11/$E11*100,""),"")</f>
        <v>7.0404040404040398</v>
      </c>
      <c r="J11" s="140" t="str">
        <f>IFERROR(INDEX(GS_Pleins[Station essence],7),"")</f>
        <v>E.Leclerc - Beuvry</v>
      </c>
    </row>
    <row r="12" spans="1:10" x14ac:dyDescent="0.25">
      <c r="A12" s="139">
        <f>IFERROR(INDEX(GS_Pleins[Date],8),"")</f>
        <v>46157.083333333336</v>
      </c>
      <c r="B12" s="140" t="str">
        <f>IFERROR(INDEX(GS_Pleins[Type],8),"")</f>
        <v>SuperEthanol E85</v>
      </c>
      <c r="C12" s="140" t="str">
        <f>IFERROR(INDEX(GS_Pleins[Vehicule],8),"")</f>
        <v>Z900</v>
      </c>
      <c r="D12" s="141">
        <f>IFERROR(INDEX(GS_Pleins[Km],8),"")</f>
        <v>11376</v>
      </c>
      <c r="E12" s="141">
        <f>IFERROR(IF($C12=$C11,$D12-$D11,""),"")</f>
        <v>203</v>
      </c>
      <c r="F12" s="142">
        <f>IFERROR(INDEX(GS_Pleins[Litres],8),"")</f>
        <v>13.37</v>
      </c>
      <c r="G12" s="143">
        <f>IFERROR(INDEX(GS_Pleins[PrixL],8),"")</f>
        <v>0.71699999999999997</v>
      </c>
      <c r="H12" s="142">
        <f>IFERROR($F12*$G12,"")</f>
        <v>9.5862899999999982</v>
      </c>
      <c r="I12" s="142">
        <f>IFERROR(IF(AND(ISNUMBER($E12),$E12&gt;0),$F12/$E12*100,""),"")</f>
        <v>6.5862068965517233</v>
      </c>
      <c r="J12" s="140" t="str">
        <f>IFERROR(INDEX(GS_Pleins[Station essence],8),"")</f>
        <v>E.Leclerc - Beuvry</v>
      </c>
    </row>
    <row r="13" spans="1:10" x14ac:dyDescent="0.25">
      <c r="A13" s="139">
        <f>IFERROR(INDEX(GS_Pleins[Date],9),"")</f>
        <v>46161.083333333336</v>
      </c>
      <c r="B13" s="140" t="str">
        <f>IFERROR(INDEX(GS_Pleins[Type],9),"")</f>
        <v>SuperEthanol E85</v>
      </c>
      <c r="C13" s="140" t="str">
        <f>IFERROR(INDEX(GS_Pleins[Vehicule],9),"")</f>
        <v>Z900</v>
      </c>
      <c r="D13" s="141">
        <f>IFERROR(INDEX(GS_Pleins[Km],9),"")</f>
        <v>11596</v>
      </c>
      <c r="E13" s="141">
        <f>IFERROR(IF($C13=$C12,$D13-$D12,""),"")</f>
        <v>220</v>
      </c>
      <c r="F13" s="142">
        <f>IFERROR(INDEX(GS_Pleins[Litres],9),"")</f>
        <v>14.9</v>
      </c>
      <c r="G13" s="143">
        <f>IFERROR(INDEX(GS_Pleins[PrixL],9),"")</f>
        <v>0.79800000000000004</v>
      </c>
      <c r="H13" s="142">
        <f>IFERROR($F13*$G13,"")</f>
        <v>11.8902</v>
      </c>
      <c r="I13" s="142">
        <f>IFERROR(IF(AND(ISNUMBER($E13),$E13&gt;0),$F13/$E13*100,""),"")</f>
        <v>6.7727272727272734</v>
      </c>
      <c r="J13" s="140" t="str">
        <f>IFERROR(INDEX(GS_Pleins[Station essence],9),"")</f>
        <v>E.Leclerc - Beuvry</v>
      </c>
    </row>
    <row r="14" spans="1:10" x14ac:dyDescent="0.25">
      <c r="A14" s="139">
        <f>IFERROR(INDEX(GS_Pleins[Date],10),"")</f>
        <v>46164.083333333336</v>
      </c>
      <c r="B14" s="140" t="str">
        <f>IFERROR(INDEX(GS_Pleins[Type],10),"")</f>
        <v>SuperEthanol E85</v>
      </c>
      <c r="C14" s="140" t="str">
        <f>IFERROR(INDEX(GS_Pleins[Vehicule],10),"")</f>
        <v>Z900</v>
      </c>
      <c r="D14" s="141">
        <f>IFERROR(INDEX(GS_Pleins[Km],10),"")</f>
        <v>11831</v>
      </c>
      <c r="E14" s="141">
        <f>IFERROR(IF($C14=$C13,$D14-$D13,""),"")</f>
        <v>235</v>
      </c>
      <c r="F14" s="142">
        <f>IFERROR(INDEX(GS_Pleins[Litres],10),"")</f>
        <v>16.25</v>
      </c>
      <c r="G14" s="143">
        <f>IFERROR(INDEX(GS_Pleins[PrixL],10),"")</f>
        <v>0.79800000000000004</v>
      </c>
      <c r="H14" s="142">
        <f>IFERROR($F14*$G14,"")</f>
        <v>12.967500000000001</v>
      </c>
      <c r="I14" s="142">
        <f>IFERROR(IF(AND(ISNUMBER($E14),$E14&gt;0),$F14/$E14*100,""),"")</f>
        <v>6.9148936170212769</v>
      </c>
      <c r="J14" s="140" t="str">
        <f>IFERROR(INDEX(GS_Pleins[Station essence],10),"")</f>
        <v>E.Leclerc - Beuvry</v>
      </c>
    </row>
    <row r="15" spans="1:10" x14ac:dyDescent="0.25">
      <c r="A15" s="139">
        <f>IFERROR(INDEX(GS_Pleins[Date],11),"")</f>
        <v>46170.083333333336</v>
      </c>
      <c r="B15" s="140" t="str">
        <f>IFERROR(INDEX(GS_Pleins[Type],11),"")</f>
        <v>SuperEthanol E85</v>
      </c>
      <c r="C15" s="140" t="str">
        <f>IFERROR(INDEX(GS_Pleins[Vehicule],11),"")</f>
        <v>Z900</v>
      </c>
      <c r="D15" s="141">
        <f>IFERROR(INDEX(GS_Pleins[Km],11),"")</f>
        <v>12041</v>
      </c>
      <c r="E15" s="141">
        <f>IFERROR(IF($C15=$C14,$D15-$D14,""),"")</f>
        <v>210</v>
      </c>
      <c r="F15" s="142">
        <f>IFERROR(INDEX(GS_Pleins[Litres],11),"")</f>
        <v>13.23</v>
      </c>
      <c r="G15" s="143">
        <f>IFERROR(INDEX(GS_Pleins[PrixL],11),"")</f>
        <v>0.84899999999999998</v>
      </c>
      <c r="H15" s="142">
        <f>IFERROR($F15*$G15,"")</f>
        <v>11.23227</v>
      </c>
      <c r="I15" s="142">
        <f>IFERROR(IF(AND(ISNUMBER($E15),$E15&gt;0),$F15/$E15*100,""),"")</f>
        <v>6.3</v>
      </c>
      <c r="J15" s="140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39" priority="2">
      <formula>AND($C16="SuperEthanol E85",$K16="")</formula>
    </cfRule>
  </conditionalFormatting>
  <conditionalFormatting sqref="G16:G26">
    <cfRule type="expression" dxfId="3" priority="3">
      <formula>AND($G16&lt;&gt;"",ISNUMBER($G16),$G16&lt;AVERAGEIFS(G:G,C:C,$C16,B:B,"&gt;="&amp;$B16-30,B:B," &lt;="&amp;$B16))</formula>
    </cfRule>
    <cfRule type="expression" dxfId="2" priority="4">
      <formula>AND($G16&lt;&gt;"",ISNUMBER($G16),$G16&gt;AVERAGEIFS(G:G,C:C,$C16,B:B,"&gt;="&amp;$B16-30,B:B," &lt;="&amp;$B16))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2026-05-30T03:23:00Z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