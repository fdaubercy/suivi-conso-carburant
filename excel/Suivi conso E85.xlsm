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B9FD0385-4350-49F0-ADB2-A82F23222434}" xr6:coauthVersionLast="47" xr6:coauthVersionMax="47" xr10:uidLastSave="{00000000-0000-0000-0000-000000000000}"/>
  <bookViews>
    <workbookView xWindow="-120" yWindow="-120" windowWidth="24240" windowHeight="13020" firstSheet="1" activeTab="5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11" l="1"/>
  <c r="I15" i="11"/>
  <c r="H15" i="11"/>
  <c r="G15" i="11"/>
  <c r="F15" i="11"/>
  <c r="E15" i="11"/>
  <c r="D15" i="11"/>
  <c r="C15" i="11"/>
  <c r="B15" i="11"/>
  <c r="A15" i="11"/>
  <c r="J14" i="11"/>
  <c r="I14" i="11"/>
  <c r="H14" i="11"/>
  <c r="G14" i="11"/>
  <c r="F14" i="11"/>
  <c r="E14" i="11"/>
  <c r="D14" i="11"/>
  <c r="C14" i="11"/>
  <c r="B14" i="11"/>
  <c r="A14" i="11"/>
  <c r="J13" i="11"/>
  <c r="I13" i="11"/>
  <c r="H13" i="11"/>
  <c r="G13" i="11"/>
  <c r="F13" i="11"/>
  <c r="E13" i="11"/>
  <c r="D13" i="11"/>
  <c r="C13" i="11"/>
  <c r="B13" i="11"/>
  <c r="A13" i="11"/>
  <c r="J12" i="11"/>
  <c r="I12" i="11"/>
  <c r="H12" i="11"/>
  <c r="G12" i="11"/>
  <c r="F12" i="11"/>
  <c r="E12" i="11"/>
  <c r="D12" i="11"/>
  <c r="C12" i="11"/>
  <c r="B12" i="11"/>
  <c r="A12" i="11"/>
  <c r="J11" i="11"/>
  <c r="I11" i="11"/>
  <c r="H11" i="11"/>
  <c r="G11" i="11"/>
  <c r="F11" i="11"/>
  <c r="E11" i="11"/>
  <c r="D11" i="11"/>
  <c r="C11" i="11"/>
  <c r="B11" i="11"/>
  <c r="A11" i="11"/>
  <c r="J10" i="11"/>
  <c r="I10" i="11"/>
  <c r="H10" i="11"/>
  <c r="G10" i="11"/>
  <c r="F10" i="11"/>
  <c r="E10" i="11"/>
  <c r="D10" i="11"/>
  <c r="C10" i="11"/>
  <c r="B10" i="11"/>
  <c r="A10" i="11"/>
  <c r="J9" i="11"/>
  <c r="I9" i="11"/>
  <c r="H9" i="11"/>
  <c r="G9" i="11"/>
  <c r="F9" i="11"/>
  <c r="E9" i="11"/>
  <c r="D9" i="11"/>
  <c r="C9" i="11"/>
  <c r="B9" i="11"/>
  <c r="A9" i="11"/>
  <c r="J8" i="11"/>
  <c r="I8" i="11"/>
  <c r="H8" i="11"/>
  <c r="G8" i="11"/>
  <c r="F8" i="11"/>
  <c r="E8" i="11"/>
  <c r="D8" i="11"/>
  <c r="C8" i="11"/>
  <c r="B8" i="11"/>
  <c r="A8" i="11"/>
  <c r="J7" i="11"/>
  <c r="I7" i="11"/>
  <c r="H7" i="11"/>
  <c r="G7" i="11"/>
  <c r="F7" i="11"/>
  <c r="E7" i="11"/>
  <c r="D7" i="11"/>
  <c r="C7" i="11"/>
  <c r="B7" i="11"/>
  <c r="A7" i="11"/>
  <c r="J6" i="11"/>
  <c r="I6" i="11"/>
  <c r="H6" i="11"/>
  <c r="G6" i="11"/>
  <c r="F6" i="11"/>
  <c r="E6" i="11"/>
  <c r="D6" i="11"/>
  <c r="C6" i="11"/>
  <c r="B6" i="11"/>
  <c r="A6" i="11"/>
  <c r="J5" i="11"/>
  <c r="I5" i="11"/>
  <c r="H5" i="11"/>
  <c r="G5" i="11"/>
  <c r="F5" i="11"/>
  <c r="D5" i="11"/>
  <c r="C5" i="11"/>
  <c r="B5" i="11"/>
  <c r="A5" i="11"/>
  <c r="B10" i="2"/>
  <c r="B11" i="2" s="1"/>
  <c r="C8" i="7"/>
  <c r="D8" i="7"/>
  <c r="E8" i="7"/>
  <c r="F8" i="7"/>
  <c r="G8" i="7"/>
  <c r="H8" i="7"/>
  <c r="C9" i="7"/>
  <c r="D9" i="7"/>
  <c r="E9" i="7"/>
  <c r="F9" i="7"/>
  <c r="G9" i="7"/>
  <c r="H9" i="7"/>
  <c r="C10" i="7"/>
  <c r="D10" i="7"/>
  <c r="E10" i="7"/>
  <c r="F10" i="7"/>
  <c r="G10" i="7"/>
  <c r="H10" i="7"/>
  <c r="C11" i="7"/>
  <c r="D11" i="7"/>
  <c r="E11" i="7"/>
  <c r="F11" i="7"/>
  <c r="G11" i="7"/>
  <c r="H11" i="7"/>
  <c r="C12" i="7"/>
  <c r="D12" i="7"/>
  <c r="E12" i="7"/>
  <c r="F12" i="7"/>
  <c r="G12" i="7"/>
  <c r="H12" i="7"/>
  <c r="C13" i="7"/>
  <c r="D13" i="7"/>
  <c r="E13" i="7"/>
  <c r="F13" i="7"/>
  <c r="G13" i="7"/>
  <c r="H13" i="7"/>
  <c r="C14" i="7"/>
  <c r="D14" i="7"/>
  <c r="E14" i="7"/>
  <c r="F14" i="7"/>
  <c r="G14" i="7"/>
  <c r="H14" i="7"/>
  <c r="C15" i="7"/>
  <c r="D15" i="7"/>
  <c r="E15" i="7"/>
  <c r="F15" i="7"/>
  <c r="G15" i="7"/>
  <c r="H15" i="7"/>
  <c r="C16" i="7"/>
  <c r="D16" i="7"/>
  <c r="E16" i="7"/>
  <c r="F16" i="7"/>
  <c r="G16" i="7"/>
  <c r="H16" i="7"/>
  <c r="C7" i="7"/>
  <c r="D7" i="7"/>
  <c r="E7" i="7"/>
  <c r="F7" i="7"/>
  <c r="G7" i="7"/>
  <c r="H7" i="7"/>
  <c r="H6" i="7"/>
  <c r="G6" i="7"/>
  <c r="F6" i="7"/>
  <c r="E6" i="7"/>
  <c r="D6" i="7"/>
  <c r="C6" i="7"/>
  <c r="N26" i="2"/>
  <c r="J26" i="2"/>
  <c r="H26" i="2"/>
  <c r="E26" i="2"/>
  <c r="A26" i="2"/>
  <c r="B30" i="2"/>
  <c r="B34" i="2"/>
  <c r="B29" i="2"/>
  <c r="B31" i="2"/>
  <c r="I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3" i="2"/>
  <c r="B32" i="2"/>
  <c r="S16" i="2"/>
  <c r="M17" i="2"/>
  <c r="M18" i="2"/>
  <c r="K17" i="2"/>
  <c r="I17" i="2"/>
  <c r="H17" i="2" s="1"/>
  <c r="B37" i="2" l="1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5" i="2" l="1"/>
  <c r="L18" i="2"/>
  <c r="L16" i="2"/>
  <c r="J29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30" i="2" l="1"/>
  <c r="J31" i="2" s="1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5" i="2"/>
  <c r="J32" i="2" l="1"/>
  <c r="J36" i="2"/>
  <c r="J33" i="2"/>
  <c r="J12" i="2" l="1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<sst xmlns="http://schemas.openxmlformats.org/spreadsheetml/2006/main" count="517" uniqueCount="374">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</sst>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45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31" fillId="22" borderId="0" xfId="0" applyFont="1" applyFill="1"/>
    <xf numFmtId="0" fontId="32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186" fontId="0" fillId="0" borderId="12" xfId="0" applyNumberFormat="1" applyBorder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7">
    <dxf>
      <numFmt numFmtId="27" formatCode="dd/mm/yyyy\ hh:mm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9B18A158-4A05-8617-4654-E3778AF16212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56" dataDxfId="55">
  <autoFilter ref="A1:P12" xr:uid="{74CBBEF5-DAC6-4FFF-B9BF-F912C02B05A8}"/>
  <sortState xmlns:xlrd2="http://schemas.microsoft.com/office/spreadsheetml/2017/richdata2" ref="A2:P12">
    <sortCondition ref="B1:B12"/>
  </sortState>
  <tableColumns count="16">
    <tableColumn id="1" xr3:uid="{D1245828-BB9F-457F-9D89-03E146E97A20}" uniqueName="1" name="Horodatage" queryTableFieldId="1" dataDxfId="16"/>
    <tableColumn id="2" xr3:uid="{6AFDA1AD-8B7E-4056-B820-4B105507BC22}" uniqueName="2" name="Date" queryTableFieldId="2" dataDxfId="14"/>
    <tableColumn id="3" xr3:uid="{0E3159AD-DEC3-4CB0-8263-673EE4364DE4}" uniqueName="3" name="Type" queryTableFieldId="3" dataDxfId="15"/>
    <tableColumn id="4" xr3:uid="{9CA1100B-4402-4A99-881C-A70EA8E0EBA0}" uniqueName="4" name="Km" queryTableFieldId="4" dataDxfId="54"/>
    <tableColumn id="5" xr3:uid="{3DC79D37-A57D-45A6-B68B-28F91AE90D1B}" uniqueName="5" name="Litres" queryTableFieldId="5" dataDxfId="53"/>
    <tableColumn id="6" xr3:uid="{E20F9B47-933F-4695-AC5B-7BFCB43AA70B}" uniqueName="6" name="PrixL" queryTableFieldId="6" dataDxfId="52"/>
    <tableColumn id="8" xr3:uid="{1810D7F1-75C0-4692-B633-9344880F4391}" uniqueName="8" name="Station essence" queryTableFieldId="8" dataDxfId="51"/>
    <tableColumn id="9" xr3:uid="{B958E2B1-5DEB-4CEF-B30E-3537BD55A8E8}" uniqueName="9" name="Vehicule" queryTableFieldId="9" dataDxfId="50"/>
    <tableColumn id="10" xr3:uid="{7955E5A1-C834-43AD-B7C1-739EA1C9FB0B}" uniqueName="10" name="E85 station" queryTableFieldId="10" dataDxfId="49"/>
    <tableColumn id="11" xr3:uid="{168A26EB-A626-4924-B067-7D0EE30B248F}" uniqueName="11" name="SP98 station" queryTableFieldId="11" dataDxfId="48"/>
    <tableColumn id="12" xr3:uid="{18AADF40-972E-454B-9FD3-FD2D10CCF4B9}" uniqueName="12" name="SP95 station" queryTableFieldId="12" dataDxfId="47"/>
    <tableColumn id="13" xr3:uid="{A1195D38-1809-462B-9D20-AE18F43CBC4B}" uniqueName="13" name="E10 station" queryTableFieldId="13" dataDxfId="46"/>
    <tableColumn id="14" xr3:uid="{9F059A0B-5171-4FB9-8BF4-0CBD57021E52}" uniqueName="14" name="Gazole station" queryTableFieldId="14" dataDxfId="45"/>
    <tableColumn id="15" xr3:uid="{BE30AC6F-80E2-4B6C-B72A-506C9FC60853}" uniqueName="15" name="GPLc station" queryTableFieldId="15" dataDxfId="44"/>
    <tableColumn id="16" xr3:uid="{DD5EAF57-67B9-4006-88AF-5A82745A6E1D}" uniqueName="16" name="sync_id" queryTableFieldId="16" dataDxfId="13"/>
    <tableColumn id="7" xr3:uid="{217649AA-00FB-44C2-B916-78329111BFA4}" uniqueName="7" name="Modifie_local" queryTableFieldId="18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0B34E00-B94F-4621-87D7-EE669982961C}" name="DonneesExternes_1" displayName="DonneesExternes_1" ref="A1:Y12" totalsRowShown="0">
  <autoFilter ref="A1:Y12" xr:uid="{D0B34E00-B94F-4621-87D7-EE669982961C}"/>
  <tableColumns count="25">
    <tableColumn id="1" xr3:uid="{C398B784-3808-4374-AD8C-5C06FAC88A94}" name="Horodatage" dataDxfId="1"/>
    <tableColumn id="2" xr3:uid="{4C449C82-336A-4584-B6DC-D97AE05A4B53}" name="Date" dataDxfId="0"/>
    <tableColumn id="3" xr3:uid="{2CF61DF7-9F09-4080-8D01-1AE081F6827E}" name="Type"/>
    <tableColumn id="4" xr3:uid="{3F9AA615-060B-4D33-9961-3910A766BC94}" name="Km compteur"/>
    <tableColumn id="5" xr3:uid="{D13B4D77-76D6-4EC6-897D-B0DC363DC797}" name="Nb. Litres"/>
    <tableColumn id="6" xr3:uid="{E6AE4AE8-D737-46F0-AB98-D74C3CF12647}" name="Prix €/L"/>
    <tableColumn id="7" xr3:uid="{A6705446-F259-4F9E-BA18-106D6520AF6B}" name="Station essence"/>
    <tableColumn id="8" xr3:uid="{3BCC00C2-5A1F-46C0-8573-F2FBE1CD9498}" name="Véhicule"/>
    <tableColumn id="9" xr3:uid="{1435A48B-2AFF-42BE-B361-BC01CED8B1A6}" name="E85 station (€/L)"/>
    <tableColumn id="10" xr3:uid="{914D5EEA-1DA4-4B19-AA0B-DC75CDDAC9D7}" name="SP98 station (€/L)"/>
    <tableColumn id="11" xr3:uid="{99F7D1FA-D544-43D5-A9EC-EC6D33451E91}" name="SP95 station (€/L)"/>
    <tableColumn id="12" xr3:uid="{DA259538-A4B3-45D7-B79F-7D22E73F3CCE}" name="E10 station (€/L)"/>
    <tableColumn id="13" xr3:uid="{9C926BB2-95B6-4E9B-9D85-B1C070543880}" name="Gazole station (€/L)"/>
    <tableColumn id="14" xr3:uid="{C7D48357-E801-416E-ABF1-5C6E57A46687}" name="GPLc station (€/L)"/>
    <tableColumn id="15" xr3:uid="{3DD4DAB9-063D-493A-9661-C03C2AFF5832}" name="sync_id"/>
    <tableColumn id="16" xr3:uid="{AB9000D6-29F3-4CF1-8831-C0A68B0C3AC6}" name="Photo ticket"/>
    <tableColumn id="17" xr3:uid="{AB1B51A5-BF9F-4794-971B-713EE724FCAC}" name="Colonne1"/>
    <tableColumn id="18" xr3:uid="{E7E2D98C-9A71-46E6-9CE0-6238D9231CB8}" name="Colonne2"/>
    <tableColumn id="19" xr3:uid="{9CDD55E6-C684-4A26-847C-B6ACD4B49DB2}" name="Colonne3"/>
    <tableColumn id="20" xr3:uid="{E24234F8-7945-4C5B-B108-91BBDF7AFF8E}" name="Colonne4"/>
    <tableColumn id="21" xr3:uid="{3C6D70A8-7936-4A52-998A-AAF3B9F55FBA}" name="Colonne5"/>
    <tableColumn id="22" xr3:uid="{15F40055-A340-4152-8184-B275905991A4}" name="Colonne6"/>
    <tableColumn id="23" xr3:uid="{C0029A23-C7D1-40CA-B81C-D92ED69D0BB6}" name="Colonne7"/>
    <tableColumn id="24" xr3:uid="{89852097-57CA-4816-AC78-4905C9BE058A}" name="Colonne8"/>
    <tableColumn id="25" xr3:uid="{E82094FA-EFB3-4F8C-A7A4-9C6DC19DB787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42" dataDxfId="40" headerRowBorderDxfId="41" tableBorderDxfId="39" totalsRowBorderDxfId="38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37">
      <calculatedColumnFormula>IF(B16="","",A15+1)</calculatedColumnFormula>
    </tableColumn>
    <tableColumn id="2" xr3:uid="{D9E9EBFF-BC9D-4E59-9822-91D7DEC1E7CE}" name="Date" dataDxfId="36"/>
    <tableColumn id="11" xr3:uid="{A77486BA-32D8-4661-BA23-1144AE2FD0EC}" name="Type" dataDxfId="35"/>
    <tableColumn id="3" xr3:uid="{6C87F133-7224-4AAB-ACB2-666E8B7315B5}" name="Km compteur" dataDxfId="34"/>
    <tableColumn id="15" xr3:uid="{E9E70181-907F-4D1A-BD9D-156B992A2880}" name="Nb. km" dataDxfId="33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32"/>
    <tableColumn id="5" xr3:uid="{A61BA34E-E60B-4F70-A1D9-62090C37C449}" name="Prix €/L" dataDxfId="31"/>
    <tableColumn id="13" xr3:uid="{C796B9E8-7AC6-4345-B44F-194876D2515D}" name="Coût c€/km" dataDxfId="30">
      <calculatedColumnFormula>IF(OR(D16="",D15="",I16="",ISTEXT(D15)),"",F16/(D16-D15)*100)</calculatedColumnFormula>
    </tableColumn>
    <tableColumn id="6" xr3:uid="{7A10B093-08A0-4955-A678-47B342940366}" name="Coût Plein (€)" dataDxfId="29">
      <calculatedColumnFormula>IF(F16="","",F16*G16)</calculatedColumnFormula>
    </tableColumn>
    <tableColumn id="7" xr3:uid="{0D4F331E-E5DE-4D78-8EE4-6B964BF0DB88}" name="Conso. (L/100km)" dataDxfId="28">
      <calculatedColumnFormula>IF(OR(D16="",D15="",F16="",ISTEXT(D15)),"",F16/(D16-D15)*100)</calculatedColumnFormula>
    </tableColumn>
    <tableColumn id="8" xr3:uid="{8C4BCB7E-42BC-494E-A304-19A9848326C2}" name="Prix S98 jour (€/L)" dataDxfId="2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26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25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24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22" dataDxfId="2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19" dataDxfId="18">
  <autoFilter ref="D2:D2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31" t="s">
        <v>347</v>
      </c>
      <c r="B1" s="132"/>
    </row>
    <row r="2" spans="1:2" x14ac:dyDescent="0.25">
      <c r="A2" s="133" t="s">
        <v>348</v>
      </c>
      <c r="B2" s="132"/>
    </row>
    <row r="3" spans="1:2" ht="3.75" customHeight="1" x14ac:dyDescent="0.25"/>
    <row r="4" spans="1:2" ht="26.1" customHeight="1" x14ac:dyDescent="0.25">
      <c r="A4" s="102" t="s">
        <v>349</v>
      </c>
      <c r="B4" s="102" t="s">
        <v>350</v>
      </c>
    </row>
    <row r="5" spans="1:2" ht="26.1" customHeight="1" x14ac:dyDescent="0.3">
      <c r="A5" s="103" t="s">
        <v>351</v>
      </c>
      <c r="B5" s="104">
        <f>IFERROR(SUM(GS_Pleins[Litres])/(MAX(GS_Pleins[Km])-MIN(GS_Pleins[Km]))*100,0)</f>
        <v>6.7528039479587258</v>
      </c>
    </row>
    <row r="6" spans="1:2" ht="26.1" customHeight="1" x14ac:dyDescent="0.3">
      <c r="A6" s="106" t="s">
        <v>352</v>
      </c>
      <c r="B6" s="107">
        <f>IFERROR(SUMPRODUCT(GS_Pleins[Litres],GS_Pleins[PrixL])/(MAX(GS_Pleins[Km])-MIN(GS_Pleins[Km])),0)</f>
        <v>7.4760829968595774E-2</v>
      </c>
    </row>
    <row r="7" spans="1:2" ht="26.1" customHeight="1" x14ac:dyDescent="0.3">
      <c r="A7" s="106" t="s">
        <v>353</v>
      </c>
      <c r="B7" s="108">
        <f ca="1">SUMPRODUCT((YEAR(GS_Pleins[Date])=YEAR(TODAY()))*GS_Pleins[Litres]*GS_Pleins[PrixL])</f>
        <v>166.64188999999999</v>
      </c>
    </row>
    <row r="8" spans="1:2" ht="26.1" customHeight="1" x14ac:dyDescent="0.3">
      <c r="A8" s="106" t="s">
        <v>354</v>
      </c>
      <c r="B8" s="109">
        <f ca="1">SUMPRODUCT((YEAR(GS_Pleins[Date])=YEAR(TODAY()))*1)</f>
        <v>11</v>
      </c>
    </row>
    <row r="9" spans="1:2" ht="26.1" customHeight="1" x14ac:dyDescent="0.3">
      <c r="A9" s="106" t="s">
        <v>355</v>
      </c>
      <c r="B9" s="110">
        <f>IFERROR(COUNTIF(GS_Pleins[Type],"*E85*")/COUNTA(GS_Pleins[Type]),0)</f>
        <v>0.72727272727272729</v>
      </c>
    </row>
    <row r="10" spans="1:2" ht="26.1" customHeight="1" x14ac:dyDescent="0.3">
      <c r="A10" s="106" t="s">
        <v>356</v>
      </c>
      <c r="B10" s="111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6" t="s">
        <v>357</v>
      </c>
      <c r="B11" s="112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6" t="s">
        <v>358</v>
      </c>
      <c r="B12" s="113">
        <f>IFERROR(MAX(GS_Pleins[Horodatage]),"")</f>
        <v>46171.162939814814</v>
      </c>
    </row>
    <row r="13" spans="1:2" ht="26.1" customHeight="1" x14ac:dyDescent="0.3">
      <c r="A13" s="106" t="s">
        <v>359</v>
      </c>
      <c r="B13" s="114">
        <f>SUM(GS_Pleins[Litres])</f>
        <v>150.52000000000001</v>
      </c>
    </row>
    <row r="14" spans="1:2" ht="26.1" customHeight="1" x14ac:dyDescent="0.3">
      <c r="A14" s="105" t="s">
        <v>360</v>
      </c>
      <c r="B14" s="115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2"/>
  <sheetViews>
    <sheetView zoomScale="70" zoomScaleNormal="70" workbookViewId="0">
      <selection activeCell="C19" sqref="C19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25"/>
    <col min="17" max="16384" width="11" style="98"/>
  </cols>
  <sheetData>
    <row r="1" spans="1:16" x14ac:dyDescent="0.25">
      <c r="A1" s="81" t="s">
        <v>294</v>
      </c>
      <c r="B1" s="81" t="s">
        <v>1</v>
      </c>
      <c r="C1" s="81" t="s">
        <v>55</v>
      </c>
      <c r="D1" s="81" t="s">
        <v>305</v>
      </c>
      <c r="E1" s="81" t="s">
        <v>306</v>
      </c>
      <c r="F1" s="81" t="s">
        <v>307</v>
      </c>
      <c r="G1" s="81" t="s">
        <v>271</v>
      </c>
      <c r="H1" s="81" t="s">
        <v>308</v>
      </c>
      <c r="I1" s="81" t="s">
        <v>309</v>
      </c>
      <c r="J1" s="81" t="s">
        <v>310</v>
      </c>
      <c r="K1" s="81" t="s">
        <v>311</v>
      </c>
      <c r="L1" s="81" t="s">
        <v>312</v>
      </c>
      <c r="M1" s="81" t="s">
        <v>313</v>
      </c>
      <c r="N1" s="81" t="s">
        <v>314</v>
      </c>
      <c r="O1" s="81" t="s">
        <v>333</v>
      </c>
      <c r="P1" s="124" t="s">
        <v>366</v>
      </c>
    </row>
    <row r="2" spans="1:16" x14ac:dyDescent="0.25">
      <c r="A2" s="101">
        <v>46164.921076388891</v>
      </c>
      <c r="B2" s="143">
        <v>46131.083333333336</v>
      </c>
      <c r="C2" s="99" t="s">
        <v>81</v>
      </c>
      <c r="D2" s="99">
        <v>9812</v>
      </c>
      <c r="E2" s="99">
        <v>11.4</v>
      </c>
      <c r="F2" s="99">
        <v>1.9730000000000001</v>
      </c>
      <c r="G2" s="99" t="s">
        <v>345</v>
      </c>
      <c r="H2" s="99" t="s">
        <v>315</v>
      </c>
      <c r="I2" s="99"/>
      <c r="J2" s="99">
        <v>1.9730000000000001</v>
      </c>
      <c r="K2" s="99"/>
      <c r="L2" s="99"/>
      <c r="M2" s="99"/>
      <c r="N2" s="99"/>
      <c r="O2" s="99" t="s">
        <v>336</v>
      </c>
      <c r="P2" s="101"/>
    </row>
    <row r="3" spans="1:16" x14ac:dyDescent="0.25">
      <c r="A3" s="101">
        <v>46154</v>
      </c>
      <c r="B3" s="143">
        <v>46135.083333333336</v>
      </c>
      <c r="C3" s="99" t="s">
        <v>81</v>
      </c>
      <c r="D3" s="99">
        <v>10094</v>
      </c>
      <c r="E3" s="99">
        <v>15.22</v>
      </c>
      <c r="F3" s="99">
        <v>1.9259999999999999</v>
      </c>
      <c r="G3" s="99" t="s">
        <v>345</v>
      </c>
      <c r="H3" s="99" t="s">
        <v>315</v>
      </c>
      <c r="I3" s="99"/>
      <c r="J3" s="99">
        <v>1.9259999999999999</v>
      </c>
      <c r="K3" s="99"/>
      <c r="L3" s="99"/>
      <c r="M3" s="99"/>
      <c r="N3" s="99"/>
      <c r="O3" s="99" t="s">
        <v>337</v>
      </c>
      <c r="P3" s="101"/>
    </row>
    <row r="4" spans="1:16" x14ac:dyDescent="0.25">
      <c r="A4" s="101">
        <v>46131</v>
      </c>
      <c r="B4" s="143">
        <v>46140.083333333336</v>
      </c>
      <c r="C4" s="99" t="s">
        <v>81</v>
      </c>
      <c r="D4" s="99">
        <v>10349</v>
      </c>
      <c r="E4" s="99">
        <v>13.75</v>
      </c>
      <c r="F4" s="99">
        <v>2.0310000000000001</v>
      </c>
      <c r="G4" s="99" t="s">
        <v>346</v>
      </c>
      <c r="H4" s="99" t="s">
        <v>315</v>
      </c>
      <c r="I4" s="99"/>
      <c r="J4" s="99">
        <v>2.0310000000000001</v>
      </c>
      <c r="K4" s="99"/>
      <c r="L4" s="99"/>
      <c r="M4" s="99"/>
      <c r="N4" s="99"/>
      <c r="O4" s="99" t="s">
        <v>338</v>
      </c>
      <c r="P4" s="101"/>
    </row>
    <row r="5" spans="1:16" x14ac:dyDescent="0.25">
      <c r="A5" s="101">
        <v>46135</v>
      </c>
      <c r="B5" s="143">
        <v>46146.083333333336</v>
      </c>
      <c r="C5" s="99" t="s">
        <v>100</v>
      </c>
      <c r="D5" s="99">
        <v>10553</v>
      </c>
      <c r="E5" s="99">
        <v>11.47</v>
      </c>
      <c r="F5" s="99">
        <v>0.80900000000000005</v>
      </c>
      <c r="G5" s="99" t="s">
        <v>335</v>
      </c>
      <c r="H5" s="99" t="s">
        <v>315</v>
      </c>
      <c r="I5" s="99">
        <v>0.80900000000000005</v>
      </c>
      <c r="J5" s="99">
        <v>2.0790000000000002</v>
      </c>
      <c r="K5" s="99"/>
      <c r="L5" s="99"/>
      <c r="M5" s="99"/>
      <c r="N5" s="99"/>
      <c r="O5" s="99" t="s">
        <v>339</v>
      </c>
      <c r="P5" s="101"/>
    </row>
    <row r="6" spans="1:16" x14ac:dyDescent="0.25">
      <c r="A6" s="101">
        <v>46146</v>
      </c>
      <c r="B6" s="143">
        <v>46148.083333333336</v>
      </c>
      <c r="C6" s="99" t="s">
        <v>100</v>
      </c>
      <c r="D6" s="99">
        <v>10749</v>
      </c>
      <c r="E6" s="99">
        <v>11.71</v>
      </c>
      <c r="F6" s="99">
        <v>0.747</v>
      </c>
      <c r="G6" s="99" t="s">
        <v>335</v>
      </c>
      <c r="H6" s="99" t="s">
        <v>315</v>
      </c>
      <c r="I6" s="99">
        <v>0.747</v>
      </c>
      <c r="J6" s="99">
        <v>2.0979999999999999</v>
      </c>
      <c r="K6" s="99"/>
      <c r="L6" s="99"/>
      <c r="M6" s="99"/>
      <c r="N6" s="99"/>
      <c r="O6" s="99" t="s">
        <v>340</v>
      </c>
      <c r="P6" s="101"/>
    </row>
    <row r="7" spans="1:16" x14ac:dyDescent="0.25">
      <c r="A7" s="101">
        <v>46148</v>
      </c>
      <c r="B7" s="143">
        <v>46151.083333333336</v>
      </c>
      <c r="C7" s="99" t="s">
        <v>100</v>
      </c>
      <c r="D7" s="99">
        <v>10975</v>
      </c>
      <c r="E7" s="99">
        <v>15.28</v>
      </c>
      <c r="F7" s="99">
        <v>0.75700000000000001</v>
      </c>
      <c r="G7" s="99" t="s">
        <v>335</v>
      </c>
      <c r="H7" s="99" t="s">
        <v>315</v>
      </c>
      <c r="I7" s="99">
        <v>0.75700000000000001</v>
      </c>
      <c r="J7" s="99">
        <v>2.0979999999999999</v>
      </c>
      <c r="K7" s="99"/>
      <c r="L7" s="99"/>
      <c r="M7" s="99"/>
      <c r="N7" s="99"/>
      <c r="O7" s="99" t="s">
        <v>341</v>
      </c>
      <c r="P7" s="101"/>
    </row>
    <row r="8" spans="1:16" x14ac:dyDescent="0.25">
      <c r="A8" s="101">
        <v>46151</v>
      </c>
      <c r="B8" s="143">
        <v>46154.083333333336</v>
      </c>
      <c r="C8" s="99" t="s">
        <v>100</v>
      </c>
      <c r="D8" s="99">
        <v>11173</v>
      </c>
      <c r="E8" s="99">
        <v>13.94</v>
      </c>
      <c r="F8" s="99">
        <v>0.83499999999999996</v>
      </c>
      <c r="G8" s="99" t="s">
        <v>335</v>
      </c>
      <c r="H8" s="99" t="s">
        <v>315</v>
      </c>
      <c r="I8" s="99">
        <v>0.83499999999999996</v>
      </c>
      <c r="J8" s="99">
        <v>2.0950000000000002</v>
      </c>
      <c r="K8" s="99"/>
      <c r="L8" s="99"/>
      <c r="M8" s="99"/>
      <c r="N8" s="99"/>
      <c r="O8" s="99" t="s">
        <v>342</v>
      </c>
      <c r="P8" s="101"/>
    </row>
    <row r="9" spans="1:16" x14ac:dyDescent="0.25">
      <c r="A9" s="101">
        <v>46140</v>
      </c>
      <c r="B9" s="143">
        <v>46157.083333333336</v>
      </c>
      <c r="C9" s="99" t="s">
        <v>100</v>
      </c>
      <c r="D9" s="99">
        <v>11376</v>
      </c>
      <c r="E9" s="99">
        <v>13.37</v>
      </c>
      <c r="F9" s="99">
        <v>0.71699999999999997</v>
      </c>
      <c r="G9" s="99" t="s">
        <v>335</v>
      </c>
      <c r="H9" s="99" t="s">
        <v>315</v>
      </c>
      <c r="I9" s="99">
        <v>0.71699999999999997</v>
      </c>
      <c r="J9" s="99">
        <v>2.0950000000000002</v>
      </c>
      <c r="K9" s="99"/>
      <c r="L9" s="99"/>
      <c r="M9" s="99"/>
      <c r="N9" s="99"/>
      <c r="O9" s="99" t="s">
        <v>343</v>
      </c>
      <c r="P9" s="101"/>
    </row>
    <row r="10" spans="1:16" x14ac:dyDescent="0.25">
      <c r="A10" s="101">
        <v>46157</v>
      </c>
      <c r="B10" s="143">
        <v>46161.083333333336</v>
      </c>
      <c r="C10" s="99" t="s">
        <v>100</v>
      </c>
      <c r="D10" s="99">
        <v>11596</v>
      </c>
      <c r="E10" s="99">
        <v>14.9</v>
      </c>
      <c r="F10" s="99">
        <v>0.79800000000000004</v>
      </c>
      <c r="G10" s="99" t="s">
        <v>335</v>
      </c>
      <c r="H10" s="99" t="s">
        <v>315</v>
      </c>
      <c r="I10" s="99">
        <v>0.79800000000000004</v>
      </c>
      <c r="J10" s="99">
        <v>2.0910000000000002</v>
      </c>
      <c r="K10" s="99"/>
      <c r="L10" s="99"/>
      <c r="M10" s="99"/>
      <c r="N10" s="99"/>
      <c r="O10" s="99" t="s">
        <v>344</v>
      </c>
      <c r="P10" s="101"/>
    </row>
    <row r="11" spans="1:16" x14ac:dyDescent="0.25">
      <c r="A11" s="101">
        <v>46161</v>
      </c>
      <c r="B11" s="143">
        <v>46164.083333333336</v>
      </c>
      <c r="C11" s="99" t="s">
        <v>100</v>
      </c>
      <c r="D11" s="99">
        <v>11831</v>
      </c>
      <c r="E11" s="99">
        <v>16.25</v>
      </c>
      <c r="F11" s="99">
        <v>0.79800000000000004</v>
      </c>
      <c r="G11" s="99" t="s">
        <v>335</v>
      </c>
      <c r="H11" s="99" t="s">
        <v>315</v>
      </c>
      <c r="I11" s="99">
        <v>0.79800000000000004</v>
      </c>
      <c r="J11" s="99"/>
      <c r="K11" s="99"/>
      <c r="L11" s="99"/>
      <c r="M11" s="99"/>
      <c r="N11" s="99"/>
      <c r="O11" s="99" t="s">
        <v>334</v>
      </c>
      <c r="P11" s="101"/>
    </row>
    <row r="12" spans="1:16" x14ac:dyDescent="0.25">
      <c r="A12" s="101">
        <v>46171.162939814814</v>
      </c>
      <c r="B12" s="143">
        <v>46170.083333333336</v>
      </c>
      <c r="C12" s="99" t="s">
        <v>100</v>
      </c>
      <c r="D12" s="99">
        <v>12041</v>
      </c>
      <c r="E12" s="99">
        <v>13.23</v>
      </c>
      <c r="F12" s="99">
        <v>0.84899999999999998</v>
      </c>
      <c r="G12" s="99" t="s">
        <v>345</v>
      </c>
      <c r="H12" s="99" t="s">
        <v>315</v>
      </c>
      <c r="I12" s="99">
        <v>0.84899999999999998</v>
      </c>
      <c r="J12" s="99">
        <v>2.1789999999999998</v>
      </c>
      <c r="K12" s="99">
        <v>2.089</v>
      </c>
      <c r="L12" s="99">
        <v>2.0390000000000001</v>
      </c>
      <c r="M12" s="99">
        <v>2.0990000000000002</v>
      </c>
      <c r="N12" s="99">
        <v>0.96899999999999997</v>
      </c>
      <c r="O12" s="99" t="s">
        <v>367</v>
      </c>
      <c r="P12" s="101"/>
    </row>
  </sheetData>
  <conditionalFormatting sqref="F2:F12">
    <cfRule type="expression" dxfId="5" priority="1">
      <formula>AND($F2&lt;&gt;"",ISNUMBER($F2),$F2&lt;AVERAGEIFS(F:F,C:C,$C2,B:B,"&gt;="&amp;$B2-30,B:B," &lt;="&amp;$B2))</formula>
    </cfRule>
    <cfRule type="expression" dxfId="4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34" t="s">
        <v>370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" ht="16.5" customHeight="1" x14ac:dyDescent="0.25">
      <c r="A2" s="135" t="s">
        <v>371</v>
      </c>
      <c r="B2" s="135"/>
      <c r="C2" s="135"/>
      <c r="D2" s="135"/>
      <c r="E2" s="135"/>
      <c r="F2" s="135"/>
      <c r="G2" s="135"/>
      <c r="H2" s="135"/>
      <c r="I2" s="135"/>
      <c r="J2" s="135"/>
    </row>
    <row r="3" spans="1:10" ht="6" customHeight="1" x14ac:dyDescent="0.25"/>
    <row r="4" spans="1:10" ht="24" customHeight="1" x14ac:dyDescent="0.25">
      <c r="A4" s="126" t="s">
        <v>1</v>
      </c>
      <c r="B4" s="126" t="s">
        <v>55</v>
      </c>
      <c r="C4" s="126" t="s">
        <v>308</v>
      </c>
      <c r="D4" s="126" t="s">
        <v>12</v>
      </c>
      <c r="E4" s="126" t="s">
        <v>372</v>
      </c>
      <c r="F4" s="126" t="s">
        <v>56</v>
      </c>
      <c r="G4" s="126" t="s">
        <v>57</v>
      </c>
      <c r="H4" s="126" t="s">
        <v>373</v>
      </c>
      <c r="I4" s="126" t="s">
        <v>365</v>
      </c>
      <c r="J4" s="126" t="s">
        <v>271</v>
      </c>
    </row>
    <row r="5" spans="1:10" x14ac:dyDescent="0.25">
      <c r="A5" s="144">
        <f>IFERROR(INDEX(GS_Pleins[Date],1),"")</f>
        <v>46131.083333333336</v>
      </c>
      <c r="B5" s="127" t="str">
        <f>IFERROR(INDEX(GS_Pleins[Type],1),"")</f>
        <v>Super 98</v>
      </c>
      <c r="C5" s="127" t="str">
        <f>IFERROR(INDEX(GS_Pleins[Vehicule],1),"")</f>
        <v>Z900</v>
      </c>
      <c r="D5" s="128">
        <f>IFERROR(INDEX(GS_Pleins[Km],1),"")</f>
        <v>9812</v>
      </c>
      <c r="E5" s="128"/>
      <c r="F5" s="129">
        <f>IFERROR(INDEX(GS_Pleins[Litres],1),"")</f>
        <v>11.4</v>
      </c>
      <c r="G5" s="130">
        <f>IFERROR(INDEX(GS_Pleins[PrixL],1),"")</f>
        <v>1.9730000000000001</v>
      </c>
      <c r="H5" s="129">
        <f>IFERROR($F5*$G5,"")</f>
        <v>22.4922</v>
      </c>
      <c r="I5" s="129" t="str">
        <f>IFERROR(IF(AND(ISNUMBER($E5),$E5&gt;0),$F5/$E5*100,""),"")</f>
        <v/>
      </c>
      <c r="J5" s="127" t="str">
        <f>IFERROR(INDEX(GS_Pleins[Station essence],1),"")</f>
        <v>Carrefour - Flers</v>
      </c>
    </row>
    <row r="6" spans="1:10" x14ac:dyDescent="0.25">
      <c r="A6" s="144">
        <f>IFERROR(INDEX(GS_Pleins[Date],2),"")</f>
        <v>46135.083333333336</v>
      </c>
      <c r="B6" s="127" t="str">
        <f>IFERROR(INDEX(GS_Pleins[Type],2),"")</f>
        <v>Super 98</v>
      </c>
      <c r="C6" s="127" t="str">
        <f>IFERROR(INDEX(GS_Pleins[Vehicule],2),"")</f>
        <v>Z900</v>
      </c>
      <c r="D6" s="128">
        <f>IFERROR(INDEX(GS_Pleins[Km],2),"")</f>
        <v>10094</v>
      </c>
      <c r="E6" s="128">
        <f>IFERROR(IF($C6=$C5,$D6-$D5,""),"")</f>
        <v>282</v>
      </c>
      <c r="F6" s="129">
        <f>IFERROR(INDEX(GS_Pleins[Litres],2),"")</f>
        <v>15.22</v>
      </c>
      <c r="G6" s="130">
        <f>IFERROR(INDEX(GS_Pleins[PrixL],2),"")</f>
        <v>1.9259999999999999</v>
      </c>
      <c r="H6" s="129">
        <f>IFERROR($F6*$G6,"")</f>
        <v>29.31372</v>
      </c>
      <c r="I6" s="129">
        <f>IFERROR(IF(AND(ISNUMBER($E6),$E6&gt;0),$F6/$E6*100,""),"")</f>
        <v>5.3971631205673765</v>
      </c>
      <c r="J6" s="127" t="str">
        <f>IFERROR(INDEX(GS_Pleins[Station essence],2),"")</f>
        <v>Carrefour - Flers</v>
      </c>
    </row>
    <row r="7" spans="1:10" x14ac:dyDescent="0.25">
      <c r="A7" s="144">
        <f>IFERROR(INDEX(GS_Pleins[Date],3),"")</f>
        <v>46140.083333333336</v>
      </c>
      <c r="B7" s="127" t="str">
        <f>IFERROR(INDEX(GS_Pleins[Type],3),"")</f>
        <v>Super 98</v>
      </c>
      <c r="C7" s="127" t="str">
        <f>IFERROR(INDEX(GS_Pleins[Vehicule],3),"")</f>
        <v>Z900</v>
      </c>
      <c r="D7" s="128">
        <f>IFERROR(INDEX(GS_Pleins[Km],3),"")</f>
        <v>10349</v>
      </c>
      <c r="E7" s="128">
        <f>IFERROR(IF($C7=$C6,$D7-$D6,""),"")</f>
        <v>255</v>
      </c>
      <c r="F7" s="129">
        <f>IFERROR(INDEX(GS_Pleins[Litres],3),"")</f>
        <v>13.75</v>
      </c>
      <c r="G7" s="130">
        <f>IFERROR(INDEX(GS_Pleins[PrixL],3),"")</f>
        <v>2.0310000000000001</v>
      </c>
      <c r="H7" s="129">
        <f>IFERROR($F7*$G7,"")</f>
        <v>27.926250000000003</v>
      </c>
      <c r="I7" s="129">
        <f>IFERROR(IF(AND(ISNUMBER($E7),$E7&gt;0),$F7/$E7*100,""),"")</f>
        <v>5.3921568627450984</v>
      </c>
      <c r="J7" s="127" t="str">
        <f>IFERROR(INDEX(GS_Pleins[Station essence],3),"")</f>
        <v>Leclerc - Douai</v>
      </c>
    </row>
    <row r="8" spans="1:10" x14ac:dyDescent="0.25">
      <c r="A8" s="144">
        <f>IFERROR(INDEX(GS_Pleins[Date],4),"")</f>
        <v>46146.083333333336</v>
      </c>
      <c r="B8" s="127" t="str">
        <f>IFERROR(INDEX(GS_Pleins[Type],4),"")</f>
        <v>SuperEthanol E85</v>
      </c>
      <c r="C8" s="127" t="str">
        <f>IFERROR(INDEX(GS_Pleins[Vehicule],4),"")</f>
        <v>Z900</v>
      </c>
      <c r="D8" s="128">
        <f>IFERROR(INDEX(GS_Pleins[Km],4),"")</f>
        <v>10553</v>
      </c>
      <c r="E8" s="128">
        <f>IFERROR(IF($C8=$C7,$D8-$D7,""),"")</f>
        <v>204</v>
      </c>
      <c r="F8" s="129">
        <f>IFERROR(INDEX(GS_Pleins[Litres],4),"")</f>
        <v>11.47</v>
      </c>
      <c r="G8" s="130">
        <f>IFERROR(INDEX(GS_Pleins[PrixL],4),"")</f>
        <v>0.80900000000000005</v>
      </c>
      <c r="H8" s="129">
        <f>IFERROR($F8*$G8,"")</f>
        <v>9.2792300000000019</v>
      </c>
      <c r="I8" s="129">
        <f>IFERROR(IF(AND(ISNUMBER($E8),$E8&gt;0),$F8/$E8*100,""),"")</f>
        <v>5.6225490196078436</v>
      </c>
      <c r="J8" s="127" t="str">
        <f>IFERROR(INDEX(GS_Pleins[Station essence],4),"")</f>
        <v>E.Leclerc - Beuvry</v>
      </c>
    </row>
    <row r="9" spans="1:10" x14ac:dyDescent="0.25">
      <c r="A9" s="144">
        <f>IFERROR(INDEX(GS_Pleins[Date],5),"")</f>
        <v>46148.083333333336</v>
      </c>
      <c r="B9" s="127" t="str">
        <f>IFERROR(INDEX(GS_Pleins[Type],5),"")</f>
        <v>SuperEthanol E85</v>
      </c>
      <c r="C9" s="127" t="str">
        <f>IFERROR(INDEX(GS_Pleins[Vehicule],5),"")</f>
        <v>Z900</v>
      </c>
      <c r="D9" s="128">
        <f>IFERROR(INDEX(GS_Pleins[Km],5),"")</f>
        <v>10749</v>
      </c>
      <c r="E9" s="128">
        <f>IFERROR(IF($C9=$C8,$D9-$D8,""),"")</f>
        <v>196</v>
      </c>
      <c r="F9" s="129">
        <f>IFERROR(INDEX(GS_Pleins[Litres],5),"")</f>
        <v>11.71</v>
      </c>
      <c r="G9" s="130">
        <f>IFERROR(INDEX(GS_Pleins[PrixL],5),"")</f>
        <v>0.747</v>
      </c>
      <c r="H9" s="129">
        <f>IFERROR($F9*$G9,"")</f>
        <v>8.7473700000000001</v>
      </c>
      <c r="I9" s="129">
        <f>IFERROR(IF(AND(ISNUMBER($E9),$E9&gt;0),$F9/$E9*100,""),"")</f>
        <v>5.9744897959183678</v>
      </c>
      <c r="J9" s="127" t="str">
        <f>IFERROR(INDEX(GS_Pleins[Station essence],5),"")</f>
        <v>E.Leclerc - Beuvry</v>
      </c>
    </row>
    <row r="10" spans="1:10" x14ac:dyDescent="0.25">
      <c r="A10" s="144">
        <f>IFERROR(INDEX(GS_Pleins[Date],6),"")</f>
        <v>46151.083333333336</v>
      </c>
      <c r="B10" s="127" t="str">
        <f>IFERROR(INDEX(GS_Pleins[Type],6),"")</f>
        <v>SuperEthanol E85</v>
      </c>
      <c r="C10" s="127" t="str">
        <f>IFERROR(INDEX(GS_Pleins[Vehicule],6),"")</f>
        <v>Z900</v>
      </c>
      <c r="D10" s="128">
        <f>IFERROR(INDEX(GS_Pleins[Km],6),"")</f>
        <v>10975</v>
      </c>
      <c r="E10" s="128">
        <f>IFERROR(IF($C10=$C9,$D10-$D9,""),"")</f>
        <v>226</v>
      </c>
      <c r="F10" s="129">
        <f>IFERROR(INDEX(GS_Pleins[Litres],6),"")</f>
        <v>15.28</v>
      </c>
      <c r="G10" s="130">
        <f>IFERROR(INDEX(GS_Pleins[PrixL],6),"")</f>
        <v>0.75700000000000001</v>
      </c>
      <c r="H10" s="129">
        <f>IFERROR($F10*$G10,"")</f>
        <v>11.56696</v>
      </c>
      <c r="I10" s="129">
        <f>IFERROR(IF(AND(ISNUMBER($E10),$E10&gt;0),$F10/$E10*100,""),"")</f>
        <v>6.7610619469026547</v>
      </c>
      <c r="J10" s="127" t="str">
        <f>IFERROR(INDEX(GS_Pleins[Station essence],6),"")</f>
        <v>E.Leclerc - Beuvry</v>
      </c>
    </row>
    <row r="11" spans="1:10" x14ac:dyDescent="0.25">
      <c r="A11" s="144">
        <f>IFERROR(INDEX(GS_Pleins[Date],7),"")</f>
        <v>46154.083333333336</v>
      </c>
      <c r="B11" s="127" t="str">
        <f>IFERROR(INDEX(GS_Pleins[Type],7),"")</f>
        <v>SuperEthanol E85</v>
      </c>
      <c r="C11" s="127" t="str">
        <f>IFERROR(INDEX(GS_Pleins[Vehicule],7),"")</f>
        <v>Z900</v>
      </c>
      <c r="D11" s="128">
        <f>IFERROR(INDEX(GS_Pleins[Km],7),"")</f>
        <v>11173</v>
      </c>
      <c r="E11" s="128">
        <f>IFERROR(IF($C11=$C10,$D11-$D10,""),"")</f>
        <v>198</v>
      </c>
      <c r="F11" s="129">
        <f>IFERROR(INDEX(GS_Pleins[Litres],7),"")</f>
        <v>13.94</v>
      </c>
      <c r="G11" s="130">
        <f>IFERROR(INDEX(GS_Pleins[PrixL],7),"")</f>
        <v>0.83499999999999996</v>
      </c>
      <c r="H11" s="129">
        <f>IFERROR($F11*$G11,"")</f>
        <v>11.639899999999999</v>
      </c>
      <c r="I11" s="129">
        <f>IFERROR(IF(AND(ISNUMBER($E11),$E11&gt;0),$F11/$E11*100,""),"")</f>
        <v>7.0404040404040398</v>
      </c>
      <c r="J11" s="127" t="str">
        <f>IFERROR(INDEX(GS_Pleins[Station essence],7),"")</f>
        <v>E.Leclerc - Beuvry</v>
      </c>
    </row>
    <row r="12" spans="1:10" x14ac:dyDescent="0.25">
      <c r="A12" s="144">
        <f>IFERROR(INDEX(GS_Pleins[Date],8),"")</f>
        <v>46157.083333333336</v>
      </c>
      <c r="B12" s="127" t="str">
        <f>IFERROR(INDEX(GS_Pleins[Type],8),"")</f>
        <v>SuperEthanol E85</v>
      </c>
      <c r="C12" s="127" t="str">
        <f>IFERROR(INDEX(GS_Pleins[Vehicule],8),"")</f>
        <v>Z900</v>
      </c>
      <c r="D12" s="128">
        <f>IFERROR(INDEX(GS_Pleins[Km],8),"")</f>
        <v>11376</v>
      </c>
      <c r="E12" s="128">
        <f>IFERROR(IF($C12=$C11,$D12-$D11,""),"")</f>
        <v>203</v>
      </c>
      <c r="F12" s="129">
        <f>IFERROR(INDEX(GS_Pleins[Litres],8),"")</f>
        <v>13.37</v>
      </c>
      <c r="G12" s="130">
        <f>IFERROR(INDEX(GS_Pleins[PrixL],8),"")</f>
        <v>0.71699999999999997</v>
      </c>
      <c r="H12" s="129">
        <f>IFERROR($F12*$G12,"")</f>
        <v>9.5862899999999982</v>
      </c>
      <c r="I12" s="129">
        <f>IFERROR(IF(AND(ISNUMBER($E12),$E12&gt;0),$F12/$E12*100,""),"")</f>
        <v>6.5862068965517233</v>
      </c>
      <c r="J12" s="127" t="str">
        <f>IFERROR(INDEX(GS_Pleins[Station essence],8),"")</f>
        <v>E.Leclerc - Beuvry</v>
      </c>
    </row>
    <row r="13" spans="1:10" x14ac:dyDescent="0.25">
      <c r="A13" s="144">
        <f>IFERROR(INDEX(GS_Pleins[Date],9),"")</f>
        <v>46161.083333333336</v>
      </c>
      <c r="B13" s="127" t="str">
        <f>IFERROR(INDEX(GS_Pleins[Type],9),"")</f>
        <v>SuperEthanol E85</v>
      </c>
      <c r="C13" s="127" t="str">
        <f>IFERROR(INDEX(GS_Pleins[Vehicule],9),"")</f>
        <v>Z900</v>
      </c>
      <c r="D13" s="128">
        <f>IFERROR(INDEX(GS_Pleins[Km],9),"")</f>
        <v>11596</v>
      </c>
      <c r="E13" s="128">
        <f>IFERROR(IF($C13=$C12,$D13-$D12,""),"")</f>
        <v>220</v>
      </c>
      <c r="F13" s="129">
        <f>IFERROR(INDEX(GS_Pleins[Litres],9),"")</f>
        <v>14.9</v>
      </c>
      <c r="G13" s="130">
        <f>IFERROR(INDEX(GS_Pleins[PrixL],9),"")</f>
        <v>0.79800000000000004</v>
      </c>
      <c r="H13" s="129">
        <f>IFERROR($F13*$G13,"")</f>
        <v>11.8902</v>
      </c>
      <c r="I13" s="129">
        <f>IFERROR(IF(AND(ISNUMBER($E13),$E13&gt;0),$F13/$E13*100,""),"")</f>
        <v>6.7727272727272734</v>
      </c>
      <c r="J13" s="127" t="str">
        <f>IFERROR(INDEX(GS_Pleins[Station essence],9),"")</f>
        <v>E.Leclerc - Beuvry</v>
      </c>
    </row>
    <row r="14" spans="1:10" x14ac:dyDescent="0.25">
      <c r="A14" s="144">
        <f>IFERROR(INDEX(GS_Pleins[Date],10),"")</f>
        <v>46164.083333333336</v>
      </c>
      <c r="B14" s="127" t="str">
        <f>IFERROR(INDEX(GS_Pleins[Type],10),"")</f>
        <v>SuperEthanol E85</v>
      </c>
      <c r="C14" s="127" t="str">
        <f>IFERROR(INDEX(GS_Pleins[Vehicule],10),"")</f>
        <v>Z900</v>
      </c>
      <c r="D14" s="128">
        <f>IFERROR(INDEX(GS_Pleins[Km],10),"")</f>
        <v>11831</v>
      </c>
      <c r="E14" s="128">
        <f>IFERROR(IF($C14=$C13,$D14-$D13,""),"")</f>
        <v>235</v>
      </c>
      <c r="F14" s="129">
        <f>IFERROR(INDEX(GS_Pleins[Litres],10),"")</f>
        <v>16.25</v>
      </c>
      <c r="G14" s="130">
        <f>IFERROR(INDEX(GS_Pleins[PrixL],10),"")</f>
        <v>0.79800000000000004</v>
      </c>
      <c r="H14" s="129">
        <f>IFERROR($F14*$G14,"")</f>
        <v>12.967500000000001</v>
      </c>
      <c r="I14" s="129">
        <f>IFERROR(IF(AND(ISNUMBER($E14),$E14&gt;0),$F14/$E14*100,""),"")</f>
        <v>6.9148936170212769</v>
      </c>
      <c r="J14" s="127" t="str">
        <f>IFERROR(INDEX(GS_Pleins[Station essence],10),"")</f>
        <v>E.Leclerc - Beuvry</v>
      </c>
    </row>
    <row r="15" spans="1:10" x14ac:dyDescent="0.25">
      <c r="A15" s="144">
        <f>IFERROR(INDEX(GS_Pleins[Date],11),"")</f>
        <v>46170.083333333336</v>
      </c>
      <c r="B15" s="127" t="str">
        <f>IFERROR(INDEX(GS_Pleins[Type],11),"")</f>
        <v>SuperEthanol E85</v>
      </c>
      <c r="C15" s="127" t="str">
        <f>IFERROR(INDEX(GS_Pleins[Vehicule],11),"")</f>
        <v>Z900</v>
      </c>
      <c r="D15" s="128">
        <f>IFERROR(INDEX(GS_Pleins[Km],11),"")</f>
        <v>12041</v>
      </c>
      <c r="E15" s="128">
        <f>IFERROR(IF($C15=$C14,$D15-$D14,""),"")</f>
        <v>210</v>
      </c>
      <c r="F15" s="129">
        <f>IFERROR(INDEX(GS_Pleins[Litres],11),"")</f>
        <v>13.23</v>
      </c>
      <c r="G15" s="130">
        <f>IFERROR(INDEX(GS_Pleins[PrixL],11),"")</f>
        <v>0.84899999999999998</v>
      </c>
      <c r="H15" s="129">
        <f>IFERROR($F15*$G15,"")</f>
        <v>11.23227</v>
      </c>
      <c r="I15" s="129">
        <f>IFERROR(IF(AND(ISNUMBER($E15),$E15&gt;0),$F15/$E15*100,""),"")</f>
        <v>6.3</v>
      </c>
      <c r="J15" s="127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100">
        <v>46171.162939814814</v>
      </c>
      <c r="B12" s="100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selection activeCell="O31" sqref="O31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7" t="s">
        <v>72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Z1" s="77">
        <v>46361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6.4965415736416467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15.475070705564583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0.20425412976715074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105.7995381736649</v>
      </c>
      <c r="C10" s="8" t="s">
        <v>104</v>
      </c>
      <c r="D10" s="4"/>
      <c r="E10" s="4"/>
      <c r="F10" s="4"/>
      <c r="G10" s="136" t="s">
        <v>107</v>
      </c>
      <c r="H10" s="136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46284.371747443773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408.74046182633504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0.20561965672963212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345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345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346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80" t="s">
        <v>335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80" t="s">
        <v>335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80" t="s">
        <v>335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80" t="s">
        <v>335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80" t="s">
        <v>335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80" t="s">
        <v>335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80" t="s">
        <v>345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9">
        <f>IF(B26="","",A25+1)</f>
        <v>11</v>
      </c>
      <c r="B26" s="48">
        <v>46170</v>
      </c>
      <c r="C26" s="64" t="s">
        <v>100</v>
      </c>
      <c r="D26" s="65">
        <v>12041</v>
      </c>
      <c r="E26" s="65">
        <f>IF(AND(ISNUMBER(D25),Tableau2[[#This Row],[Km compteur]]&lt;&gt;""),Tableau2[[#This Row],[Km compteur]]-D25,"")</f>
        <v>210</v>
      </c>
      <c r="F26" s="66">
        <v>13.23</v>
      </c>
      <c r="G26" s="67">
        <v>0.84899999999999998</v>
      </c>
      <c r="H26" s="78">
        <f>IF(OR(D26="",D25="",I26="",ISTEXT(D25)),"",F26/(D26-D25)*100)</f>
        <v>6.3</v>
      </c>
      <c r="I26" s="54">
        <f>IF(F26="","",F26*G26)</f>
        <v>11.23227</v>
      </c>
      <c r="J26" s="55">
        <f>IF(OR(D26="",D25="",F26="",ISTEXT(D25)),"",F26/(D26-D25)*100)</f>
        <v>6.3</v>
      </c>
      <c r="K26" s="68">
        <v>2.1789999999999998</v>
      </c>
      <c r="L26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4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80" t="s">
        <v>345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5" t="s">
        <v>15</v>
      </c>
      <c r="B28" s="6"/>
      <c r="C28" s="6"/>
      <c r="D28" s="6"/>
      <c r="E28" s="6"/>
      <c r="F28" s="4"/>
      <c r="G28" s="16" t="s">
        <v>19</v>
      </c>
      <c r="H28" s="17"/>
      <c r="I28" s="17"/>
      <c r="J28" s="17"/>
      <c r="K28" s="17"/>
      <c r="L28" s="17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7" t="s">
        <v>67</v>
      </c>
      <c r="B29" s="9">
        <f>COUNTIF(C16:C26,"SuperEthanol E85")</f>
        <v>8</v>
      </c>
      <c r="C29" s="9"/>
      <c r="D29" s="9"/>
      <c r="E29" s="9"/>
      <c r="F29" s="4"/>
      <c r="G29" s="18" t="s">
        <v>20</v>
      </c>
      <c r="H29" s="18"/>
      <c r="I29" s="18"/>
      <c r="J29" s="69">
        <f>SUM(L16:L26)</f>
        <v>192.70925817366492</v>
      </c>
      <c r="K29" s="18"/>
      <c r="L29" s="18"/>
      <c r="M29" s="8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10" t="s">
        <v>66</v>
      </c>
      <c r="B30" s="21">
        <f>COUNTIF(C16:C26,"Super 98")</f>
        <v>3</v>
      </c>
      <c r="C30" s="11"/>
      <c r="D30" s="11"/>
      <c r="E30" s="11"/>
      <c r="F30" s="4"/>
      <c r="G30" s="19" t="s">
        <v>22</v>
      </c>
      <c r="H30" s="19"/>
      <c r="I30" s="19"/>
      <c r="J30" s="70">
        <f>IF(J29=0,"",J29-B35)</f>
        <v>105.79953817366493</v>
      </c>
      <c r="K30" s="19"/>
      <c r="L30" s="19"/>
      <c r="M30" s="8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7" t="s">
        <v>16</v>
      </c>
      <c r="B31" s="22">
        <f>IF(COUNTA(D16:D26)&lt;2,"",MAX(D16:D26)-MIN(D16:D26))</f>
        <v>2229</v>
      </c>
      <c r="C31" s="12"/>
      <c r="D31" s="12"/>
      <c r="E31" s="12"/>
      <c r="F31" s="4"/>
      <c r="G31" s="20" t="s">
        <v>24</v>
      </c>
      <c r="H31" s="18"/>
      <c r="I31" s="18"/>
      <c r="J31" s="71">
        <f>IF(J30="","",J30-B5)</f>
        <v>-408.74046182633504</v>
      </c>
      <c r="K31" s="18"/>
      <c r="L31" s="18"/>
      <c r="M31" s="8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61" t="s">
        <v>182</v>
      </c>
      <c r="B32" s="62">
        <f>IFERROR((LOOKUP(9.99999999999999E+307,Tableau2[Km compteur])-INDEX(Tableau2[Km compteur],1))/(LOOKUP(9.99999999999999E+307,Tableau2[Date])-INDEX(Tableau2[Date],1))*7,"-")</f>
        <v>400.07692307692309</v>
      </c>
      <c r="C32" s="11"/>
      <c r="D32" s="11"/>
      <c r="E32" s="11"/>
      <c r="F32" s="4"/>
      <c r="G32" s="19" t="s">
        <v>26</v>
      </c>
      <c r="H32" s="19"/>
      <c r="I32" s="19"/>
      <c r="J32" s="72">
        <f>IF(OR(B5="",B5=0,J30=""),"",MIN(J30/B5,1))</f>
        <v>0.20561965672963217</v>
      </c>
      <c r="K32" s="19"/>
      <c r="L32" s="19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7" t="s">
        <v>183</v>
      </c>
      <c r="B33" s="60">
        <f>IFERROR((LOOKUP(9.99999999999999E+307,Tableau2[Km compteur])-INDEX(Tableau2[Km compteur],1))/(LOOKUP(9.99999999999999E+307,Tableau2[Date])-INDEX(Tableau2[Date],1))*30.4375,"-")</f>
        <v>1739.6201923076924</v>
      </c>
      <c r="C33" s="12"/>
      <c r="D33" s="12"/>
      <c r="E33" s="12"/>
      <c r="F33" s="4"/>
      <c r="G33" s="18" t="s">
        <v>27</v>
      </c>
      <c r="H33" s="18"/>
      <c r="I33" s="18"/>
      <c r="J33" s="18" t="str">
        <f>IF(J31="","",IF(J31&gt;=0,"✅ OUI ! Rentabilisé !","❌ Pas encore... Encore "&amp;TEXT(ABS(J31),"#,##")&amp;" € à économiser"))</f>
        <v>❌ Pas encore... Encore 408,74 € à économiser</v>
      </c>
      <c r="K33" s="18"/>
      <c r="L33" s="18"/>
      <c r="M33" s="4"/>
    </row>
    <row r="34" spans="1:27" x14ac:dyDescent="0.25">
      <c r="A34" s="10" t="s">
        <v>17</v>
      </c>
      <c r="B34" s="23">
        <f>SUMIF(C16:C26,"SuperEthanol E85",F16:F26)</f>
        <v>110.15</v>
      </c>
      <c r="C34" s="13"/>
      <c r="D34" s="13"/>
      <c r="E34" s="13"/>
      <c r="F34" s="4"/>
      <c r="G34" s="73"/>
      <c r="H34" s="73"/>
      <c r="I34" s="73"/>
      <c r="J34" s="73"/>
      <c r="K34" s="73"/>
      <c r="L34" s="73"/>
      <c r="M34" s="4"/>
    </row>
    <row r="35" spans="1:27" x14ac:dyDescent="0.25">
      <c r="A35" s="7" t="s">
        <v>18</v>
      </c>
      <c r="B35" s="24">
        <f>SUMIF(C16:C26,"SuperEthanol E85",I16:I26)</f>
        <v>86.909719999999993</v>
      </c>
      <c r="C35" s="12"/>
      <c r="D35" s="12"/>
      <c r="E35" s="12"/>
      <c r="F35" s="4"/>
      <c r="G35" s="18" t="s">
        <v>40</v>
      </c>
      <c r="H35" s="18"/>
      <c r="I35" s="18"/>
      <c r="J35" s="75">
        <f>IF(OR(J30="",B31="",B31=0),"",J30/B31*100)</f>
        <v>4.7465023855390278</v>
      </c>
      <c r="K35" s="18"/>
      <c r="L35" s="18"/>
      <c r="M35" s="4"/>
    </row>
    <row r="36" spans="1:27" x14ac:dyDescent="0.25">
      <c r="A36" s="10" t="s">
        <v>60</v>
      </c>
      <c r="B36" s="23">
        <f>IFERROR(AVERAGEIFS(J16:J26,C16:C26,"SuperEthanol E85"),"")</f>
        <v>6.4965415736416467</v>
      </c>
      <c r="C36" s="14"/>
      <c r="D36" s="14"/>
      <c r="E36" s="14"/>
      <c r="F36" s="4"/>
      <c r="G36" s="19" t="s">
        <v>184</v>
      </c>
      <c r="H36" s="19"/>
      <c r="I36" s="19"/>
      <c r="J36" s="74">
        <f>IF(OR(J35="",J35&lt;=0,J31=""),"",IF(J31&gt;=0,0,ROUNDUP(ABS(J31)/J35*100,0)))</f>
        <v>8612</v>
      </c>
      <c r="K36" s="19"/>
      <c r="L36" s="19"/>
      <c r="M36" s="4"/>
    </row>
    <row r="37" spans="1:27" x14ac:dyDescent="0.25">
      <c r="A37" s="7" t="s">
        <v>61</v>
      </c>
      <c r="B37" s="12">
        <f>IFERROR(AVERAGEIFS(J16:J26,C16:C26,"Super 98"),"")</f>
        <v>5.394659991656237</v>
      </c>
      <c r="C37" s="15"/>
      <c r="D37" s="15"/>
      <c r="E37" s="15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43" priority="2">
      <formula>AND($C16="SuperEthanol E85",$K16="")</formula>
    </cfRule>
  </conditionalFormatting>
  <conditionalFormatting sqref="G16:G26">
    <cfRule type="expression" dxfId="3" priority="3">
      <formula>AND($G16&lt;&gt;"",ISNUMBER($G16),$G16&lt;AVERAGEIFS(G:G,C:C,$C16,G:G,"&gt;="&amp;$G16-30,G:G," &lt;="&amp;$G16))</formula>
    </cfRule>
    <cfRule type="expression" dxfId="2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F9" sqref="F9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38" t="s">
        <v>296</v>
      </c>
      <c r="C2" s="139"/>
      <c r="D2" s="139"/>
      <c r="E2" s="139"/>
      <c r="F2" s="139"/>
      <c r="G2" s="139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40" t="s">
        <v>316</v>
      </c>
      <c r="C4" s="139"/>
      <c r="D4" s="139"/>
      <c r="E4" s="139"/>
      <c r="F4" s="139"/>
      <c r="G4" s="139"/>
    </row>
    <row r="5" spans="2:9" ht="32.1" customHeight="1" x14ac:dyDescent="0.25">
      <c r="B5" s="85" t="s">
        <v>276</v>
      </c>
      <c r="C5" s="86" t="s">
        <v>297</v>
      </c>
      <c r="D5" s="86" t="s">
        <v>298</v>
      </c>
      <c r="E5" s="86" t="s">
        <v>299</v>
      </c>
      <c r="F5" s="86" t="s">
        <v>300</v>
      </c>
      <c r="G5" s="86" t="s">
        <v>301</v>
      </c>
      <c r="H5" s="86" t="s">
        <v>302</v>
      </c>
      <c r="I5" s="85" t="s">
        <v>303</v>
      </c>
    </row>
    <row r="6" spans="2:9" ht="21.95" customHeight="1" x14ac:dyDescent="0.25">
      <c r="B6" s="88" t="str">
        <f>IF(Notes!$D$3="","",Notes!$D$3)</f>
        <v>Carrefour - Flers</v>
      </c>
      <c r="C6" s="89">
        <f>IFERROR(AVERAGEIF(GS_Pleins[Station essence],$B6,GS_Pleins[E85 station]),"")</f>
        <v>0.84899999999999998</v>
      </c>
      <c r="D6" s="89">
        <f>IFERROR(AVERAGEIF(GS_Pleins[Station essence],$B6,GS_Pleins[SP98 station]),"")</f>
        <v>2.0259999999999998</v>
      </c>
      <c r="E6" s="89">
        <f>IFERROR(AVERAGEIF(GS_Pleins[Station essence],$B6,GS_Pleins[SP95 station]),"")</f>
        <v>2.089</v>
      </c>
      <c r="F6" s="89">
        <f>IFERROR(AVERAGEIF(GS_Pleins[Station essence],$B6,GS_Pleins[E10 station]),"")</f>
        <v>2.0390000000000001</v>
      </c>
      <c r="G6" s="89">
        <f>IFERROR(AVERAGEIF(GS_Pleins[Station essence],$B6,GS_Pleins[Gazole station]),"")</f>
        <v>2.0990000000000002</v>
      </c>
      <c r="H6" s="89">
        <f>IFERROR(AVERAGEIF(GS_Pleins[Station essence],$B6,GS_Pleins[GPLc station]),"")</f>
        <v>0.96899999999999997</v>
      </c>
      <c r="I6" s="90">
        <f>IF(Notes!$D3="","",COUNTIF(GS_Pleins!$G:$G,B6))</f>
        <v>3</v>
      </c>
    </row>
    <row r="7" spans="2:9" ht="21.95" customHeight="1" x14ac:dyDescent="0.25">
      <c r="B7" s="87" t="str">
        <f>IF(Notes!$D$4="","",Notes!$D$4)</f>
        <v>E.Leclerc - Beuvry</v>
      </c>
      <c r="C7" s="89">
        <f>IFERROR(AVERAGEIF(GS_Pleins[Station essence],$B7,GS_Pleins[E85 station]),"")</f>
        <v>0.78014285714285714</v>
      </c>
      <c r="D7" s="89">
        <f>IFERROR(AVERAGEIF(GS_Pleins[Station essence],$B7,GS_Pleins[SP98 station]),"")</f>
        <v>2.0926666666666667</v>
      </c>
      <c r="E7" s="89" t="str">
        <f>IFERROR(AVERAGEIF(GS_Pleins[Station essence],$B7,GS_Pleins[SP95 station]),"")</f>
        <v/>
      </c>
      <c r="F7" s="89" t="str">
        <f>IFERROR(AVERAGEIF(GS_Pleins[Station essence],$B7,GS_Pleins[E10 station]),"")</f>
        <v/>
      </c>
      <c r="G7" s="89" t="str">
        <f>IFERROR(AVERAGEIF(GS_Pleins[Station essence],$B7,GS_Pleins[Gazole station]),"")</f>
        <v/>
      </c>
      <c r="H7" s="89" t="str">
        <f>IFERROR(AVERAGEIF(GS_Pleins[Station essence],$B7,GS_Pleins[GPLc station]),"")</f>
        <v/>
      </c>
      <c r="I7" s="90">
        <f>IF(Notes!$D4="","",COUNTIF(GS_Pleins!$G:$G,B7))</f>
        <v>7</v>
      </c>
    </row>
    <row r="8" spans="2:9" ht="21.95" customHeight="1" x14ac:dyDescent="0.25">
      <c r="B8" s="88" t="str">
        <f>IF(Notes!$D$5="","",Notes!$D$5)</f>
        <v>Leclerc - Douai</v>
      </c>
      <c r="C8" s="89" t="str">
        <f>IFERROR(AVERAGEIF(GS_Pleins[Station essence],$B8,GS_Pleins[E85 station]),"")</f>
        <v/>
      </c>
      <c r="D8" s="89">
        <f>IFERROR(AVERAGEIF(GS_Pleins[Station essence],$B8,GS_Pleins[SP98 station]),"")</f>
        <v>2.0310000000000001</v>
      </c>
      <c r="E8" s="89" t="str">
        <f>IFERROR(AVERAGEIF(GS_Pleins[Station essence],$B8,GS_Pleins[SP95 station]),"")</f>
        <v/>
      </c>
      <c r="F8" s="89" t="str">
        <f>IFERROR(AVERAGEIF(GS_Pleins[Station essence],$B8,GS_Pleins[E10 station]),"")</f>
        <v/>
      </c>
      <c r="G8" s="89" t="str">
        <f>IFERROR(AVERAGEIF(GS_Pleins[Station essence],$B8,GS_Pleins[Gazole station]),"")</f>
        <v/>
      </c>
      <c r="H8" s="89" t="str">
        <f>IFERROR(AVERAGEIF(GS_Pleins[Station essence],$B8,GS_Pleins[GPLc station]),"")</f>
        <v/>
      </c>
      <c r="I8" s="90">
        <f>IF(Notes!$D5="","",COUNTIF(GS_Pleins!$G:$G,B8))</f>
        <v>1</v>
      </c>
    </row>
    <row r="9" spans="2:9" ht="21.95" customHeight="1" x14ac:dyDescent="0.25">
      <c r="B9" s="87" t="str">
        <f>IF(Notes!$D$6="","",Notes!$D$6)</f>
        <v>Total Access</v>
      </c>
      <c r="C9" s="89" t="str">
        <f>IFERROR(AVERAGEIF(GS_Pleins[Station essence],$B9,GS_Pleins[E85 station]),"")</f>
        <v/>
      </c>
      <c r="D9" s="89" t="str">
        <f>IFERROR(AVERAGEIF(GS_Pleins[Station essence],$B9,GS_Pleins[SP98 station]),"")</f>
        <v/>
      </c>
      <c r="E9" s="89" t="str">
        <f>IFERROR(AVERAGEIF(GS_Pleins[Station essence],$B9,GS_Pleins[SP95 station]),"")</f>
        <v/>
      </c>
      <c r="F9" s="89" t="str">
        <f>IFERROR(AVERAGEIF(GS_Pleins[Station essence],$B9,GS_Pleins[E10 station]),"")</f>
        <v/>
      </c>
      <c r="G9" s="89" t="str">
        <f>IFERROR(AVERAGEIF(GS_Pleins[Station essence],$B9,GS_Pleins[Gazole station]),"")</f>
        <v/>
      </c>
      <c r="H9" s="89" t="str">
        <f>IFERROR(AVERAGEIF(GS_Pleins[Station essence],$B9,GS_Pleins[GPLc station]),"")</f>
        <v/>
      </c>
      <c r="I9" s="90">
        <f>IF(Notes!$D6="","",COUNTIF(GS_Pleins!$G:$G,B9))</f>
        <v>0</v>
      </c>
    </row>
    <row r="10" spans="2:9" ht="21.95" customHeight="1" x14ac:dyDescent="0.25">
      <c r="B10" s="88" t="str">
        <f>IF(Notes!$D$7="","",Notes!$D$7)</f>
        <v>Total - Waziers</v>
      </c>
      <c r="C10" s="89" t="str">
        <f>IFERROR(AVERAGEIF(GS_Pleins[Station essence],$B10,GS_Pleins[E85 station]),"")</f>
        <v/>
      </c>
      <c r="D10" s="89" t="str">
        <f>IFERROR(AVERAGEIF(GS_Pleins[Station essence],$B10,GS_Pleins[SP98 station]),"")</f>
        <v/>
      </c>
      <c r="E10" s="89" t="str">
        <f>IFERROR(AVERAGEIF(GS_Pleins[Station essence],$B10,GS_Pleins[SP95 station]),"")</f>
        <v/>
      </c>
      <c r="F10" s="89" t="str">
        <f>IFERROR(AVERAGEIF(GS_Pleins[Station essence],$B10,GS_Pleins[E10 station]),"")</f>
        <v/>
      </c>
      <c r="G10" s="89" t="str">
        <f>IFERROR(AVERAGEIF(GS_Pleins[Station essence],$B10,GS_Pleins[Gazole station]),"")</f>
        <v/>
      </c>
      <c r="H10" s="89" t="str">
        <f>IFERROR(AVERAGEIF(GS_Pleins[Station essence],$B10,GS_Pleins[GPLc station]),"")</f>
        <v/>
      </c>
      <c r="I10" s="90">
        <f>IF(Notes!$D7="","",COUNTIF(GS_Pleins!$G:$G,B10))</f>
        <v>0</v>
      </c>
    </row>
    <row r="11" spans="2:9" ht="21.95" customHeight="1" x14ac:dyDescent="0.25">
      <c r="B11" s="87" t="str">
        <f>IF(Notes!$D$8="","",Notes!$D$8)</f>
        <v/>
      </c>
      <c r="C11" s="89" t="str">
        <f>IFERROR(AVERAGEIF(GS_Pleins[Station essence],$B11,GS_Pleins[E85 station]),"")</f>
        <v/>
      </c>
      <c r="D11" s="89" t="str">
        <f>IFERROR(AVERAGEIF(GS_Pleins[Station essence],$B11,GS_Pleins[SP98 station]),"")</f>
        <v/>
      </c>
      <c r="E11" s="89" t="str">
        <f>IFERROR(AVERAGEIF(GS_Pleins[Station essence],$B11,GS_Pleins[SP95 station]),"")</f>
        <v/>
      </c>
      <c r="F11" s="89" t="str">
        <f>IFERROR(AVERAGEIF(GS_Pleins[Station essence],$B11,GS_Pleins[E10 station]),"")</f>
        <v/>
      </c>
      <c r="G11" s="89" t="str">
        <f>IFERROR(AVERAGEIF(GS_Pleins[Station essence],$B11,GS_Pleins[Gazole station]),"")</f>
        <v/>
      </c>
      <c r="H11" s="89" t="str">
        <f>IFERROR(AVERAGEIF(GS_Pleins[Station essence],$B11,GS_Pleins[GPLc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>IFERROR(AVERAGEIF(GS_Pleins[Station essence],$B12,GS_Pleins[E85 station]),"")</f>
        <v/>
      </c>
      <c r="D12" s="89" t="str">
        <f>IFERROR(AVERAGEIF(GS_Pleins[Station essence],$B12,GS_Pleins[SP98 station]),"")</f>
        <v/>
      </c>
      <c r="E12" s="89" t="str">
        <f>IFERROR(AVERAGEIF(GS_Pleins[Station essence],$B12,GS_Pleins[SP95 station]),"")</f>
        <v/>
      </c>
      <c r="F12" s="89" t="str">
        <f>IFERROR(AVERAGEIF(GS_Pleins[Station essence],$B12,GS_Pleins[E10 station]),"")</f>
        <v/>
      </c>
      <c r="G12" s="89" t="str">
        <f>IFERROR(AVERAGEIF(GS_Pleins[Station essence],$B12,GS_Pleins[Gazole station]),"")</f>
        <v/>
      </c>
      <c r="H12" s="89" t="str">
        <f>IFERROR(AVERAGEIF(GS_Pleins[Station essence],$B12,GS_Pleins[GPLc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>IFERROR(AVERAGEIF(GS_Pleins[Station essence],$B13,GS_Pleins[E85 station]),"")</f>
        <v/>
      </c>
      <c r="D13" s="89" t="str">
        <f>IFERROR(AVERAGEIF(GS_Pleins[Station essence],$B13,GS_Pleins[SP98 station]),"")</f>
        <v/>
      </c>
      <c r="E13" s="89" t="str">
        <f>IFERROR(AVERAGEIF(GS_Pleins[Station essence],$B13,GS_Pleins[SP95 station]),"")</f>
        <v/>
      </c>
      <c r="F13" s="89" t="str">
        <f>IFERROR(AVERAGEIF(GS_Pleins[Station essence],$B13,GS_Pleins[E10 station]),"")</f>
        <v/>
      </c>
      <c r="G13" s="89" t="str">
        <f>IFERROR(AVERAGEIF(GS_Pleins[Station essence],$B13,GS_Pleins[Gazole station]),"")</f>
        <v/>
      </c>
      <c r="H13" s="89" t="str">
        <f>IFERROR(AVERAGEIF(GS_Pleins[Station essence],$B13,GS_Pleins[GPLc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>IFERROR(AVERAGEIF(GS_Pleins[Station essence],$B14,GS_Pleins[E85 station]),"")</f>
        <v/>
      </c>
      <c r="D14" s="89" t="str">
        <f>IFERROR(AVERAGEIF(GS_Pleins[Station essence],$B14,GS_Pleins[SP98 station]),"")</f>
        <v/>
      </c>
      <c r="E14" s="89" t="str">
        <f>IFERROR(AVERAGEIF(GS_Pleins[Station essence],$B14,GS_Pleins[SP95 station]),"")</f>
        <v/>
      </c>
      <c r="F14" s="89" t="str">
        <f>IFERROR(AVERAGEIF(GS_Pleins[Station essence],$B14,GS_Pleins[E10 station]),"")</f>
        <v/>
      </c>
      <c r="G14" s="89" t="str">
        <f>IFERROR(AVERAGEIF(GS_Pleins[Station essence],$B14,GS_Pleins[Gazole station]),"")</f>
        <v/>
      </c>
      <c r="H14" s="89" t="str">
        <f>IFERROR(AVERAGEIF(GS_Pleins[Station essence],$B14,GS_Pleins[GPLc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>IFERROR(AVERAGEIF(GS_Pleins[Station essence],$B15,GS_Pleins[E85 station]),"")</f>
        <v/>
      </c>
      <c r="D15" s="89" t="str">
        <f>IFERROR(AVERAGEIF(GS_Pleins[Station essence],$B15,GS_Pleins[SP98 station]),"")</f>
        <v/>
      </c>
      <c r="E15" s="89" t="str">
        <f>IFERROR(AVERAGEIF(GS_Pleins[Station essence],$B15,GS_Pleins[SP95 station]),"")</f>
        <v/>
      </c>
      <c r="F15" s="89" t="str">
        <f>IFERROR(AVERAGEIF(GS_Pleins[Station essence],$B15,GS_Pleins[E10 station]),"")</f>
        <v/>
      </c>
      <c r="G15" s="89" t="str">
        <f>IFERROR(AVERAGEIF(GS_Pleins[Station essence],$B15,GS_Pleins[Gazole station]),"")</f>
        <v/>
      </c>
      <c r="H15" s="89" t="str">
        <f>IFERROR(AVERAGEIF(GS_Pleins[Station essence],$B15,GS_Pleins[GPLc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>IFERROR(AVERAGEIF(GS_Pleins[Station essence],$B16,GS_Pleins[E85 station]),"")</f>
        <v/>
      </c>
      <c r="D16" s="89" t="str">
        <f>IFERROR(AVERAGEIF(GS_Pleins[Station essence],$B16,GS_Pleins[SP98 station]),"")</f>
        <v/>
      </c>
      <c r="E16" s="89" t="str">
        <f>IFERROR(AVERAGEIF(GS_Pleins[Station essence],$B16,GS_Pleins[SP95 station]),"")</f>
        <v/>
      </c>
      <c r="F16" s="89" t="str">
        <f>IFERROR(AVERAGEIF(GS_Pleins[Station essence],$B16,GS_Pleins[E10 station]),"")</f>
        <v/>
      </c>
      <c r="G16" s="89" t="str">
        <f>IFERROR(AVERAGEIF(GS_Pleins[Station essence],$B16,GS_Pleins[Gazole station]),"")</f>
        <v/>
      </c>
      <c r="H16" s="89" t="str">
        <f>IFERROR(AVERAGEIF(GS_Pleins[Station essence],$B16,GS_Pleins[GPLc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277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41" t="s">
        <v>304</v>
      </c>
      <c r="C19" s="142"/>
      <c r="D19" s="142"/>
      <c r="E19" s="142"/>
      <c r="F19" s="142"/>
      <c r="G19" s="142"/>
    </row>
    <row r="20" spans="2:9" ht="18" customHeight="1" x14ac:dyDescent="0.25">
      <c r="B20" s="141"/>
      <c r="C20" s="142"/>
      <c r="D20" s="142"/>
      <c r="E20" s="142"/>
      <c r="F20" s="142"/>
      <c r="G20" s="142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362</v>
      </c>
    </row>
    <row r="3" spans="1:3" x14ac:dyDescent="0.25">
      <c r="A3" s="117" t="s">
        <v>363</v>
      </c>
    </row>
    <row r="4" spans="1:3" x14ac:dyDescent="0.25">
      <c r="A4" s="118" t="s">
        <v>1</v>
      </c>
      <c r="B4" s="118" t="s">
        <v>361</v>
      </c>
      <c r="C4" s="118" t="s">
        <v>276</v>
      </c>
    </row>
    <row r="5" spans="1:3" x14ac:dyDescent="0.25">
      <c r="A5" s="119">
        <v>46146</v>
      </c>
      <c r="B5" s="120">
        <v>0.80900000000000005</v>
      </c>
      <c r="C5" t="s">
        <v>335</v>
      </c>
    </row>
    <row r="6" spans="1:3" x14ac:dyDescent="0.25">
      <c r="A6" s="119">
        <v>46148</v>
      </c>
      <c r="B6" s="120">
        <v>0.747</v>
      </c>
      <c r="C6" t="s">
        <v>335</v>
      </c>
    </row>
    <row r="7" spans="1:3" x14ac:dyDescent="0.25">
      <c r="A7" s="119">
        <v>46151</v>
      </c>
      <c r="B7" s="120">
        <v>0.75700000000000001</v>
      </c>
      <c r="C7" t="s">
        <v>335</v>
      </c>
    </row>
    <row r="8" spans="1:3" x14ac:dyDescent="0.25">
      <c r="A8" s="119">
        <v>46154</v>
      </c>
      <c r="B8" s="120">
        <v>0.83499999999999996</v>
      </c>
      <c r="C8" t="s">
        <v>335</v>
      </c>
    </row>
    <row r="9" spans="1:3" x14ac:dyDescent="0.25">
      <c r="A9" s="119">
        <v>46157</v>
      </c>
      <c r="B9" s="120">
        <v>0.71699999999999997</v>
      </c>
      <c r="C9" t="s">
        <v>335</v>
      </c>
    </row>
    <row r="10" spans="1:3" x14ac:dyDescent="0.25">
      <c r="A10" s="119">
        <v>46161</v>
      </c>
      <c r="B10" s="120">
        <v>0.79800000000000004</v>
      </c>
      <c r="C10" t="s">
        <v>335</v>
      </c>
    </row>
    <row r="11" spans="1:3" x14ac:dyDescent="0.25">
      <c r="A11" s="119">
        <v>46164.083333333336</v>
      </c>
      <c r="B11" s="120">
        <v>0.79800000000000004</v>
      </c>
      <c r="C11" t="s">
        <v>335</v>
      </c>
    </row>
    <row r="43" spans="1:3" x14ac:dyDescent="0.25">
      <c r="A43" s="121" t="s">
        <v>364</v>
      </c>
    </row>
    <row r="44" spans="1:3" x14ac:dyDescent="0.25">
      <c r="A44" s="122" t="s">
        <v>1</v>
      </c>
      <c r="B44" s="122" t="s">
        <v>365</v>
      </c>
      <c r="C44" s="122" t="s">
        <v>308</v>
      </c>
    </row>
    <row r="45" spans="1:3" x14ac:dyDescent="0.25">
      <c r="A45" s="119">
        <v>46135</v>
      </c>
      <c r="B45" s="123">
        <v>5.4</v>
      </c>
      <c r="C45" t="s">
        <v>315</v>
      </c>
    </row>
    <row r="46" spans="1:3" x14ac:dyDescent="0.25">
      <c r="A46" s="119">
        <v>46140</v>
      </c>
      <c r="B46" s="123">
        <v>5.39</v>
      </c>
      <c r="C46" t="s">
        <v>315</v>
      </c>
    </row>
    <row r="47" spans="1:3" x14ac:dyDescent="0.25">
      <c r="A47" s="119">
        <v>46146</v>
      </c>
      <c r="B47" s="123">
        <v>5.62</v>
      </c>
      <c r="C47" t="s">
        <v>315</v>
      </c>
    </row>
    <row r="48" spans="1:3" x14ac:dyDescent="0.25">
      <c r="A48" s="119">
        <v>46148</v>
      </c>
      <c r="B48" s="123">
        <v>5.97</v>
      </c>
      <c r="C48" t="s">
        <v>315</v>
      </c>
    </row>
    <row r="49" spans="1:3" x14ac:dyDescent="0.25">
      <c r="A49" s="119">
        <v>46151</v>
      </c>
      <c r="B49" s="123">
        <v>6.76</v>
      </c>
      <c r="C49" t="s">
        <v>315</v>
      </c>
    </row>
    <row r="50" spans="1:3" x14ac:dyDescent="0.25">
      <c r="A50" s="119">
        <v>46154</v>
      </c>
      <c r="B50" s="123">
        <v>7.04</v>
      </c>
      <c r="C50" t="s">
        <v>315</v>
      </c>
    </row>
    <row r="51" spans="1:3" x14ac:dyDescent="0.25">
      <c r="A51" s="119">
        <v>46157</v>
      </c>
      <c r="B51" s="123">
        <v>6.59</v>
      </c>
      <c r="C51" t="s">
        <v>315</v>
      </c>
    </row>
    <row r="52" spans="1:3" x14ac:dyDescent="0.25">
      <c r="A52" s="119">
        <v>46161</v>
      </c>
      <c r="B52" s="123">
        <v>6.77</v>
      </c>
      <c r="C52" t="s">
        <v>315</v>
      </c>
    </row>
    <row r="53" spans="1:3" x14ac:dyDescent="0.25">
      <c r="A53" s="119">
        <v>46164.083333333336</v>
      </c>
      <c r="B53" s="123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D33" sqref="D33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  <c r="D3" s="81" t="s">
        <v>345</v>
      </c>
    </row>
    <row r="4" spans="2:4" x14ac:dyDescent="0.25">
      <c r="B4" s="81" t="s">
        <v>273</v>
      </c>
      <c r="D4" s="81" t="s">
        <v>335</v>
      </c>
    </row>
    <row r="5" spans="2:4" x14ac:dyDescent="0.25">
      <c r="B5" s="81" t="s">
        <v>81</v>
      </c>
      <c r="D5" s="81" t="s">
        <v>346</v>
      </c>
    </row>
    <row r="6" spans="2:4" x14ac:dyDescent="0.25">
      <c r="B6" s="81" t="s">
        <v>100</v>
      </c>
      <c r="D6" s="81" t="s">
        <v>295</v>
      </c>
    </row>
    <row r="7" spans="2:4" x14ac:dyDescent="0.25">
      <c r="D7" s="81" t="s">
        <v>369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2026-05-30T04:04:57Z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