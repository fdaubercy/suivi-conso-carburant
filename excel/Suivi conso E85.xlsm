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C3B87489-20EA-4287-AF0C-62A27B77DE7A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state="hidden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H21" i="8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<sst xmlns="http://schemas.openxmlformats.org/spreadsheetml/2006/main" count="505" uniqueCount="370">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</sst>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74C68D-C353-432C-8893-151635B6597B}" name="DonneesExternes_1" displayName="DonneesExternes_1" ref="A1:Y12" totalsRowShown="0">
  <autoFilter ref="A1:Y12" xr:uid="{D174C68D-C353-432C-8893-151635B6597B}"/>
  <tableColumns count="25">
    <tableColumn id="1" xr3:uid="{4282AF9D-4A32-4425-AF21-8E1F991373C1}" name="Horodatage" dataDxfId="1"/>
    <tableColumn id="2" xr3:uid="{285E36B9-7859-4286-87C2-827A314EFB0E}" name="Date" dataDxfId="0"/>
    <tableColumn id="3" xr3:uid="{83256E78-BC2C-4BB2-9ED8-BCCF7BB72617}" name="Type"/>
    <tableColumn id="4" xr3:uid="{2AA7A8E9-5989-40BA-913F-6F31BBD2DBB1}" name="Km compteur"/>
    <tableColumn id="5" xr3:uid="{A17834C8-161C-4AEC-BD04-A96C23BC40A4}" name="Nb. Litres"/>
    <tableColumn id="6" xr3:uid="{9AAF265A-0780-4373-81D4-E293E6658C24}" name="Prix €/L"/>
    <tableColumn id="7" xr3:uid="{20576730-7C5C-42A7-87A8-FDE391CB4695}" name="Station essence"/>
    <tableColumn id="8" xr3:uid="{1800DA0E-996A-4CAE-AFA7-67A744B0D2AE}" name="Véhicule"/>
    <tableColumn id="9" xr3:uid="{B0FEE688-B39D-4108-BFD3-8D08C6A8662E}" name="E85 station (€/L)"/>
    <tableColumn id="10" xr3:uid="{D6BCF0A7-8A39-48C8-894F-AEFDDE744101}" name="SP98 station (€/L)"/>
    <tableColumn id="11" xr3:uid="{2A9ADF9F-A8D3-4EE9-B140-136B39BA44FB}" name="SP95 station (€/L)"/>
    <tableColumn id="12" xr3:uid="{DA2E44F2-3EA6-4193-BC1A-AEF5349A94A3}" name="E10 station (€/L)"/>
    <tableColumn id="13" xr3:uid="{FCE6DA73-7CE8-4AF6-8D4F-60293A91FB5D}" name="Gazole station (€/L)"/>
    <tableColumn id="14" xr3:uid="{19313309-BBD5-472B-9528-4AA4A191BBB0}" name="GPLc station (€/L)"/>
    <tableColumn id="15" xr3:uid="{B9AEB816-0937-41D4-989F-4CFD17FBBB9B}" name="sync_id"/>
    <tableColumn id="16" xr3:uid="{7C110FB7-90E1-4BC0-91A3-4140A8ADE57B}" name="Photo ticket"/>
    <tableColumn id="17" xr3:uid="{37478D41-A35E-4340-A78B-DEDF73F69A7B}" name="Colonne1"/>
    <tableColumn id="18" xr3:uid="{4D37534E-5FE1-4355-9646-BE858DE9FD8D}" name="Colonne2"/>
    <tableColumn id="19" xr3:uid="{9943F80D-C06E-466F-ABA2-461401AA928D}" name="Colonne3"/>
    <tableColumn id="20" xr3:uid="{9323DD5D-B6B9-4516-B0A7-503D6C81986F}" name="Colonne4"/>
    <tableColumn id="21" xr3:uid="{A3BF11A6-4B4D-4055-BFDE-D1DB46EE3209}" name="Colonne5"/>
    <tableColumn id="22" xr3:uid="{F755B5F0-17E7-4C0A-AAFE-32214C881C5C}" name="Colonne6"/>
    <tableColumn id="23" xr3:uid="{8B44EC8A-00E7-4178-83D1-3C2557578EC7}" name="Colonne7"/>
    <tableColumn id="24" xr3:uid="{595B0E78-1293-4F36-92D4-C273010352D2}" name="Colonne8"/>
    <tableColumn id="25" xr3:uid="{13839C34-78EF-4A8F-AD0A-9FDCF393F2D2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/>
    <tableColumn id="11" xr3:uid="{A77486BA-32D8-4661-BA23-1144AE2FD0EC}" name="Type" dataDxfId="25"/>
    <tableColumn id="3" xr3:uid="{6C87F133-7224-4AAB-ACB2-666E8B7315B5}" name="Km compteur" dataDxfId="24"/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/>
    <tableColumn id="5" xr3:uid="{A61BA34E-E60B-4F70-A1D9-62090C37C449}" name="Prix €/L" dataDxfId="21"/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9" dataDxfId="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21"/>
  <sheetViews>
    <sheetView zoomScale="70" zoomScaleNormal="70" workbookViewId="0">
      <selection activeCell="H22" sqref="H2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36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36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36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36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36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36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36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36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36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36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  <row r="21" spans="8:8" x14ac:dyDescent="0.25">
      <c r="H21" s="98">
        <f>IFERROR(AVERAGEIF(GS_Pleins[Station essence],"Carrefour - Flers",GS_Pleins[E85 station]),"")</f>
        <v>0.84899999999999998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3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2026-05-29T02:32:03Z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