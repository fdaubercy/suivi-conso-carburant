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"/>
    </mc:Choice>
  </mc:AlternateContent>
  <xr:revisionPtr revIDLastSave="0" documentId="13_ncr:1_{797F5421-C6EA-48CA-9B4A-92A72D5173C6}" xr6:coauthVersionLast="47" xr6:coauthVersionMax="47" xr10:uidLastSave="{00000000-0000-0000-0000-000000000000}"/>
  <bookViews>
    <workbookView xWindow="-120" yWindow="-120" windowWidth="24240" windowHeight="13020" firstSheet="1" activeTab="1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_ImportGS" sheetId="9" state="veryHidden" r:id="rId4"/>
    <sheet name="Suivi Carburant" sheetId="2" r:id="rId5"/>
    <sheet name="Prix par Station" sheetId="7" r:id="rId6"/>
    <sheet name="Graphiques" sheetId="4" r:id="rId7"/>
    <sheet name="Notes" sheetId="6" r:id="rId8"/>
  </sheets>
  <functionGroups builtInGroupCount="19"/>
  <externalReferences>
    <externalReference r:id="rId9"/>
  </externalReferences>
  <definedNames>
    <definedName name="DonnéesExternes_1" localSheetId="2" hidden="1">GS_Pleins!$A$1:$N$11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0" l="1"/>
  <c r="B13" i="10"/>
  <c r="B12" i="10"/>
  <c r="B11" i="10"/>
  <c r="B10" i="10"/>
  <c r="B9" i="10"/>
  <c r="B8" i="10"/>
  <c r="B7" i="10"/>
  <c r="B6" i="10"/>
  <c r="B5" i="10"/>
  <c r="B29" i="2"/>
  <c r="B33" i="2"/>
  <c r="B28" i="2"/>
  <c r="B30" i="2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B16" i="7" l="1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B32" i="2"/>
  <c r="B31" i="2"/>
  <c r="S16" i="2"/>
  <c r="M17" i="2"/>
  <c r="M18" i="2"/>
  <c r="K17" i="2"/>
  <c r="I17" i="2"/>
  <c r="H17" i="2" s="1"/>
  <c r="B36" i="2" l="1"/>
  <c r="B35" i="2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J6" i="2" a="1"/>
  <c r="J6" i="2" s="1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B34" i="2" s="1"/>
  <c r="I20" i="2"/>
  <c r="H20" i="2" s="1"/>
  <c r="I21" i="2"/>
  <c r="H21" i="2" s="1"/>
  <c r="I23" i="2"/>
  <c r="H23" i="2" s="1"/>
  <c r="I16" i="2"/>
  <c r="H16" i="2" s="1"/>
  <c r="L18" i="2" l="1"/>
  <c r="L16" i="2"/>
  <c r="J28" i="2" s="1"/>
  <c r="H19" i="2"/>
  <c r="N19" i="2"/>
  <c r="M19" i="2"/>
  <c r="M23" i="2"/>
  <c r="M20" i="2"/>
  <c r="M21" i="2"/>
  <c r="N20" i="2" l="1"/>
  <c r="N21" i="2" s="1"/>
  <c r="N22" i="2" s="1"/>
  <c r="N23" i="2" s="1"/>
  <c r="N24" i="2" s="1"/>
  <c r="N25" i="2" s="1"/>
  <c r="J29" i="2" l="1"/>
  <c r="J30" i="2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J35" i="2" l="1"/>
  <c r="J32" i="2"/>
  <c r="B10" i="2"/>
  <c r="J12" i="2" l="1"/>
  <c r="B11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<sst xmlns="http://schemas.openxmlformats.org/spreadsheetml/2006/main" count="498" uniqueCount="372">
  <si>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</si>
  <si>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</si>
  <si>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</si>
  <si>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</si>
  <si>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</si>
  <si>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</si>
  <si>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</si>
  <si>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</si>
  <si>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</si>
  <si>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</si>
  <si>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</si>
  <si>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</si>
  <si>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</si>
  <si>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</si>
  <si>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</si>
  <si>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</si>
  <si>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</si>
  <si>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</si>
  <si>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</si>
  <si>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</si>
  <si>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</si>
  <si>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</si>
  <si>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</si>
  <si>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</si>
  <si>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</si>
  <si>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</si>
  <si>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</si>
  <si>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</si>
  <si>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</si>
  <si>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</si>
  <si>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</si>
  <si>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</si>
  <si>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</si>
  <si>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</si>
  <si>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</si>
  <si>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</si>
  <si>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</si>
  <si>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</si>
  <si>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</si>
  <si>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</si>
  <si>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</si>
  <si>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</si>
  <si>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</si>
  <si>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</si>
  <si>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</si>
  <si>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</si>
  <si>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</si>
  <si>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</si>
  <si>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</si>
  <si>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</si>
  <si>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</si>
  <si>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</si>
  <si>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</si>
  <si>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</si>
  <si>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</si>
  <si>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</si>
  <si>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</si>
  <si>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</si>
  <si>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</si>
  <si>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</si>
  <si>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</si>
  <si>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</si>
  <si>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</si>
  <si>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</si>
  <si>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</si>
  <si>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</si>
  <si>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</si>
  <si>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</si>
  <si>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</si>
  <si>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</si>
  <si>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</si>
  <si>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</si>
  <si>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</si>
  <si>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</si>
  <si>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</si>
  <si>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</si>
  <si>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</si>
  <si>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</si>
  <si>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</si>
  <si>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</si>
  <si>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</si>
  <si>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</si>
  <si>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</si>
  <si>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</si>
  <si>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</si>
  <si>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</si>
  <si>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</si>
  <si>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</si>
  <si>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</si>
  <si>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</si>
  <si>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</si>
  <si>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</si>
  <si>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</si>
  <si>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</si>
  <si>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</si>
  <si>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</si>
  <si>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</si>
  <si>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</si>
  <si>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</si>
  <si>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</si>
  <si>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</si>
  <si>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</si>
  <si>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</si>
  <si>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</si>
  <si>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</si>
  <si>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</si>
  <si>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</si>
  <si>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</si>
  <si>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</si>
  <si>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</si>
  <si>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</si>
  <si>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</si>
  <si>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</si>
  <si>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</si>
  <si>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</si>
  <si>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</si>
  <si>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</si>
  <si>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</si>
  <si>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</si>
  <si>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</si>
  <si>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</si>
  <si>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</si>
  <si>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</si>
  <si>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</si>
  <si>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</si>
  <si>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</si>
  <si>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</si>
  <si>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</si>
  <si>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</si>
  <si>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</si>
  <si>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</si>
  <si>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</si>
  <si>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</si>
  <si>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</si>
  <si>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</si>
  <si>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</si>
  <si>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</si>
  <si>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</si>
  <si>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</si>
  <si>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</si>
  <si>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</si>
  <si>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</si>
  <si>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</si>
  <si>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</si>
  <si>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</si>
  <si>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</si>
  <si>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</si>
  <si>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</si>
  <si>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</si>
  <si>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</si>
  <si>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</si>
  <si>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</si>
  <si>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</si>
  <si>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</si>
  <si>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</si>
  <si>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</si>
  <si>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</si>
  <si>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</si>
  <si>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</si>
  <si>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</si>
  <si>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</si>
  <si>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</si>
  <si>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</si>
  <si>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</si>
  <si>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</si>
  <si>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</si>
  <si>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</si>
  <si>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</si>
  <si>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</si>
  <si>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</si>
  <si>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</si>
  <si>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</si>
  <si>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</si>
  <si>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</si>
  <si>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</si>
  <si>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</si>
  <si>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</si>
  <si>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</si>
  <si>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</si>
  <si>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</si>
  <si>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</si>
  <si>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</si>
  <si>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</si>
  <si>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</si>
  <si>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</si>
  <si>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</si>
  <si>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</si>
  <si>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</si>
  <si>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</si>
  <si>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</si>
  <si>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</si>
  <si>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</si>
  <si>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</si>
  <si>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</si>
  <si>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</si>
  <si>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</si>
  <si>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</si>
  <si>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</si>
  <si>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</si>
  <si>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</si>
  <si>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</si>
  <si>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</si>
  <si>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</si>
  <si>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</si>
  <si>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</si>
  <si>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</si>
  <si>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</si>
  <si>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</si>
  <si>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</si>
  <si>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</si>
  <si>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</si>
  <si>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</si>
  <si>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</si>
  <si>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</si>
  <si>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</si>
  <si>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</si>
  <si>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</si>
  <si>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</si>
  <si>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</si>
  <si>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</si>
  <si>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</si>
  <si>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</si>
  <si>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</si>
  <si>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</si>
  <si>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</si>
  <si>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</si>
  <si>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</si>
  <si>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</si>
  <si>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</si>
  <si>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</si>
  <si>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</si>
  <si>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</si>
  <si>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</si>
  <si>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</si>
  <si>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</si>
  <si>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</si>
  <si>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</si>
  <si>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</si>
  <si>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</si>
  <si>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</si>
  <si>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</si>
  <si>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</si>
  <si>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</si>
  <si>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</si>
  <si>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</si>
  <si>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</si>
  <si>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</si>
  <si>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</si>
  <si>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</si>
  <si>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</si>
  <si>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</si>
  <si>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</si>
  <si>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</si>
  <si>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</si>
  <si>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</si>
  <si>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</si>
  <si>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</si>
  <si>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</si>
  <si>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</si>
  <si>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</si>
  <si>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</si>
  <si>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</si>
  <si>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</si>
  <si>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</si>
  <si>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</si>
  <si>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</si>
  <si>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</si>
  <si>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</si>
  <si>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</si>
  <si>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</si>
  <si>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</si>
  <si>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</si>
  <si>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</si>
  <si>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</si>
  <si>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</si>
  <si>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</si>
  <si>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Total Waziers</t>
  </si>
  <si>
    <t>Leclerc Douai</t>
  </si>
  <si>
    <t>Carrefour Flers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</si>
  <si>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</si>
  <si>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</si>
  <si>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</si>
  <si>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</si>
  <si>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</si>
  <si>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</si>
  <si>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</si>
  <si>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</si>
  <si>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</si>
  <si>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</si>
  <si>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</si>
  <si>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</si>
  <si>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</si>
  <si>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</si>
  <si>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</si>
  <si>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</si>
  <si>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</si>
  <si>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</si>
  <si>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</si>
  <si>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Intermarché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</si>
  <si>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</si>
  <si>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</si>
  <si>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</si>
  <si>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</si>
  <si>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</si>
  <si>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</si>
  <si>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</si>
  <si>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</si>
  <si>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</si>
  <si>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</si>
  <si>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</si>
  <si>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</si>
  <si>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</si>
  <si>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</si>
  <si>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</si>
  <si>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</si>
  <si>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</si>
  <si>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</si>
  <si>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</si>
  <si>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</si>
  <si>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</si>
  <si>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</si>
  <si>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</si>
  <si>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</si>
  <si>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</si>
  <si>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</si>
  <si>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</si>
  <si>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</si>
  <si>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</si>
  <si>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Carrefour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</si>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</sst>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dd/mm/yyyy"/>
    <numFmt numFmtId="186" formatCode="dd/mm/yyyy\ hh:mm"/>
    <numFmt numFmtId="187" formatCode="0.000"/>
  </numFmts>
  <fonts count="30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</fills>
  <borders count="12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35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49" fontId="14" fillId="5" borderId="5" xfId="0" applyNumberFormat="1" applyFont="1" applyFill="1" applyBorder="1" applyAlignment="1" applyProtection="1">
      <alignment horizontal="center" vertical="center"/>
      <protection locked="0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49" fontId="14" fillId="5" borderId="5" xfId="0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49" fontId="14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5" fontId="0" fillId="0" borderId="0" xfId="0" applyNumberFormat="1" applyAlignment="1">
      <alignment horizontal="center" vertical="center"/>
    </xf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186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85" fontId="0" fillId="0" borderId="0" xfId="0" applyNumberFormat="1"/>
    <xf numFmtId="187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6">
    <dxf>
      <numFmt numFmtId="27" formatCode="dd/mm/yyyy\ hh:mm"/>
    </dxf>
    <dxf>
      <numFmt numFmtId="19" formatCode="dd/mm/yyyy"/>
    </dxf>
    <dxf>
      <numFmt numFmtId="185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spPr>
            <a:ln w="25400">
              <a:solidFill>
                <a:srgbClr val="2E75B6"/>
              </a:solidFill>
            </a:ln>
          </c:spPr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cat>
            <c:numRef>
              <c:f>Graphiques!$A$5:$A$11</c:f>
              <c:numCache>
                <c:formatCode>General</c:formatCode>
                <c:ptCount val="7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46164.083333333336</c:v>
                </c:pt>
              </c:numCache>
            </c:numRef>
          </c:cat>
          <c:val>
            <c:numRef>
              <c:f>Graphiques!$B$5:$B$11</c:f>
              <c:numCache>
                <c:formatCode>0\.000</c:formatCode>
                <c:ptCount val="7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cat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Algn val="ctr"/>
        <c:lblOffset val="100"/>
        <c:noMultiLvlLbl val="0"/>
      </c:cat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8" unboundColumnsRight="1">
    <queryTableFields count="15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O11" tableType="queryTable" totalsRowShown="0" headerRowDxfId="45" dataDxfId="44">
  <autoFilter ref="A1:O11" xr:uid="{74CBBEF5-DAC6-4FFF-B9BF-F912C02B05A8}"/>
  <sortState xmlns:xlrd2="http://schemas.microsoft.com/office/spreadsheetml/2017/richdata2" ref="A2:O11">
    <sortCondition ref="A1:A11"/>
  </sortState>
  <tableColumns count="15">
    <tableColumn id="1" xr3:uid="{D1245828-BB9F-457F-9D89-03E146E97A20}" uniqueName="1" name="Horodatage" queryTableFieldId="1" dataDxfId="4"/>
    <tableColumn id="2" xr3:uid="{6AFDA1AD-8B7E-4056-B820-4B105507BC22}" uniqueName="2" name="Date" queryTableFieldId="2" dataDxfId="2"/>
    <tableColumn id="3" xr3:uid="{0E3159AD-DEC3-4CB0-8263-673EE4364DE4}" uniqueName="3" name="Type" queryTableFieldId="3" dataDxfId="3"/>
    <tableColumn id="4" xr3:uid="{9CA1100B-4402-4A99-881C-A70EA8E0EBA0}" uniqueName="4" name="Km" queryTableFieldId="4" dataDxfId="43"/>
    <tableColumn id="5" xr3:uid="{3DC79D37-A57D-45A6-B68B-28F91AE90D1B}" uniqueName="5" name="Litres" queryTableFieldId="5" dataDxfId="42"/>
    <tableColumn id="6" xr3:uid="{E20F9B47-933F-4695-AC5B-7BFCB43AA70B}" uniqueName="6" name="PrixL" queryTableFieldId="6" dataDxfId="41"/>
    <tableColumn id="8" xr3:uid="{1810D7F1-75C0-4692-B633-9344880F4391}" uniqueName="8" name="Station essence" queryTableFieldId="8" dataDxfId="40"/>
    <tableColumn id="9" xr3:uid="{B958E2B1-5DEB-4CEF-B30E-3537BD55A8E8}" uniqueName="9" name="Vehicule" queryTableFieldId="9" dataDxfId="39"/>
    <tableColumn id="10" xr3:uid="{7955E5A1-C834-43AD-B7C1-739EA1C9FB0B}" uniqueName="10" name="E85 station" queryTableFieldId="10" dataDxfId="38"/>
    <tableColumn id="11" xr3:uid="{168A26EB-A626-4924-B067-7D0EE30B248F}" uniqueName="11" name="SP98 station" queryTableFieldId="11" dataDxfId="37"/>
    <tableColumn id="12" xr3:uid="{18AADF40-972E-454B-9FD3-FD2D10CCF4B9}" uniqueName="12" name="SP95 station" queryTableFieldId="12" dataDxfId="36"/>
    <tableColumn id="13" xr3:uid="{A1195D38-1809-462B-9D20-AE18F43CBC4B}" uniqueName="13" name="E10 station" queryTableFieldId="13" dataDxfId="35"/>
    <tableColumn id="14" xr3:uid="{9F059A0B-5171-4FB9-8BF4-0CBD57021E52}" uniqueName="14" name="Gazole station" queryTableFieldId="14" dataDxfId="34"/>
    <tableColumn id="15" xr3:uid="{BE30AC6F-80E2-4B6C-B72A-506C9FC60853}" uniqueName="15" name="GPLc station" queryTableFieldId="15" dataDxfId="33"/>
    <tableColumn id="16" xr3:uid="{DD5EAF57-67B9-4006-88AF-5A82745A6E1D}" uniqueName="16" name="sync_id" queryTableFieldId="16" dataDxfId="3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F3B0270-9BEB-462E-921F-82618F681DBC}" name="DonneesExternes_1" displayName="DonneesExternes_1" ref="A1:Y11" totalsRowShown="0">
  <autoFilter ref="A1:Y11" xr:uid="{AF3B0270-9BEB-462E-921F-82618F681DBC}"/>
  <tableColumns count="25">
    <tableColumn id="1" xr3:uid="{533B449D-28C7-4482-871B-6CA453E4A26A}" name="Horodatage" dataDxfId="1"/>
    <tableColumn id="2" xr3:uid="{4F42F419-CA54-40DF-92F3-3D9E790C145C}" name="Date" dataDxfId="0"/>
    <tableColumn id="3" xr3:uid="{EDC81E34-6A2B-47FA-A02A-CFC25955C2C6}" name="Type"/>
    <tableColumn id="4" xr3:uid="{56606406-68BF-4C67-A727-891909FDAE31}" name="Km compteur"/>
    <tableColumn id="5" xr3:uid="{A27E293E-0501-4555-8740-16BB21E80F25}" name="Nb. Litres"/>
    <tableColumn id="6" xr3:uid="{9223739E-4ED4-4BCD-92C3-0608D55B416C}" name="Prix €/L"/>
    <tableColumn id="7" xr3:uid="{88B6303D-B1FF-4FB9-8AB7-75D8787B54A9}" name="Station essence"/>
    <tableColumn id="8" xr3:uid="{2C985408-4620-4C62-9A29-04687769E501}" name="Véhicule"/>
    <tableColumn id="9" xr3:uid="{F543025E-9BE1-41E0-ABE5-1AA9D2282D11}" name="E85 station (€/L)"/>
    <tableColumn id="10" xr3:uid="{94B47E43-11BD-4CBE-AA07-0E1BCD67CA0C}" name="SP98 station (€/L)"/>
    <tableColumn id="11" xr3:uid="{01C1117E-BE24-40FE-8CE2-ADD15766E983}" name="SP95 station (€/L)"/>
    <tableColumn id="12" xr3:uid="{0B12DD30-D461-4CCB-A857-E3B1FFBDB0FC}" name="E10 station (€/L)"/>
    <tableColumn id="13" xr3:uid="{DAFFC5C6-D0C5-431B-95F2-2A2A3B2D9A34}" name="Gazole station (€/L)"/>
    <tableColumn id="14" xr3:uid="{3E009565-2765-422B-BDF6-DB8EF1661471}" name="GPLc station (€/L)"/>
    <tableColumn id="15" xr3:uid="{ACCD6DE5-7FD1-4466-9563-F8DDEECCF458}" name="sync_id"/>
    <tableColumn id="16" xr3:uid="{8137D4D2-C60A-4BAD-BF4B-12CF1D61B16E}" name="Colonne1"/>
    <tableColumn id="17" xr3:uid="{323FBBD2-DDC2-49CB-A1F1-D3599B345C43}" name="Colonne2"/>
    <tableColumn id="18" xr3:uid="{A523F5DC-8EED-4311-A125-7511E89244BF}" name="Colonne3"/>
    <tableColumn id="19" xr3:uid="{F909C7B4-F9E1-40B0-8895-074EB9F3858E}" name="Colonne4"/>
    <tableColumn id="20" xr3:uid="{8ED89DDE-F7A2-48B5-9AB8-48E1A435B2E4}" name="Colonne5"/>
    <tableColumn id="21" xr3:uid="{E0F291D5-DAD2-45B1-9B63-80E4E9F40939}" name="Colonne6"/>
    <tableColumn id="22" xr3:uid="{529A8598-99DF-4564-8600-5B0E2118957E}" name="Colonne7"/>
    <tableColumn id="23" xr3:uid="{FA99AB9A-C02E-478F-A411-3346E7F1A860}" name="Colonne8"/>
    <tableColumn id="24" xr3:uid="{91FA98A6-79E8-4352-8C10-80C3F66ABC83}" name="Colonne9"/>
    <tableColumn id="25" xr3:uid="{5C1174E7-4244-424D-81B8-37FAB5E57148}" name="Colonne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30" dataDxfId="28" headerRowBorderDxfId="29" tableBorderDxfId="27" totalsRowBorderDxfId="26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5">
      <calculatedColumnFormula>IF(B16="","",A15+1)</calculatedColumnFormula>
    </tableColumn>
    <tableColumn id="2" xr3:uid="{D9E9EBFF-BC9D-4E59-9822-91D7DEC1E7CE}" name="Date" dataDxfId="24"/>
    <tableColumn id="11" xr3:uid="{A77486BA-32D8-4661-BA23-1144AE2FD0EC}" name="Type" dataDxfId="23"/>
    <tableColumn id="3" xr3:uid="{6C87F133-7224-4AAB-ACB2-666E8B7315B5}" name="Km compteur" dataDxfId="22"/>
    <tableColumn id="15" xr3:uid="{E9E70181-907F-4D1A-BD9D-156B992A2880}" name="Nb. km" dataDxfId="21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0"/>
    <tableColumn id="5" xr3:uid="{A61BA34E-E60B-4F70-A1D9-62090C37C449}" name="Prix €/L" dataDxfId="19"/>
    <tableColumn id="13" xr3:uid="{C796B9E8-7AC6-4345-B44F-194876D2515D}" name="Coût c€/km" dataDxfId="18">
      <calculatedColumnFormula>IF(OR(D16="",D15="",I16="",ISTEXT(D15)),"",F16/(D16-D15)*100)</calculatedColumnFormula>
    </tableColumn>
    <tableColumn id="6" xr3:uid="{7A10B093-08A0-4955-A678-47B342940366}" name="Coût Plein (€)" dataDxfId="17">
      <calculatedColumnFormula>IF(F16="","",F16*G16)</calculatedColumnFormula>
    </tableColumn>
    <tableColumn id="7" xr3:uid="{0D4F331E-E5DE-4D78-8EE4-6B964BF0DB88}" name="Conso. (L/100km)" dataDxfId="16">
      <calculatedColumnFormula>IF(OR(D16="",D15="",F16="",ISTEXT(D15)),"",F16/(D16-D15)*100)</calculatedColumnFormula>
    </tableColumn>
    <tableColumn id="8" xr3:uid="{8C4BCB7E-42BC-494E-A304-19A9848326C2}" name="Prix S98 jour (€/L)" dataDxfId="15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4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3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2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0" dataDxfId="9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7" dataDxfId="6">
  <autoFilter ref="D2:D27" xr:uid="{25AB3DD4-00E3-4CC0-B281-01FA80424A7F}"/>
  <sortState xmlns:xlrd2="http://schemas.microsoft.com/office/spreadsheetml/2017/richdata2" ref="D3:D9">
    <sortCondition ref="D2:D25"/>
  </sortState>
  <tableColumns count="1">
    <tableColumn id="1" xr3:uid="{15E89797-5AED-42ED-A3B9-120C7515903D}" name="Station essence utilisée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281</v>
      </c>
      <c r="D53" t="s">
        <v>282</v>
      </c>
      <c r="E53" t="s">
        <v>283</v>
      </c>
      <c r="F53" t="s">
        <v>284</v>
      </c>
    </row>
    <row r="54" spans="1:6" x14ac:dyDescent="0.25">
      <c r="A54">
        <v>55</v>
      </c>
      <c r="B54" s="2">
        <v>46163</v>
      </c>
      <c r="C54" t="s">
        <v>285</v>
      </c>
      <c r="D54" t="s">
        <v>286</v>
      </c>
      <c r="E54" t="s">
        <v>287</v>
      </c>
      <c r="F54" t="s">
        <v>288</v>
      </c>
    </row>
    <row r="55" spans="1:6" x14ac:dyDescent="0.25">
      <c r="A55">
        <v>56</v>
      </c>
      <c r="B55" s="2">
        <v>46163</v>
      </c>
      <c r="C55" t="s">
        <v>289</v>
      </c>
      <c r="D55" t="s">
        <v>290</v>
      </c>
      <c r="E55" t="s">
        <v>291</v>
      </c>
      <c r="F55" t="s">
        <v>292</v>
      </c>
    </row>
    <row r="56" spans="1:6" x14ac:dyDescent="0.25">
      <c r="A56">
        <v>57</v>
      </c>
      <c r="B56" s="2">
        <v>46163</v>
      </c>
      <c r="C56" t="s">
        <v>293</v>
      </c>
      <c r="D56" t="s">
        <v>294</v>
      </c>
      <c r="E56" t="s">
        <v>295</v>
      </c>
      <c r="F56" t="s">
        <v>296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tabSelected="1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10" t="s">
        <v>353</v>
      </c>
      <c r="B1" s="111"/>
    </row>
    <row r="2" spans="1:2" x14ac:dyDescent="0.25">
      <c r="A2" s="112" t="s">
        <v>354</v>
      </c>
      <c r="B2" s="111"/>
    </row>
    <row r="3" spans="1:2" ht="3.75" customHeight="1" x14ac:dyDescent="0.25"/>
    <row r="4" spans="1:2" ht="26.1" customHeight="1" x14ac:dyDescent="0.25">
      <c r="A4" s="113" t="s">
        <v>355</v>
      </c>
      <c r="B4" s="113" t="s">
        <v>356</v>
      </c>
    </row>
    <row r="5" spans="1:2" ht="26.1" customHeight="1" x14ac:dyDescent="0.3">
      <c r="A5" s="114" t="s">
        <v>357</v>
      </c>
      <c r="B5" s="115">
        <f>IFERROR(SUM(GS_Pleins[Litres])/(MAX(GS_Pleins[Km])-MIN(GS_Pleins[Km]))*100,0)</f>
        <v>6.7999009410599314</v>
      </c>
    </row>
    <row r="6" spans="1:2" ht="26.1" customHeight="1" x14ac:dyDescent="0.3">
      <c r="A6" s="117" t="s">
        <v>358</v>
      </c>
      <c r="B6" s="118">
        <f>IFERROR(SUMPRODUCT(GS_Pleins[Litres],GS_Pleins[PrixL])/(MAX(GS_Pleins[Km])-MIN(GS_Pleins[Km])),0)</f>
        <v>7.6973561168895491E-2</v>
      </c>
    </row>
    <row r="7" spans="1:2" ht="26.1" customHeight="1" x14ac:dyDescent="0.3">
      <c r="A7" s="117" t="s">
        <v>359</v>
      </c>
      <c r="B7" s="119">
        <f ca="1">SUMPRODUCT((YEAR(GS_Pleins[Date])=YEAR(TODAY()))*GS_Pleins[Litres]*GS_Pleins[PrixL])</f>
        <v>155.40961999999999</v>
      </c>
    </row>
    <row r="8" spans="1:2" ht="26.1" customHeight="1" x14ac:dyDescent="0.3">
      <c r="A8" s="117" t="s">
        <v>360</v>
      </c>
      <c r="B8" s="120">
        <f ca="1">SUMPRODUCT((YEAR(GS_Pleins[Date])=YEAR(TODAY()))*1)</f>
        <v>10</v>
      </c>
    </row>
    <row r="9" spans="1:2" ht="26.1" customHeight="1" x14ac:dyDescent="0.3">
      <c r="A9" s="117" t="s">
        <v>361</v>
      </c>
      <c r="B9" s="121">
        <f>IFERROR(COUNTIF(GS_Pleins[Type],"*E85*")/COUNTA(GS_Pleins[Type]),0)</f>
        <v>0.7</v>
      </c>
    </row>
    <row r="10" spans="1:2" ht="26.1" customHeight="1" x14ac:dyDescent="0.3">
      <c r="A10" s="117" t="s">
        <v>362</v>
      </c>
      <c r="B10" s="122">
        <f>IFERROR(SUMIF(GS_Pleins[Type],"*E85*",GS_Pleins[Litres])*(AVERAGEIFS(GS_Pleins[SP98 station],GS_Pleins[SP98 station],"&gt;0")-AVERAGEIF(GS_Pleins[Type],"*E85*",GS_Pleins[PrixL])),0)</f>
        <v>124.0728302857143</v>
      </c>
    </row>
    <row r="11" spans="1:2" ht="26.1" customHeight="1" x14ac:dyDescent="0.3">
      <c r="A11" s="117" t="s">
        <v>363</v>
      </c>
      <c r="B11" s="123">
        <f ca="1">IFERROR(AVERAGEIFS(GS_Pleins[PrixL],GS_Pleins[Type],"*E85*",GS_Pleins[Date],"&gt;="&amp;TODAY()-30),0)</f>
        <v>0.78014285714285714</v>
      </c>
    </row>
    <row r="12" spans="1:2" ht="26.1" customHeight="1" x14ac:dyDescent="0.3">
      <c r="A12" s="117" t="s">
        <v>364</v>
      </c>
      <c r="B12" s="124">
        <f>IFERROR(MAX(GS_Pleins[Horodatage]),"")</f>
        <v>46164.921076388891</v>
      </c>
    </row>
    <row r="13" spans="1:2" ht="26.1" customHeight="1" x14ac:dyDescent="0.3">
      <c r="A13" s="117" t="s">
        <v>365</v>
      </c>
      <c r="B13" s="125">
        <f>SUM(GS_Pleins[Litres])</f>
        <v>137.29000000000002</v>
      </c>
    </row>
    <row r="14" spans="1:2" ht="26.1" customHeight="1" x14ac:dyDescent="0.3">
      <c r="A14" s="116" t="s">
        <v>366</v>
      </c>
      <c r="B14" s="126">
        <f>IFERROR(MAX(GS_Pleins[Km])-MIN(GS_Pleins[Km]),0)</f>
        <v>2019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O11"/>
  <sheetViews>
    <sheetView zoomScale="70" zoomScaleNormal="70" workbookViewId="0">
      <selection activeCell="N32" sqref="N32"/>
    </sheetView>
  </sheetViews>
  <sheetFormatPr baseColWidth="10" defaultRowHeight="15.75" x14ac:dyDescent="0.25"/>
  <cols>
    <col min="1" max="1" width="25.25" style="98" customWidth="1"/>
    <col min="2" max="2" width="15.375" style="98" customWidth="1"/>
    <col min="3" max="3" width="29.25" style="98" customWidth="1"/>
    <col min="4" max="4" width="9.625" style="98" customWidth="1"/>
    <col min="5" max="5" width="11.5" style="98" bestFit="1" customWidth="1"/>
    <col min="6" max="6" width="11" style="98" bestFit="1" customWidth="1"/>
    <col min="7" max="7" width="45.5" style="98" bestFit="1" customWidth="1"/>
    <col min="8" max="8" width="14.375" style="98" bestFit="1" customWidth="1"/>
    <col min="9" max="9" width="16" style="98" bestFit="1" customWidth="1"/>
    <col min="10" max="11" width="17.125" style="98" bestFit="1" customWidth="1"/>
    <col min="12" max="12" width="16" style="98" bestFit="1" customWidth="1"/>
    <col min="13" max="13" width="18.5" style="98" bestFit="1" customWidth="1"/>
    <col min="14" max="14" width="17.125" style="98" bestFit="1" customWidth="1"/>
    <col min="15" max="15" width="40.875" style="98" customWidth="1"/>
    <col min="16" max="16384" width="11" style="98"/>
  </cols>
  <sheetData>
    <row r="1" spans="1:15" x14ac:dyDescent="0.25">
      <c r="A1" s="81" t="s">
        <v>297</v>
      </c>
      <c r="B1" s="81" t="s">
        <v>1</v>
      </c>
      <c r="C1" s="81" t="s">
        <v>55</v>
      </c>
      <c r="D1" s="81" t="s">
        <v>309</v>
      </c>
      <c r="E1" s="81" t="s">
        <v>310</v>
      </c>
      <c r="F1" s="81" t="s">
        <v>311</v>
      </c>
      <c r="G1" s="81" t="s">
        <v>271</v>
      </c>
      <c r="H1" s="81" t="s">
        <v>312</v>
      </c>
      <c r="I1" s="81" t="s">
        <v>313</v>
      </c>
      <c r="J1" s="81" t="s">
        <v>314</v>
      </c>
      <c r="K1" s="81" t="s">
        <v>315</v>
      </c>
      <c r="L1" s="81" t="s">
        <v>316</v>
      </c>
      <c r="M1" s="81" t="s">
        <v>317</v>
      </c>
      <c r="N1" s="81" t="s">
        <v>318</v>
      </c>
      <c r="O1" s="81" t="s">
        <v>339</v>
      </c>
    </row>
    <row r="2" spans="1:15" x14ac:dyDescent="0.25">
      <c r="A2" s="101">
        <v>46131</v>
      </c>
      <c r="B2" s="109">
        <v>46131</v>
      </c>
      <c r="C2" s="99" t="s">
        <v>81</v>
      </c>
      <c r="D2" s="99">
        <v>9812</v>
      </c>
      <c r="E2" s="99">
        <v>11.4</v>
      </c>
      <c r="F2" s="99">
        <v>1.9730000000000001</v>
      </c>
      <c r="G2" s="99" t="s">
        <v>351</v>
      </c>
      <c r="H2" s="99" t="s">
        <v>319</v>
      </c>
      <c r="I2" s="99"/>
      <c r="J2" s="99">
        <v>1.9730000000000001</v>
      </c>
      <c r="K2" s="99"/>
      <c r="L2" s="99"/>
      <c r="M2" s="99"/>
      <c r="N2" s="99"/>
      <c r="O2" s="99" t="s">
        <v>344</v>
      </c>
    </row>
    <row r="3" spans="1:15" x14ac:dyDescent="0.25">
      <c r="A3" s="101">
        <v>46135</v>
      </c>
      <c r="B3" s="109">
        <v>46135</v>
      </c>
      <c r="C3" s="99" t="s">
        <v>81</v>
      </c>
      <c r="D3" s="99">
        <v>10094</v>
      </c>
      <c r="E3" s="99">
        <v>15.22</v>
      </c>
      <c r="F3" s="99">
        <v>1.9259999999999999</v>
      </c>
      <c r="G3" s="99" t="s">
        <v>351</v>
      </c>
      <c r="H3" s="99" t="s">
        <v>319</v>
      </c>
      <c r="I3" s="99"/>
      <c r="J3" s="99">
        <v>1.9259999999999999</v>
      </c>
      <c r="K3" s="99"/>
      <c r="L3" s="99"/>
      <c r="M3" s="99"/>
      <c r="N3" s="99"/>
      <c r="O3" s="99" t="s">
        <v>345</v>
      </c>
    </row>
    <row r="4" spans="1:15" x14ac:dyDescent="0.25">
      <c r="A4" s="101">
        <v>46140</v>
      </c>
      <c r="B4" s="109">
        <v>46140</v>
      </c>
      <c r="C4" s="99" t="s">
        <v>81</v>
      </c>
      <c r="D4" s="99">
        <v>10349</v>
      </c>
      <c r="E4" s="99">
        <v>13.75</v>
      </c>
      <c r="F4" s="99">
        <v>2.0310000000000001</v>
      </c>
      <c r="G4" s="99" t="s">
        <v>352</v>
      </c>
      <c r="H4" s="99" t="s">
        <v>319</v>
      </c>
      <c r="I4" s="99"/>
      <c r="J4" s="99">
        <v>2.0310000000000001</v>
      </c>
      <c r="K4" s="99"/>
      <c r="L4" s="99"/>
      <c r="M4" s="99"/>
      <c r="N4" s="99"/>
      <c r="O4" s="99" t="s">
        <v>349</v>
      </c>
    </row>
    <row r="5" spans="1:15" x14ac:dyDescent="0.25">
      <c r="A5" s="101">
        <v>46146</v>
      </c>
      <c r="B5" s="109">
        <v>46146</v>
      </c>
      <c r="C5" s="99" t="s">
        <v>100</v>
      </c>
      <c r="D5" s="99">
        <v>10553</v>
      </c>
      <c r="E5" s="99">
        <v>11.47</v>
      </c>
      <c r="F5" s="99">
        <v>0.80900000000000005</v>
      </c>
      <c r="G5" s="99" t="s">
        <v>341</v>
      </c>
      <c r="H5" s="99" t="s">
        <v>319</v>
      </c>
      <c r="I5" s="99">
        <v>0.80900000000000005</v>
      </c>
      <c r="J5" s="99">
        <v>2.0790000000000002</v>
      </c>
      <c r="K5" s="99"/>
      <c r="L5" s="99"/>
      <c r="M5" s="99"/>
      <c r="N5" s="99"/>
      <c r="O5" s="99" t="s">
        <v>346</v>
      </c>
    </row>
    <row r="6" spans="1:15" x14ac:dyDescent="0.25">
      <c r="A6" s="101">
        <v>46148</v>
      </c>
      <c r="B6" s="109">
        <v>46148</v>
      </c>
      <c r="C6" s="99" t="s">
        <v>100</v>
      </c>
      <c r="D6" s="99">
        <v>10749</v>
      </c>
      <c r="E6" s="99">
        <v>11.71</v>
      </c>
      <c r="F6" s="99">
        <v>0.747</v>
      </c>
      <c r="G6" s="99" t="s">
        <v>341</v>
      </c>
      <c r="H6" s="99" t="s">
        <v>319</v>
      </c>
      <c r="I6" s="99">
        <v>0.747</v>
      </c>
      <c r="J6" s="99">
        <v>2.0979999999999999</v>
      </c>
      <c r="K6" s="99"/>
      <c r="L6" s="99"/>
      <c r="M6" s="99"/>
      <c r="N6" s="99"/>
      <c r="O6" s="99" t="s">
        <v>347</v>
      </c>
    </row>
    <row r="7" spans="1:15" x14ac:dyDescent="0.25">
      <c r="A7" s="101">
        <v>46151</v>
      </c>
      <c r="B7" s="109">
        <v>46151</v>
      </c>
      <c r="C7" s="99" t="s">
        <v>100</v>
      </c>
      <c r="D7" s="99">
        <v>10975</v>
      </c>
      <c r="E7" s="99">
        <v>15.28</v>
      </c>
      <c r="F7" s="99">
        <v>0.75700000000000001</v>
      </c>
      <c r="G7" s="99" t="s">
        <v>341</v>
      </c>
      <c r="H7" s="99" t="s">
        <v>319</v>
      </c>
      <c r="I7" s="99">
        <v>0.75700000000000001</v>
      </c>
      <c r="J7" s="99">
        <v>2.0979999999999999</v>
      </c>
      <c r="K7" s="99"/>
      <c r="L7" s="99"/>
      <c r="M7" s="99"/>
      <c r="N7" s="99"/>
      <c r="O7" s="99" t="s">
        <v>348</v>
      </c>
    </row>
    <row r="8" spans="1:15" x14ac:dyDescent="0.25">
      <c r="A8" s="101">
        <v>46154</v>
      </c>
      <c r="B8" s="109">
        <v>46154</v>
      </c>
      <c r="C8" s="99" t="s">
        <v>100</v>
      </c>
      <c r="D8" s="99">
        <v>11173</v>
      </c>
      <c r="E8" s="99">
        <v>13.94</v>
      </c>
      <c r="F8" s="99">
        <v>0.83499999999999996</v>
      </c>
      <c r="G8" s="99" t="s">
        <v>341</v>
      </c>
      <c r="H8" s="99" t="s">
        <v>319</v>
      </c>
      <c r="I8" s="99">
        <v>0.83499999999999996</v>
      </c>
      <c r="J8" s="99">
        <v>2.0950000000000002</v>
      </c>
      <c r="K8" s="99"/>
      <c r="L8" s="99"/>
      <c r="M8" s="99"/>
      <c r="N8" s="99"/>
      <c r="O8" s="99" t="s">
        <v>343</v>
      </c>
    </row>
    <row r="9" spans="1:15" x14ac:dyDescent="0.25">
      <c r="A9" s="101">
        <v>46157</v>
      </c>
      <c r="B9" s="109">
        <v>46157</v>
      </c>
      <c r="C9" s="99" t="s">
        <v>100</v>
      </c>
      <c r="D9" s="99">
        <v>11376</v>
      </c>
      <c r="E9" s="99">
        <v>13.37</v>
      </c>
      <c r="F9" s="99">
        <v>0.71699999999999997</v>
      </c>
      <c r="G9" s="99" t="s">
        <v>341</v>
      </c>
      <c r="H9" s="99" t="s">
        <v>319</v>
      </c>
      <c r="I9" s="99">
        <v>0.71699999999999997</v>
      </c>
      <c r="J9" s="99">
        <v>2.0950000000000002</v>
      </c>
      <c r="K9" s="99"/>
      <c r="L9" s="99"/>
      <c r="M9" s="99"/>
      <c r="N9" s="99"/>
      <c r="O9" s="99" t="s">
        <v>350</v>
      </c>
    </row>
    <row r="10" spans="1:15" x14ac:dyDescent="0.25">
      <c r="A10" s="101">
        <v>46161</v>
      </c>
      <c r="B10" s="109">
        <v>46161</v>
      </c>
      <c r="C10" s="99" t="s">
        <v>100</v>
      </c>
      <c r="D10" s="99">
        <v>11596</v>
      </c>
      <c r="E10" s="99">
        <v>14.9</v>
      </c>
      <c r="F10" s="99">
        <v>0.79800000000000004</v>
      </c>
      <c r="G10" s="99" t="s">
        <v>341</v>
      </c>
      <c r="H10" s="99" t="s">
        <v>319</v>
      </c>
      <c r="I10" s="99">
        <v>0.79800000000000004</v>
      </c>
      <c r="J10" s="99">
        <v>2.0910000000000002</v>
      </c>
      <c r="K10" s="99"/>
      <c r="L10" s="99"/>
      <c r="M10" s="99"/>
      <c r="N10" s="99"/>
      <c r="O10" s="99" t="s">
        <v>340</v>
      </c>
    </row>
    <row r="11" spans="1:15" x14ac:dyDescent="0.25">
      <c r="A11" s="101">
        <v>46164.921076388891</v>
      </c>
      <c r="B11" s="109">
        <v>46164.083333333336</v>
      </c>
      <c r="C11" s="99" t="s">
        <v>100</v>
      </c>
      <c r="D11" s="99">
        <v>11831</v>
      </c>
      <c r="E11" s="99">
        <v>16.25</v>
      </c>
      <c r="F11" s="99">
        <v>0.79800000000000004</v>
      </c>
      <c r="G11" s="99" t="s">
        <v>341</v>
      </c>
      <c r="H11" s="99" t="s">
        <v>319</v>
      </c>
      <c r="I11" s="99">
        <v>0.79800000000000004</v>
      </c>
      <c r="J11" s="99">
        <v>2.117</v>
      </c>
      <c r="K11" s="99"/>
      <c r="L11" s="99"/>
      <c r="M11" s="99"/>
      <c r="N11" s="99"/>
      <c r="O11" s="99" t="s">
        <v>342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1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25" max="26" width="11.75" customWidth="1"/>
  </cols>
  <sheetData>
    <row r="1" spans="1:25" x14ac:dyDescent="0.25">
      <c r="A1" t="s">
        <v>297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321</v>
      </c>
      <c r="I1" t="s">
        <v>322</v>
      </c>
      <c r="J1" t="s">
        <v>323</v>
      </c>
      <c r="K1" t="s">
        <v>324</v>
      </c>
      <c r="L1" t="s">
        <v>325</v>
      </c>
      <c r="M1" t="s">
        <v>326</v>
      </c>
      <c r="N1" t="s">
        <v>327</v>
      </c>
      <c r="O1" t="s">
        <v>339</v>
      </c>
      <c r="P1" t="s">
        <v>329</v>
      </c>
      <c r="Q1" t="s">
        <v>330</v>
      </c>
      <c r="R1" t="s">
        <v>331</v>
      </c>
      <c r="S1" t="s">
        <v>332</v>
      </c>
      <c r="T1" t="s">
        <v>333</v>
      </c>
      <c r="U1" t="s">
        <v>334</v>
      </c>
      <c r="V1" t="s">
        <v>335</v>
      </c>
      <c r="W1" t="s">
        <v>336</v>
      </c>
      <c r="X1" t="s">
        <v>337</v>
      </c>
      <c r="Y1" t="s">
        <v>338</v>
      </c>
    </row>
    <row r="2" spans="1:25" x14ac:dyDescent="0.25">
      <c r="A2" s="100">
        <v>46164.921076388891</v>
      </c>
      <c r="B2" s="100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341</v>
      </c>
      <c r="H2" t="s">
        <v>319</v>
      </c>
      <c r="I2">
        <v>0.79800000000000004</v>
      </c>
      <c r="O2" t="s">
        <v>340</v>
      </c>
    </row>
    <row r="3" spans="1:25" x14ac:dyDescent="0.25">
      <c r="A3" s="2">
        <v>46131</v>
      </c>
      <c r="B3" s="100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351</v>
      </c>
      <c r="H3" t="s">
        <v>319</v>
      </c>
      <c r="J3">
        <v>1.9730000000000001</v>
      </c>
      <c r="O3" t="s">
        <v>342</v>
      </c>
    </row>
    <row r="4" spans="1:25" x14ac:dyDescent="0.25">
      <c r="A4" s="2">
        <v>46135</v>
      </c>
      <c r="B4" s="100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351</v>
      </c>
      <c r="H4" t="s">
        <v>319</v>
      </c>
      <c r="J4">
        <v>1.9259999999999999</v>
      </c>
      <c r="O4" t="s">
        <v>343</v>
      </c>
    </row>
    <row r="5" spans="1:25" x14ac:dyDescent="0.25">
      <c r="A5" s="2">
        <v>46140</v>
      </c>
      <c r="B5" s="100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352</v>
      </c>
      <c r="H5" t="s">
        <v>319</v>
      </c>
      <c r="J5">
        <v>2.0310000000000001</v>
      </c>
      <c r="O5" t="s">
        <v>344</v>
      </c>
    </row>
    <row r="6" spans="1:25" x14ac:dyDescent="0.25">
      <c r="A6" s="2">
        <v>46146</v>
      </c>
      <c r="B6" s="100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341</v>
      </c>
      <c r="H6" t="s">
        <v>319</v>
      </c>
      <c r="I6">
        <v>0.80900000000000005</v>
      </c>
      <c r="J6">
        <v>2.0790000000000002</v>
      </c>
      <c r="O6" t="s">
        <v>345</v>
      </c>
    </row>
    <row r="7" spans="1:25" x14ac:dyDescent="0.25">
      <c r="A7" s="2">
        <v>46148</v>
      </c>
      <c r="B7" s="100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341</v>
      </c>
      <c r="H7" t="s">
        <v>319</v>
      </c>
      <c r="I7">
        <v>0.747</v>
      </c>
      <c r="J7">
        <v>2.0979999999999999</v>
      </c>
      <c r="O7" t="s">
        <v>346</v>
      </c>
    </row>
    <row r="8" spans="1:25" x14ac:dyDescent="0.25">
      <c r="A8" s="2">
        <v>46151</v>
      </c>
      <c r="B8" s="100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341</v>
      </c>
      <c r="H8" t="s">
        <v>319</v>
      </c>
      <c r="I8">
        <v>0.75700000000000001</v>
      </c>
      <c r="J8">
        <v>2.0979999999999999</v>
      </c>
      <c r="O8" t="s">
        <v>347</v>
      </c>
    </row>
    <row r="9" spans="1:25" x14ac:dyDescent="0.25">
      <c r="A9" s="2">
        <v>46154</v>
      </c>
      <c r="B9" s="100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341</v>
      </c>
      <c r="H9" t="s">
        <v>319</v>
      </c>
      <c r="I9">
        <v>0.83499999999999996</v>
      </c>
      <c r="J9">
        <v>2.0950000000000002</v>
      </c>
      <c r="O9" t="s">
        <v>348</v>
      </c>
    </row>
    <row r="10" spans="1:25" x14ac:dyDescent="0.25">
      <c r="A10" s="2">
        <v>46157</v>
      </c>
      <c r="B10" s="100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341</v>
      </c>
      <c r="H10" t="s">
        <v>319</v>
      </c>
      <c r="I10">
        <v>0.71699999999999997</v>
      </c>
      <c r="J10">
        <v>2.0950000000000002</v>
      </c>
      <c r="O10" t="s">
        <v>349</v>
      </c>
    </row>
    <row r="11" spans="1:25" x14ac:dyDescent="0.25">
      <c r="A11" s="2">
        <v>46161</v>
      </c>
      <c r="B11" s="100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341</v>
      </c>
      <c r="H11" t="s">
        <v>319</v>
      </c>
      <c r="I11">
        <v>0.79800000000000004</v>
      </c>
      <c r="J11">
        <v>2.0910000000000002</v>
      </c>
      <c r="O11" t="s">
        <v>350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32" sqref="O32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03" t="s">
        <v>72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Z1" s="77">
        <v>46164.921076388891</v>
      </c>
      <c r="AA1" s="77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191</v>
      </c>
      <c r="H6" s="7"/>
      <c r="I6" s="7"/>
      <c r="J6" s="76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186</v>
      </c>
      <c r="B7" s="76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59" t="s">
        <v>9</v>
      </c>
      <c r="H7" s="59"/>
      <c r="I7" s="59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02" t="s">
        <v>107</v>
      </c>
      <c r="H10" s="102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196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4" t="s">
        <v>11</v>
      </c>
      <c r="B15" s="95" t="s">
        <v>1</v>
      </c>
      <c r="C15" s="95" t="s">
        <v>55</v>
      </c>
      <c r="D15" s="95" t="s">
        <v>12</v>
      </c>
      <c r="E15" s="95" t="s">
        <v>185</v>
      </c>
      <c r="F15" s="95" t="s">
        <v>56</v>
      </c>
      <c r="G15" s="95" t="s">
        <v>57</v>
      </c>
      <c r="H15" s="95" t="s">
        <v>99</v>
      </c>
      <c r="I15" s="96" t="s">
        <v>58</v>
      </c>
      <c r="J15" s="96" t="s">
        <v>13</v>
      </c>
      <c r="K15" s="95" t="s">
        <v>135</v>
      </c>
      <c r="L15" s="96" t="s">
        <v>82</v>
      </c>
      <c r="M15" s="97" t="s">
        <v>101</v>
      </c>
      <c r="N15" s="97" t="s">
        <v>14</v>
      </c>
      <c r="O15" s="96" t="s">
        <v>271</v>
      </c>
      <c r="Q15" s="46" t="s">
        <v>149</v>
      </c>
      <c r="R15" s="46" t="s">
        <v>14</v>
      </c>
      <c r="S15" s="46" t="s">
        <v>136</v>
      </c>
    </row>
    <row r="16" spans="1:27" x14ac:dyDescent="0.25">
      <c r="A16" s="47">
        <v>1</v>
      </c>
      <c r="B16" s="48">
        <v>46131</v>
      </c>
      <c r="C16" s="49" t="s">
        <v>81</v>
      </c>
      <c r="D16" s="50">
        <v>9812</v>
      </c>
      <c r="E16" s="65" t="str">
        <f>IF(AND(ISNUMBER(D15),Tableau2[[#This Row],[Km compteur]]&lt;&gt;""),Tableau2[[#This Row],[Km compteur]]-D15,"")</f>
        <v/>
      </c>
      <c r="F16" s="51">
        <v>11.4</v>
      </c>
      <c r="G16" s="52">
        <v>1.9730000000000001</v>
      </c>
      <c r="H16" s="53" t="str">
        <f t="shared" ref="H16:H23" si="0">IF(OR(D16="",D15="",I16="",ISTEXT(D15)),"",F16/(D16-D15)*100)</f>
        <v/>
      </c>
      <c r="I16" s="54">
        <f t="shared" ref="I16:I23" si="1">IF(F16="","",F16*G16)</f>
        <v>22.4922</v>
      </c>
      <c r="J16" s="55" t="str">
        <f t="shared" ref="J16:J23" si="2">IF(OR(D16="",D15="",F16="",ISTEXT(D15)),"",F16/(D16-D15)*100)</f>
        <v/>
      </c>
      <c r="K16" s="56">
        <f>IF(Tableau2[[#This Row],[Type]]="Super 98",Tableau2[[#This Row],[Prix €/L]],"")</f>
        <v>1.9730000000000001</v>
      </c>
      <c r="L16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7"/>
      <c r="N16" s="58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0" t="s">
        <v>351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7">
        <f t="shared" ref="A17:A23" si="3">IF(B17="","",A16+1)</f>
        <v>2</v>
      </c>
      <c r="B17" s="48">
        <v>46135</v>
      </c>
      <c r="C17" s="49" t="s">
        <v>81</v>
      </c>
      <c r="D17" s="50">
        <v>10094</v>
      </c>
      <c r="E17" s="65">
        <f>IF(AND(ISNUMBER(D16),Tableau2[[#This Row],[Km compteur]]&lt;&gt;""),Tableau2[[#This Row],[Km compteur]]-D16,"")</f>
        <v>282</v>
      </c>
      <c r="F17" s="51">
        <v>15.22</v>
      </c>
      <c r="G17" s="52">
        <v>1.9259999999999999</v>
      </c>
      <c r="H17" s="53">
        <f t="shared" si="0"/>
        <v>5.3971631205673765</v>
      </c>
      <c r="I17" s="54">
        <f>IF(F17="","",F17*G17)</f>
        <v>29.31372</v>
      </c>
      <c r="J17" s="55">
        <f t="shared" si="2"/>
        <v>5.3971631205673765</v>
      </c>
      <c r="K17" s="56">
        <f>IF(Tableau2[[#This Row],[Type]]="Super 98",Tableau2[[#This Row],[Prix €/L]],"")</f>
        <v>1.9259999999999999</v>
      </c>
      <c r="L17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8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0" t="s">
        <v>351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7">
        <f t="shared" si="3"/>
        <v>3</v>
      </c>
      <c r="B18" s="48">
        <v>46140</v>
      </c>
      <c r="C18" s="49" t="s">
        <v>81</v>
      </c>
      <c r="D18" s="50">
        <v>10349</v>
      </c>
      <c r="E18" s="65">
        <f>IF(AND(ISNUMBER(D17),Tableau2[[#This Row],[Km compteur]]&lt;&gt;""),Tableau2[[#This Row],[Km compteur]]-D17,"")</f>
        <v>255</v>
      </c>
      <c r="F18" s="51">
        <v>13.75</v>
      </c>
      <c r="G18" s="52">
        <v>2.0310000000000001</v>
      </c>
      <c r="H18" s="53">
        <f t="shared" si="0"/>
        <v>5.3921568627450984</v>
      </c>
      <c r="I18" s="54">
        <f t="shared" si="1"/>
        <v>27.926250000000003</v>
      </c>
      <c r="J18" s="55">
        <f t="shared" si="2"/>
        <v>5.3921568627450984</v>
      </c>
      <c r="K18" s="56">
        <f>IF(Tableau2[[#This Row],[Type]]="Super 98",Tableau2[[#This Row],[Prix €/L]],"")</f>
        <v>2.0310000000000001</v>
      </c>
      <c r="L18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8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0" t="s">
        <v>352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7">
        <f t="shared" si="3"/>
        <v>4</v>
      </c>
      <c r="B19" s="48">
        <v>46146</v>
      </c>
      <c r="C19" s="49" t="s">
        <v>100</v>
      </c>
      <c r="D19" s="50">
        <v>10553</v>
      </c>
      <c r="E19" s="65">
        <f>IF(AND(ISNUMBER(D18),Tableau2[[#This Row],[Km compteur]]&lt;&gt;""),Tableau2[[#This Row],[Km compteur]]-D18,"")</f>
        <v>204</v>
      </c>
      <c r="F19" s="51">
        <v>11.47</v>
      </c>
      <c r="G19" s="52">
        <v>0.80900000000000005</v>
      </c>
      <c r="H19" s="53">
        <f t="shared" si="0"/>
        <v>5.6225490196078436</v>
      </c>
      <c r="I19" s="54">
        <f t="shared" si="1"/>
        <v>9.2792300000000019</v>
      </c>
      <c r="J19" s="55">
        <f t="shared" si="2"/>
        <v>5.6225490196078436</v>
      </c>
      <c r="K19" s="56">
        <v>2.0790000000000002</v>
      </c>
      <c r="L19" s="54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8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0" t="s">
        <v>341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7">
        <f t="shared" si="3"/>
        <v>5</v>
      </c>
      <c r="B20" s="48">
        <v>46148</v>
      </c>
      <c r="C20" s="49" t="s">
        <v>100</v>
      </c>
      <c r="D20" s="50">
        <v>10749</v>
      </c>
      <c r="E20" s="65">
        <f>IF(AND(ISNUMBER(D19),Tableau2[[#This Row],[Km compteur]]&lt;&gt;""),Tableau2[[#This Row],[Km compteur]]-D19,"")</f>
        <v>196</v>
      </c>
      <c r="F20" s="51">
        <v>11.71</v>
      </c>
      <c r="G20" s="52">
        <v>0.747</v>
      </c>
      <c r="H20" s="53">
        <f t="shared" si="0"/>
        <v>5.9744897959183678</v>
      </c>
      <c r="I20" s="54">
        <f t="shared" si="1"/>
        <v>8.7473700000000001</v>
      </c>
      <c r="J20" s="55">
        <f t="shared" si="2"/>
        <v>5.9744897959183678</v>
      </c>
      <c r="K20" s="56">
        <v>2.0979999999999999</v>
      </c>
      <c r="L20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8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0" t="s">
        <v>341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7">
        <f t="shared" si="3"/>
        <v>6</v>
      </c>
      <c r="B21" s="48">
        <v>46151</v>
      </c>
      <c r="C21" s="49" t="s">
        <v>100</v>
      </c>
      <c r="D21" s="50">
        <v>10975</v>
      </c>
      <c r="E21" s="65">
        <f>IF(AND(ISNUMBER(D20),Tableau2[[#This Row],[Km compteur]]&lt;&gt;""),Tableau2[[#This Row],[Km compteur]]-D20,"")</f>
        <v>226</v>
      </c>
      <c r="F21" s="51">
        <v>15.28</v>
      </c>
      <c r="G21" s="52">
        <v>0.75700000000000001</v>
      </c>
      <c r="H21" s="53">
        <f t="shared" si="0"/>
        <v>6.7610619469026547</v>
      </c>
      <c r="I21" s="54">
        <f t="shared" si="1"/>
        <v>11.56696</v>
      </c>
      <c r="J21" s="55">
        <f t="shared" si="2"/>
        <v>6.7610619469026547</v>
      </c>
      <c r="K21" s="56">
        <v>2.0979999999999999</v>
      </c>
      <c r="L21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8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0" t="s">
        <v>341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7">
        <f t="shared" si="3"/>
        <v>7</v>
      </c>
      <c r="B22" s="48">
        <v>46154</v>
      </c>
      <c r="C22" s="64" t="s">
        <v>100</v>
      </c>
      <c r="D22" s="65">
        <v>11173</v>
      </c>
      <c r="E22" s="65">
        <f>IF(AND(ISNUMBER(D21),Tableau2[[#This Row],[Km compteur]]&lt;&gt;""),Tableau2[[#This Row],[Km compteur]]-D21,"")</f>
        <v>198</v>
      </c>
      <c r="F22" s="66">
        <v>13.94</v>
      </c>
      <c r="G22" s="67">
        <v>0.83499999999999996</v>
      </c>
      <c r="H22" s="53">
        <f t="shared" si="0"/>
        <v>7.0404040404040398</v>
      </c>
      <c r="I22" s="54">
        <f>IF(F22="","",F22*G22)</f>
        <v>11.639899999999999</v>
      </c>
      <c r="J22" s="55">
        <f t="shared" si="2"/>
        <v>7.0404040404040398</v>
      </c>
      <c r="K22" s="68">
        <v>2.0950000000000002</v>
      </c>
      <c r="L22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8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0" t="s">
        <v>341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7">
        <f t="shared" si="3"/>
        <v>8</v>
      </c>
      <c r="B23" s="48">
        <v>46157</v>
      </c>
      <c r="C23" s="49" t="s">
        <v>100</v>
      </c>
      <c r="D23" s="50">
        <v>11376</v>
      </c>
      <c r="E23" s="65">
        <f>IF(AND(ISNUMBER(D22),Tableau2[[#This Row],[Km compteur]]&lt;&gt;""),Tableau2[[#This Row],[Km compteur]]-D22,"")</f>
        <v>203</v>
      </c>
      <c r="F23" s="51">
        <v>13.37</v>
      </c>
      <c r="G23" s="52">
        <v>0.71699999999999997</v>
      </c>
      <c r="H23" s="53">
        <f t="shared" si="0"/>
        <v>6.5862068965517233</v>
      </c>
      <c r="I23" s="54">
        <f t="shared" si="1"/>
        <v>9.5862899999999982</v>
      </c>
      <c r="J23" s="55">
        <f t="shared" si="2"/>
        <v>6.5862068965517233</v>
      </c>
      <c r="K23" s="56">
        <v>2.0950000000000002</v>
      </c>
      <c r="L23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8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0" t="s">
        <v>341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79">
        <f>IF(B24="","",A23+1)</f>
        <v>9</v>
      </c>
      <c r="B24" s="48">
        <v>46161</v>
      </c>
      <c r="C24" s="64" t="s">
        <v>100</v>
      </c>
      <c r="D24" s="65">
        <v>11596</v>
      </c>
      <c r="E24" s="65">
        <f>IF(AND(ISNUMBER(D23),Tableau2[[#This Row],[Km compteur]]&lt;&gt;""),Tableau2[[#This Row],[Km compteur]]-D23,"")</f>
        <v>220</v>
      </c>
      <c r="F24" s="66">
        <v>14.9</v>
      </c>
      <c r="G24" s="67">
        <v>0.79800000000000004</v>
      </c>
      <c r="H24" s="78">
        <f>IF(OR(D24="",D23="",I24="",ISTEXT(D23)),"",F24/(D24-D23)*100)</f>
        <v>6.7727272727272734</v>
      </c>
      <c r="I24" s="54">
        <f>IF(F24="","",F24*G24)</f>
        <v>11.8902</v>
      </c>
      <c r="J24" s="55">
        <f>IF(OR(D24="",D23="",F24="",ISTEXT(D23)),"",F24/(D24-D23)*100)</f>
        <v>6.7727272727272734</v>
      </c>
      <c r="K24" s="68">
        <v>2.0910000000000002</v>
      </c>
      <c r="L24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8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0" t="s">
        <v>341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9">
        <f>IF(B25="","",A24+1)</f>
        <v>10</v>
      </c>
      <c r="B25" s="48">
        <v>46164</v>
      </c>
      <c r="C25" s="64" t="s">
        <v>100</v>
      </c>
      <c r="D25" s="65">
        <v>11831</v>
      </c>
      <c r="E25" s="65">
        <f>IF(AND(ISNUMBER(D24),Tableau2[[#This Row],[Km compteur]]&lt;&gt;""),Tableau2[[#This Row],[Km compteur]]-D24,"")</f>
        <v>235</v>
      </c>
      <c r="F25" s="66">
        <v>16.25</v>
      </c>
      <c r="G25" s="67">
        <v>0.79800000000000004</v>
      </c>
      <c r="H25" s="78">
        <f>IF(OR(D25="",D24="",I25="",ISTEXT(D24)),"",F25/(D25-D24)*100)</f>
        <v>6.9148936170212769</v>
      </c>
      <c r="I25" s="54">
        <f>IF(F25="","",F25*G25)</f>
        <v>12.967500000000001</v>
      </c>
      <c r="J25" s="55">
        <f>IF(OR(D25="",D24="",F25="",ISTEXT(D24)),"",F25/(D25-D24)*100)</f>
        <v>6.9148936170212769</v>
      </c>
      <c r="K25" s="68">
        <v>2.117</v>
      </c>
      <c r="L25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4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0" t="s">
        <v>341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69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0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1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1" t="s">
        <v>182</v>
      </c>
      <c r="B31" s="62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2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183</v>
      </c>
      <c r="B32" s="60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3"/>
      <c r="H33" s="73"/>
      <c r="I33" s="73"/>
      <c r="J33" s="73"/>
      <c r="K33" s="73"/>
      <c r="L33" s="73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5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184</v>
      </c>
      <c r="H35" s="19"/>
      <c r="I35" s="19"/>
      <c r="J35" s="74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5">
    <cfRule type="expression" dxfId="31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3" customWidth="1"/>
    <col min="2" max="2" width="43.125" style="83" customWidth="1"/>
    <col min="3" max="6" width="16" style="83" customWidth="1"/>
    <col min="7" max="9" width="13" style="83" customWidth="1"/>
    <col min="10" max="16384" width="9" style="83"/>
  </cols>
  <sheetData>
    <row r="1" spans="2:9" ht="8.1" customHeight="1" x14ac:dyDescent="0.25">
      <c r="B1" s="82"/>
      <c r="C1" s="82"/>
      <c r="D1" s="82"/>
      <c r="E1" s="82"/>
      <c r="F1" s="82"/>
      <c r="G1" s="82"/>
    </row>
    <row r="2" spans="2:9" ht="36" customHeight="1" x14ac:dyDescent="0.25">
      <c r="B2" s="104" t="s">
        <v>300</v>
      </c>
      <c r="C2" s="105"/>
      <c r="D2" s="105"/>
      <c r="E2" s="105"/>
      <c r="F2" s="105"/>
      <c r="G2" s="105"/>
    </row>
    <row r="3" spans="2:9" ht="6" customHeight="1" x14ac:dyDescent="0.25">
      <c r="B3" s="84"/>
      <c r="C3" s="84"/>
      <c r="D3" s="84"/>
      <c r="E3" s="84"/>
      <c r="F3" s="84"/>
      <c r="G3" s="84"/>
    </row>
    <row r="4" spans="2:9" ht="27.95" customHeight="1" x14ac:dyDescent="0.25">
      <c r="B4" s="106" t="s">
        <v>320</v>
      </c>
      <c r="C4" s="105"/>
      <c r="D4" s="105"/>
      <c r="E4" s="105"/>
      <c r="F4" s="105"/>
      <c r="G4" s="105"/>
    </row>
    <row r="5" spans="2:9" ht="32.1" customHeight="1" x14ac:dyDescent="0.25">
      <c r="B5" s="85" t="s">
        <v>279</v>
      </c>
      <c r="C5" s="86" t="s">
        <v>301</v>
      </c>
      <c r="D5" s="86" t="s">
        <v>302</v>
      </c>
      <c r="E5" s="86" t="s">
        <v>303</v>
      </c>
      <c r="F5" s="86" t="s">
        <v>304</v>
      </c>
      <c r="G5" s="86" t="s">
        <v>305</v>
      </c>
      <c r="H5" s="86" t="s">
        <v>306</v>
      </c>
      <c r="I5" s="85" t="s">
        <v>307</v>
      </c>
    </row>
    <row r="6" spans="2:9" ht="21.95" customHeight="1" x14ac:dyDescent="0.25">
      <c r="B6" s="88" t="str">
        <f>IF(Notes!$D$3="","",Notes!$D$3)</f>
        <v/>
      </c>
      <c r="C6" s="89" t="str">
        <f ca="1">IFERROR(AVERAGEIF(GS_Pleins!$G:$G,$B6,GS_Pleins[E85 station]),"")</f>
        <v/>
      </c>
      <c r="D6" s="89" t="str">
        <f ca="1">IFERROR(AVERAGEIF(GS_Pleins!$G:$G,$B6,GS_Pleins[SP98 station]),"")</f>
        <v/>
      </c>
      <c r="E6" s="89" t="str">
        <f ca="1">IFERROR(AVERAGEIF(GS_Pleins!$G:$G,$B6,GS_Pleins[SP95 station]),"")</f>
        <v/>
      </c>
      <c r="F6" s="89" t="str">
        <f ca="1">IFERROR(AVERAGEIF(GS_Pleins!$G:$G,$B6,GS_Pleins[E10 station]),"")</f>
        <v/>
      </c>
      <c r="G6" s="89" t="str">
        <f ca="1">IFERROR(AVERAGEIF(GS_Pleins!$G:$G,$B6,GS_Pleins[Gazole station]),"")</f>
        <v/>
      </c>
      <c r="H6" s="89" t="str">
        <f ca="1">IFERROR(AVERAGEIF(GS_Pleins!$G:$G,$B6,GS_Pleins[GPLc station]),"")</f>
        <v/>
      </c>
      <c r="I6" s="90" t="str">
        <f>IF(Notes!$D3="","",COUNTIF(GS_Pleins!$G:$G,B6))</f>
        <v/>
      </c>
    </row>
    <row r="7" spans="2:9" ht="21.95" customHeight="1" x14ac:dyDescent="0.25">
      <c r="B7" s="87" t="str">
        <f>IF(Notes!$D$4="","",Notes!$D$4)</f>
        <v/>
      </c>
      <c r="C7" s="89" t="str">
        <f ca="1">IFERROR(AVERAGEIF(GS_Pleins!$G:$G,$B7,GS_Pleins[E85 station]),"")</f>
        <v/>
      </c>
      <c r="D7" s="89" t="str">
        <f ca="1">IFERROR(AVERAGEIF(GS_Pleins!$G:$G,$B7,GS_Pleins[SP98 station]),"")</f>
        <v/>
      </c>
      <c r="E7" s="89" t="str">
        <f ca="1">IFERROR(AVERAGEIF(GS_Pleins!$G:$G,$B7,GS_Pleins[SP95 station]),"")</f>
        <v/>
      </c>
      <c r="F7" s="89" t="str">
        <f ca="1">IFERROR(AVERAGEIF(GS_Pleins!$G:$G,$B7,GS_Pleins[E10 station]),"")</f>
        <v/>
      </c>
      <c r="G7" s="89" t="str">
        <f ca="1">IFERROR(AVERAGEIF(GS_Pleins!$G:$G,$B7,GS_Pleins[Gazole station]),"")</f>
        <v/>
      </c>
      <c r="H7" s="89" t="str">
        <f ca="1">IFERROR(AVERAGEIF(GS_Pleins!$G:$G,$B7,GS_Pleins[GPLc station]),"")</f>
        <v/>
      </c>
      <c r="I7" s="90" t="str">
        <f>IF(Notes!$D4="","",COUNTIF(GS_Pleins!$G:$G,B7))</f>
        <v/>
      </c>
    </row>
    <row r="8" spans="2:9" ht="21.95" customHeight="1" x14ac:dyDescent="0.25">
      <c r="B8" s="88" t="str">
        <f>IF(Notes!$D$5="","",Notes!$D$5)</f>
        <v/>
      </c>
      <c r="C8" s="89" t="str">
        <f ca="1">IFERROR(AVERAGEIF(GS_Pleins!$G:$G,$B8,GS_Pleins[E85 station]),"")</f>
        <v/>
      </c>
      <c r="D8" s="89" t="str">
        <f ca="1">IFERROR(AVERAGEIF(GS_Pleins!$G:$G,$B8,GS_Pleins[SP98 station]),"")</f>
        <v/>
      </c>
      <c r="E8" s="89" t="str">
        <f ca="1">IFERROR(AVERAGEIF(GS_Pleins!$G:$G,$B8,GS_Pleins[SP95 station]),"")</f>
        <v/>
      </c>
      <c r="F8" s="89" t="str">
        <f ca="1">IFERROR(AVERAGEIF(GS_Pleins!$G:$G,$B8,GS_Pleins[E10 station]),"")</f>
        <v/>
      </c>
      <c r="G8" s="89" t="str">
        <f ca="1">IFERROR(AVERAGEIF(GS_Pleins!$G:$G,$B8,GS_Pleins[Gazole station]),"")</f>
        <v/>
      </c>
      <c r="H8" s="89" t="str">
        <f ca="1">IFERROR(AVERAGEIF(GS_Pleins!$G:$G,$B8,GS_Pleins[GPLc station]),"")</f>
        <v/>
      </c>
      <c r="I8" s="90" t="str">
        <f>IF(Notes!$D5="","",COUNTIF(GS_Pleins!$G:$G,B8))</f>
        <v/>
      </c>
    </row>
    <row r="9" spans="2:9" ht="21.95" customHeight="1" x14ac:dyDescent="0.25">
      <c r="B9" s="87" t="str">
        <f>IF(Notes!$D$6="","",Notes!$D$6)</f>
        <v/>
      </c>
      <c r="C9" s="89" t="str">
        <f ca="1">IFERROR(AVERAGEIF(GS_Pleins!$G:$G,$B9,GS_Pleins[E85 station]),"")</f>
        <v/>
      </c>
      <c r="D9" s="89" t="str">
        <f ca="1">IFERROR(AVERAGEIF(GS_Pleins!$G:$G,$B9,GS_Pleins[SP98 station]),"")</f>
        <v/>
      </c>
      <c r="E9" s="89" t="str">
        <f ca="1">IFERROR(AVERAGEIF(GS_Pleins!$G:$G,$B9,GS_Pleins[SP95 station]),"")</f>
        <v/>
      </c>
      <c r="F9" s="89" t="str">
        <f ca="1">IFERROR(AVERAGEIF(GS_Pleins!$G:$G,$B9,GS_Pleins[E10 station]),"")</f>
        <v/>
      </c>
      <c r="G9" s="89" t="str">
        <f ca="1">IFERROR(AVERAGEIF(GS_Pleins!$G:$G,$B9,GS_Pleins[Gazole station]),"")</f>
        <v/>
      </c>
      <c r="H9" s="89" t="str">
        <f ca="1">IFERROR(AVERAGEIF(GS_Pleins!$G:$G,$B9,GS_Pleins[GPLc station]),"")</f>
        <v/>
      </c>
      <c r="I9" s="90" t="str">
        <f>IF(Notes!$D6="","",COUNTIF(GS_Pleins!$G:$G,B9))</f>
        <v/>
      </c>
    </row>
    <row r="10" spans="2:9" ht="21.95" customHeight="1" x14ac:dyDescent="0.25">
      <c r="B10" s="88" t="str">
        <f>IF(Notes!$D$7="","",Notes!$D$7)</f>
        <v/>
      </c>
      <c r="C10" s="89" t="str">
        <f ca="1">IFERROR(AVERAGEIF(GS_Pleins!$G:$G,$B10,GS_Pleins[E85 station]),"")</f>
        <v/>
      </c>
      <c r="D10" s="89" t="str">
        <f ca="1">IFERROR(AVERAGEIF(GS_Pleins!$G:$G,$B10,GS_Pleins[SP98 station]),"")</f>
        <v/>
      </c>
      <c r="E10" s="89" t="str">
        <f ca="1">IFERROR(AVERAGEIF(GS_Pleins!$G:$G,$B10,GS_Pleins[SP95 station]),"")</f>
        <v/>
      </c>
      <c r="F10" s="89" t="str">
        <f ca="1">IFERROR(AVERAGEIF(GS_Pleins!$G:$G,$B10,GS_Pleins[E10 station]),"")</f>
        <v/>
      </c>
      <c r="G10" s="89" t="str">
        <f ca="1">IFERROR(AVERAGEIF(GS_Pleins!$G:$G,$B10,GS_Pleins[Gazole station]),"")</f>
        <v/>
      </c>
      <c r="H10" s="89" t="str">
        <f ca="1">IFERROR(AVERAGEIF(GS_Pleins!$G:$G,$B10,GS_Pleins[GPLc station]),"")</f>
        <v/>
      </c>
      <c r="I10" s="90" t="str">
        <f>IF(Notes!$D7="","",COUNTIF(GS_Pleins!$G:$G,B10))</f>
        <v/>
      </c>
    </row>
    <row r="11" spans="2:9" ht="21.95" customHeight="1" x14ac:dyDescent="0.25">
      <c r="B11" s="87" t="str">
        <f>IF(Notes!$D$8="","",Notes!$D$8)</f>
        <v/>
      </c>
      <c r="C11" s="89" t="str">
        <f ca="1">IFERROR(AVERAGEIF(GS_Pleins!$G:$G,$B11,GS_Pleins[E85 station]),"")</f>
        <v/>
      </c>
      <c r="D11" s="89" t="str">
        <f ca="1">IFERROR(AVERAGEIF(GS_Pleins!$G:$G,$B11,GS_Pleins[SP98 station]),"")</f>
        <v/>
      </c>
      <c r="E11" s="89" t="str">
        <f ca="1">IFERROR(AVERAGEIF(GS_Pleins!$G:$G,$B11,GS_Pleins[SP95 station]),"")</f>
        <v/>
      </c>
      <c r="F11" s="89" t="str">
        <f ca="1">IFERROR(AVERAGEIF(GS_Pleins!$G:$G,$B11,GS_Pleins[E10 station]),"")</f>
        <v/>
      </c>
      <c r="G11" s="89" t="str">
        <f ca="1">IFERROR(AVERAGEIF(GS_Pleins!$G:$G,$B11,GS_Pleins[Gazole station]),"")</f>
        <v/>
      </c>
      <c r="H11" s="89" t="str">
        <f ca="1">IFERROR(AVERAGEIF(GS_Pleins!$G:$G,$B11,GS_Pleins[GPLc station]),"")</f>
        <v/>
      </c>
      <c r="I11" s="90" t="str">
        <f>IF(Notes!$D8="","",COUNTIF(GS_Pleins!$G:$G,B11))</f>
        <v/>
      </c>
    </row>
    <row r="12" spans="2:9" ht="21.95" customHeight="1" x14ac:dyDescent="0.25">
      <c r="B12" s="88" t="str">
        <f>IF(Notes!$D$9="","",Notes!$D$9)</f>
        <v/>
      </c>
      <c r="C12" s="89" t="str">
        <f ca="1">IFERROR(AVERAGEIF(GS_Pleins!$G:$G,$B12,GS_Pleins[E85 station]),"")</f>
        <v/>
      </c>
      <c r="D12" s="89" t="str">
        <f ca="1">IFERROR(AVERAGEIF(GS_Pleins!$G:$G,$B12,GS_Pleins[SP98 station]),"")</f>
        <v/>
      </c>
      <c r="E12" s="89" t="str">
        <f ca="1">IFERROR(AVERAGEIF(GS_Pleins!$G:$G,$B12,GS_Pleins[SP95 station]),"")</f>
        <v/>
      </c>
      <c r="F12" s="89" t="str">
        <f ca="1">IFERROR(AVERAGEIF(GS_Pleins!$G:$G,$B12,GS_Pleins[E10 station]),"")</f>
        <v/>
      </c>
      <c r="G12" s="89" t="str">
        <f ca="1">IFERROR(AVERAGEIF(GS_Pleins!$G:$G,$B12,GS_Pleins[Gazole station]),"")</f>
        <v/>
      </c>
      <c r="H12" s="89" t="str">
        <f ca="1">IFERROR(AVERAGEIF(GS_Pleins!$G:$G,$B12,GS_Pleins[GPLc station]),"")</f>
        <v/>
      </c>
      <c r="I12" s="90" t="str">
        <f>IF(Notes!$D9="","",COUNTIF(GS_Pleins!$G:$G,B12))</f>
        <v/>
      </c>
    </row>
    <row r="13" spans="2:9" ht="21.95" customHeight="1" x14ac:dyDescent="0.25">
      <c r="B13" s="87" t="str">
        <f>IF(Notes!$D$10="","",Notes!$D$10)</f>
        <v/>
      </c>
      <c r="C13" s="89" t="str">
        <f ca="1">IFERROR(AVERAGEIF(GS_Pleins!$G:$G,$B13,GS_Pleins[E85 station]),"")</f>
        <v/>
      </c>
      <c r="D13" s="89" t="str">
        <f ca="1">IFERROR(AVERAGEIF(GS_Pleins!$G:$G,$B13,GS_Pleins[SP98 station]),"")</f>
        <v/>
      </c>
      <c r="E13" s="89" t="str">
        <f ca="1">IFERROR(AVERAGEIF(GS_Pleins!$G:$G,$B13,GS_Pleins[SP95 station]),"")</f>
        <v/>
      </c>
      <c r="F13" s="89" t="str">
        <f ca="1">IFERROR(AVERAGEIF(GS_Pleins!$G:$G,$B13,GS_Pleins[E10 station]),"")</f>
        <v/>
      </c>
      <c r="G13" s="89" t="str">
        <f ca="1">IFERROR(AVERAGEIF(GS_Pleins!$G:$G,$B13,GS_Pleins[Gazole station]),"")</f>
        <v/>
      </c>
      <c r="H13" s="89" t="str">
        <f ca="1">IFERROR(AVERAGEIF(GS_Pleins!$G:$G,$B13,GS_Pleins[GPLc station]),"")</f>
        <v/>
      </c>
      <c r="I13" s="90" t="str">
        <f>IF(Notes!$D10="","",COUNTIF(GS_Pleins!$G:$G,B13))</f>
        <v/>
      </c>
    </row>
    <row r="14" spans="2:9" ht="21.95" customHeight="1" x14ac:dyDescent="0.25">
      <c r="B14" s="88" t="str">
        <f>IF(Notes!$D$11="","",Notes!$D$11)</f>
        <v/>
      </c>
      <c r="C14" s="89" t="str">
        <f ca="1">IFERROR(AVERAGEIF(GS_Pleins!$G:$G,$B14,GS_Pleins[E85 station]),"")</f>
        <v/>
      </c>
      <c r="D14" s="89" t="str">
        <f ca="1">IFERROR(AVERAGEIF(GS_Pleins!$G:$G,$B14,GS_Pleins[SP98 station]),"")</f>
        <v/>
      </c>
      <c r="E14" s="89" t="str">
        <f ca="1">IFERROR(AVERAGEIF(GS_Pleins!$G:$G,$B14,GS_Pleins[SP95 station]),"")</f>
        <v/>
      </c>
      <c r="F14" s="89" t="str">
        <f ca="1">IFERROR(AVERAGEIF(GS_Pleins!$G:$G,$B14,GS_Pleins[E10 station]),"")</f>
        <v/>
      </c>
      <c r="G14" s="89" t="str">
        <f ca="1">IFERROR(AVERAGEIF(GS_Pleins!$G:$G,$B14,GS_Pleins[Gazole station]),"")</f>
        <v/>
      </c>
      <c r="H14" s="89" t="str">
        <f ca="1">IFERROR(AVERAGEIF(GS_Pleins!$G:$G,$B14,GS_Pleins[GPLc station]),"")</f>
        <v/>
      </c>
      <c r="I14" s="90" t="str">
        <f>IF(Notes!$D11="","",COUNTIF(GS_Pleins!$G:$G,B14))</f>
        <v/>
      </c>
    </row>
    <row r="15" spans="2:9" ht="21.95" customHeight="1" x14ac:dyDescent="0.25">
      <c r="B15" s="87" t="str">
        <f>IF(Notes!$D$12="","",Notes!$D$12)</f>
        <v/>
      </c>
      <c r="C15" s="89" t="str">
        <f ca="1">IFERROR(AVERAGEIF(GS_Pleins!$G:$G,$B15,GS_Pleins[E85 station]),"")</f>
        <v/>
      </c>
      <c r="D15" s="89" t="str">
        <f ca="1">IFERROR(AVERAGEIF(GS_Pleins!$G:$G,$B15,GS_Pleins[SP98 station]),"")</f>
        <v/>
      </c>
      <c r="E15" s="89" t="str">
        <f ca="1">IFERROR(AVERAGEIF(GS_Pleins!$G:$G,$B15,GS_Pleins[SP95 station]),"")</f>
        <v/>
      </c>
      <c r="F15" s="89" t="str">
        <f ca="1">IFERROR(AVERAGEIF(GS_Pleins!$G:$G,$B15,GS_Pleins[E10 station]),"")</f>
        <v/>
      </c>
      <c r="G15" s="89" t="str">
        <f ca="1">IFERROR(AVERAGEIF(GS_Pleins!$G:$G,$B15,GS_Pleins[Gazole station]),"")</f>
        <v/>
      </c>
      <c r="H15" s="89" t="str">
        <f ca="1">IFERROR(AVERAGEIF(GS_Pleins!$G:$G,$B15,GS_Pleins[GPLc station]),"")</f>
        <v/>
      </c>
      <c r="I15" s="90" t="str">
        <f>IF(Notes!$D12="","",COUNTIF(GS_Pleins!$G:$G,B15))</f>
        <v/>
      </c>
    </row>
    <row r="16" spans="2:9" ht="21.95" customHeight="1" x14ac:dyDescent="0.25">
      <c r="B16" s="88" t="str">
        <f>IF(Notes!$D$13="","",Notes!$D$13)</f>
        <v/>
      </c>
      <c r="C16" s="89" t="str">
        <f ca="1">IFERROR(AVERAGEIF(GS_Pleins!$G:$G,$B16,GS_Pleins[E85 station]),"")</f>
        <v/>
      </c>
      <c r="D16" s="89" t="str">
        <f ca="1">IFERROR(AVERAGEIF(GS_Pleins!$G:$G,$B16,GS_Pleins[SP98 station]),"")</f>
        <v/>
      </c>
      <c r="E16" s="89" t="str">
        <f ca="1">IFERROR(AVERAGEIF(GS_Pleins!$G:$G,$B16,GS_Pleins[SP95 station]),"")</f>
        <v/>
      </c>
      <c r="F16" s="89" t="str">
        <f ca="1">IFERROR(AVERAGEIF(GS_Pleins!$G:$G,$B16,GS_Pleins[E10 station]),"")</f>
        <v/>
      </c>
      <c r="G16" s="89" t="str">
        <f ca="1">IFERROR(AVERAGEIF(GS_Pleins!$G:$G,$B16,GS_Pleins[Gazole station]),"")</f>
        <v/>
      </c>
      <c r="H16" s="89" t="str">
        <f ca="1">IFERROR(AVERAGEIF(GS_Pleins!$G:$G,$B16,GS_Pleins[GPLc station]),"")</f>
        <v/>
      </c>
      <c r="I16" s="90" t="str">
        <f>IF(Notes!$D13="","",COUNTIF(GS_Pleins!$G:$G,B16))</f>
        <v/>
      </c>
    </row>
    <row r="17" spans="2:9" ht="26.1" customHeight="1" x14ac:dyDescent="0.25">
      <c r="B17" s="91" t="s">
        <v>280</v>
      </c>
      <c r="C17" s="92" t="str">
        <f>IFERROR(AVERAGEIF(#REF!,"&gt;"&amp;0),"")</f>
        <v/>
      </c>
      <c r="D17" s="92" t="str">
        <f>IFERROR(AVERAGEIF(#REF!,"&gt;"&amp;0),"")</f>
        <v/>
      </c>
      <c r="E17" s="92" t="str">
        <f>IFERROR(AVERAGEIF(#REF!,"&gt;"&amp;0),"")</f>
        <v/>
      </c>
      <c r="F17" s="92" t="str">
        <f>IFERROR(AVERAGEIF(#REF!,"&gt;"&amp;0),"")</f>
        <v/>
      </c>
      <c r="G17" s="92" t="str">
        <f>IFERROR(AVERAGEIF(#REF!,"&gt;"&amp;0),"")</f>
        <v/>
      </c>
      <c r="H17" s="92" t="str">
        <f>IFERROR(AVERAGEIF(#REF!,"&gt;"&amp;0),"")</f>
        <v/>
      </c>
      <c r="I17" s="93"/>
    </row>
    <row r="18" spans="2:9" ht="6.75" customHeight="1" x14ac:dyDescent="0.25"/>
    <row r="19" spans="2:9" ht="20.100000000000001" customHeight="1" x14ac:dyDescent="0.25">
      <c r="B19" s="107" t="s">
        <v>308</v>
      </c>
      <c r="C19" s="108"/>
      <c r="D19" s="108"/>
      <c r="E19" s="108"/>
      <c r="F19" s="108"/>
      <c r="G19" s="108"/>
    </row>
    <row r="20" spans="2:9" ht="18" customHeight="1" x14ac:dyDescent="0.25">
      <c r="B20" s="107"/>
      <c r="C20" s="108"/>
      <c r="D20" s="108"/>
      <c r="E20" s="108"/>
      <c r="F20" s="108"/>
      <c r="G20" s="108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topLeftCell="A9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27" t="s">
        <v>368</v>
      </c>
    </row>
    <row r="3" spans="1:3" x14ac:dyDescent="0.25">
      <c r="A3" s="128" t="s">
        <v>369</v>
      </c>
    </row>
    <row r="4" spans="1:3" x14ac:dyDescent="0.25">
      <c r="A4" s="129" t="s">
        <v>1</v>
      </c>
      <c r="B4" s="129" t="s">
        <v>367</v>
      </c>
      <c r="C4" s="129" t="s">
        <v>279</v>
      </c>
    </row>
    <row r="5" spans="1:3" x14ac:dyDescent="0.25">
      <c r="A5" s="130">
        <v>46146</v>
      </c>
      <c r="B5" s="131">
        <v>0.80900000000000005</v>
      </c>
      <c r="C5" t="s">
        <v>341</v>
      </c>
    </row>
    <row r="6" spans="1:3" x14ac:dyDescent="0.25">
      <c r="A6" s="130">
        <v>46148</v>
      </c>
      <c r="B6" s="131">
        <v>0.747</v>
      </c>
      <c r="C6" t="s">
        <v>341</v>
      </c>
    </row>
    <row r="7" spans="1:3" x14ac:dyDescent="0.25">
      <c r="A7" s="130">
        <v>46151</v>
      </c>
      <c r="B7" s="131">
        <v>0.75700000000000001</v>
      </c>
      <c r="C7" t="s">
        <v>341</v>
      </c>
    </row>
    <row r="8" spans="1:3" x14ac:dyDescent="0.25">
      <c r="A8" s="130">
        <v>46154</v>
      </c>
      <c r="B8" s="131">
        <v>0.83499999999999996</v>
      </c>
      <c r="C8" t="s">
        <v>341</v>
      </c>
    </row>
    <row r="9" spans="1:3" x14ac:dyDescent="0.25">
      <c r="A9" s="130">
        <v>46157</v>
      </c>
      <c r="B9" s="131">
        <v>0.71699999999999997</v>
      </c>
      <c r="C9" t="s">
        <v>341</v>
      </c>
    </row>
    <row r="10" spans="1:3" x14ac:dyDescent="0.25">
      <c r="A10" s="130">
        <v>46161</v>
      </c>
      <c r="B10" s="131">
        <v>0.79800000000000004</v>
      </c>
      <c r="C10" t="s">
        <v>341</v>
      </c>
    </row>
    <row r="11" spans="1:3" x14ac:dyDescent="0.25">
      <c r="A11" s="130">
        <v>46164.083333333336</v>
      </c>
      <c r="B11" s="131">
        <v>0.79800000000000004</v>
      </c>
      <c r="C11" t="s">
        <v>341</v>
      </c>
    </row>
    <row r="43" spans="1:3" x14ac:dyDescent="0.25">
      <c r="A43" s="132" t="s">
        <v>370</v>
      </c>
    </row>
    <row r="44" spans="1:3" x14ac:dyDescent="0.25">
      <c r="A44" s="133" t="s">
        <v>1</v>
      </c>
      <c r="B44" s="133" t="s">
        <v>371</v>
      </c>
      <c r="C44" s="133" t="s">
        <v>312</v>
      </c>
    </row>
    <row r="45" spans="1:3" x14ac:dyDescent="0.25">
      <c r="A45" s="130">
        <v>46135</v>
      </c>
      <c r="B45" s="134">
        <v>5.4</v>
      </c>
      <c r="C45" t="s">
        <v>319</v>
      </c>
    </row>
    <row r="46" spans="1:3" x14ac:dyDescent="0.25">
      <c r="A46" s="130">
        <v>46140</v>
      </c>
      <c r="B46" s="134">
        <v>5.39</v>
      </c>
      <c r="C46" t="s">
        <v>319</v>
      </c>
    </row>
    <row r="47" spans="1:3" x14ac:dyDescent="0.25">
      <c r="A47" s="130">
        <v>46146</v>
      </c>
      <c r="B47" s="134">
        <v>5.62</v>
      </c>
      <c r="C47" t="s">
        <v>319</v>
      </c>
    </row>
    <row r="48" spans="1:3" x14ac:dyDescent="0.25">
      <c r="A48" s="130">
        <v>46148</v>
      </c>
      <c r="B48" s="134">
        <v>5.97</v>
      </c>
      <c r="C48" t="s">
        <v>319</v>
      </c>
    </row>
    <row r="49" spans="1:3" x14ac:dyDescent="0.25">
      <c r="A49" s="130">
        <v>46151</v>
      </c>
      <c r="B49" s="134">
        <v>6.76</v>
      </c>
      <c r="C49" t="s">
        <v>319</v>
      </c>
    </row>
    <row r="50" spans="1:3" x14ac:dyDescent="0.25">
      <c r="A50" s="130">
        <v>46154</v>
      </c>
      <c r="B50" s="134">
        <v>7.04</v>
      </c>
      <c r="C50" t="s">
        <v>319</v>
      </c>
    </row>
    <row r="51" spans="1:3" x14ac:dyDescent="0.25">
      <c r="A51" s="130">
        <v>46157</v>
      </c>
      <c r="B51" s="134">
        <v>6.59</v>
      </c>
      <c r="C51" t="s">
        <v>319</v>
      </c>
    </row>
    <row r="52" spans="1:3" x14ac:dyDescent="0.25">
      <c r="A52" s="130">
        <v>46161</v>
      </c>
      <c r="B52" s="134">
        <v>6.77</v>
      </c>
      <c r="C52" t="s">
        <v>319</v>
      </c>
    </row>
    <row r="53" spans="1:3" x14ac:dyDescent="0.25">
      <c r="A53" s="130">
        <v>46164.083333333336</v>
      </c>
      <c r="B53" s="134">
        <v>6.91</v>
      </c>
      <c r="C53" t="s">
        <v>319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F8" sqref="F8"/>
    </sheetView>
  </sheetViews>
  <sheetFormatPr baseColWidth="10" defaultColWidth="14" defaultRowHeight="15.75" x14ac:dyDescent="0.25"/>
  <cols>
    <col min="1" max="1" width="3.25" style="81" customWidth="1"/>
    <col min="2" max="2" width="19.375" style="81" customWidth="1"/>
    <col min="3" max="3" width="1.125" style="81" customWidth="1"/>
    <col min="4" max="4" width="45.125" style="81" customWidth="1"/>
    <col min="5" max="16384" width="14" style="81"/>
  </cols>
  <sheetData>
    <row r="1" spans="2:4" ht="9.75" customHeight="1" x14ac:dyDescent="0.25"/>
    <row r="2" spans="2:4" x14ac:dyDescent="0.25">
      <c r="B2" s="81" t="s">
        <v>272</v>
      </c>
      <c r="D2" s="81" t="s">
        <v>275</v>
      </c>
    </row>
    <row r="3" spans="2:4" x14ac:dyDescent="0.25">
      <c r="B3" s="81" t="s">
        <v>274</v>
      </c>
    </row>
    <row r="4" spans="2:4" x14ac:dyDescent="0.25">
      <c r="B4" s="81" t="s">
        <v>273</v>
      </c>
    </row>
    <row r="5" spans="2:4" x14ac:dyDescent="0.25">
      <c r="B5" s="81" t="s">
        <v>81</v>
      </c>
    </row>
    <row r="6" spans="2:4" x14ac:dyDescent="0.25">
      <c r="B6" s="81" t="s">
        <v>100</v>
      </c>
    </row>
    <row r="19" spans="4:4" x14ac:dyDescent="0.25">
      <c r="D19" s="81" t="s">
        <v>328</v>
      </c>
    </row>
    <row r="20" spans="4:4" x14ac:dyDescent="0.25">
      <c r="D20" s="81" t="s">
        <v>351</v>
      </c>
    </row>
    <row r="21" spans="4:4" x14ac:dyDescent="0.25">
      <c r="D21" s="81" t="s">
        <v>278</v>
      </c>
    </row>
    <row r="22" spans="4:4" x14ac:dyDescent="0.25">
      <c r="D22" s="81" t="s">
        <v>341</v>
      </c>
    </row>
    <row r="23" spans="4:4" x14ac:dyDescent="0.25">
      <c r="D23" s="81" t="s">
        <v>298</v>
      </c>
    </row>
    <row r="24" spans="4:4" x14ac:dyDescent="0.25">
      <c r="D24" s="81" t="s">
        <v>352</v>
      </c>
    </row>
    <row r="25" spans="4:4" x14ac:dyDescent="0.25">
      <c r="D25" s="81" t="s">
        <v>277</v>
      </c>
    </row>
    <row r="26" spans="4:4" x14ac:dyDescent="0.25">
      <c r="D26" s="81" t="s">
        <v>299</v>
      </c>
    </row>
    <row r="27" spans="4:4" x14ac:dyDescent="0.25">
      <c r="D27" s="81" t="s">
        <v>276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Claude Log</vt:lpstr>
      <vt:lpstr>Tableau de bord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2026-05-25T19:17:50Z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