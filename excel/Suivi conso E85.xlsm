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e85\excel\"/>
    </mc:Choice>
  </mc:AlternateContent>
  <xr:revisionPtr revIDLastSave="0" documentId="13_ncr:1_{59F22A07-6DE6-4CC0-8BE1-22A6997EDE4E}" xr6:coauthVersionLast="47" xr6:coauthVersionMax="47" xr10:uidLastSave="{00000000-0000-0000-0000-000000000000}"/>
  <bookViews>
    <workbookView xWindow="-120" yWindow="-120" windowWidth="24240" windowHeight="13020" firstSheet="1" activeTab="4" xr2:uid="{51658058-8315-A640-B733-1DFC39D6EEC8}"/>
  </bookViews>
  <sheets>
    <sheet name="Claude Log" sheetId="3" state="hidden" r:id="rId1"/>
    <sheet name="Tableau de bord" sheetId="10" r:id="rId2"/>
    <sheet name="GS_Pleins" sheetId="8" r:id="rId3"/>
    <sheet name="_ImportGS" sheetId="9" state="veryHidden" r:id="rId4"/>
    <sheet name="Suivi Carburant" sheetId="2" r:id="rId5"/>
    <sheet name="Prix par Station" sheetId="7" r:id="rId6"/>
    <sheet name="Graphiques" sheetId="4" r:id="rId7"/>
    <sheet name="Notes" sheetId="6" r:id="rId8"/>
  </sheets>
  <functionGroups builtInGroupCount="19"/>
  <externalReferences>
    <externalReference r:id="rId9"/>
  </externalReferences>
  <definedNames>
    <definedName name="DonnéesExternes_1" localSheetId="2" hidden="1">GS_Pleins!$A$1:$N$12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0" l="1"/>
  <c r="B13" i="10"/>
  <c r="B12" i="10"/>
  <c r="B11" i="10"/>
  <c r="B10" i="10"/>
  <c r="B9" i="10"/>
  <c r="B8" i="10"/>
  <c r="B7" i="10"/>
  <c r="B6" i="10"/>
  <c r="B5" i="10"/>
  <c r="B29" i="2"/>
  <c r="B33" i="2"/>
  <c r="B28" i="2"/>
  <c r="B30" i="2"/>
  <c r="I13" i="7"/>
  <c r="I14" i="7"/>
  <c r="I15" i="7"/>
  <c r="I16" i="7"/>
  <c r="D17" i="7"/>
  <c r="E17" i="7"/>
  <c r="F17" i="7"/>
  <c r="G17" i="7"/>
  <c r="H17" i="7"/>
  <c r="C17" i="7"/>
  <c r="E25" i="2" l="1"/>
  <c r="I25" i="2"/>
  <c r="H25" i="2" s="1"/>
  <c r="J25" i="2"/>
  <c r="B16" i="7" l="1"/>
  <c r="B15" i="7"/>
  <c r="B14" i="7"/>
  <c r="B13" i="7"/>
  <c r="B12" i="7"/>
  <c r="I12" i="7" s="1"/>
  <c r="B11" i="7"/>
  <c r="B10" i="7"/>
  <c r="B9" i="7"/>
  <c r="B8" i="7"/>
  <c r="B7" i="7"/>
  <c r="B6" i="7"/>
  <c r="E24" i="2"/>
  <c r="I24" i="2"/>
  <c r="H24" i="2" s="1"/>
  <c r="J24" i="2"/>
  <c r="N16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I22" i="2"/>
  <c r="H22" i="2" s="1"/>
  <c r="B32" i="2"/>
  <c r="B31" i="2"/>
  <c r="S16" i="2"/>
  <c r="M17" i="2"/>
  <c r="M18" i="2"/>
  <c r="K17" i="2"/>
  <c r="I17" i="2"/>
  <c r="H17" i="2" s="1"/>
  <c r="B36" i="2" l="1"/>
  <c r="B35" i="2"/>
  <c r="F11" i="7"/>
  <c r="G11" i="7"/>
  <c r="C11" i="7"/>
  <c r="I11" i="7"/>
  <c r="D11" i="7"/>
  <c r="H11" i="7"/>
  <c r="E11" i="7"/>
  <c r="E8" i="7"/>
  <c r="C8" i="7"/>
  <c r="F8" i="7"/>
  <c r="G8" i="7"/>
  <c r="I8" i="7"/>
  <c r="D8" i="7"/>
  <c r="H8" i="7"/>
  <c r="F12" i="7"/>
  <c r="G12" i="7"/>
  <c r="D12" i="7"/>
  <c r="H12" i="7"/>
  <c r="E12" i="7"/>
  <c r="C12" i="7"/>
  <c r="E16" i="7"/>
  <c r="F16" i="7"/>
  <c r="G16" i="7"/>
  <c r="C16" i="7"/>
  <c r="D16" i="7"/>
  <c r="H16" i="7"/>
  <c r="G7" i="7"/>
  <c r="C7" i="7"/>
  <c r="D7" i="7"/>
  <c r="H7" i="7"/>
  <c r="I7" i="7"/>
  <c r="E7" i="7"/>
  <c r="F7" i="7"/>
  <c r="I9" i="7"/>
  <c r="H9" i="7"/>
  <c r="E9" i="7"/>
  <c r="F9" i="7"/>
  <c r="G9" i="7"/>
  <c r="C9" i="7"/>
  <c r="D9" i="7"/>
  <c r="D13" i="7"/>
  <c r="E13" i="7"/>
  <c r="F13" i="7"/>
  <c r="G13" i="7"/>
  <c r="C13" i="7"/>
  <c r="H13" i="7"/>
  <c r="G15" i="7"/>
  <c r="C15" i="7"/>
  <c r="D15" i="7"/>
  <c r="E15" i="7"/>
  <c r="F15" i="7"/>
  <c r="H15" i="7"/>
  <c r="I6" i="7"/>
  <c r="H6" i="7"/>
  <c r="C6" i="7"/>
  <c r="E6" i="7"/>
  <c r="F6" i="7"/>
  <c r="G6" i="7"/>
  <c r="D6" i="7"/>
  <c r="I10" i="7"/>
  <c r="D10" i="7"/>
  <c r="H10" i="7"/>
  <c r="E10" i="7"/>
  <c r="F10" i="7"/>
  <c r="G10" i="7"/>
  <c r="C10" i="7"/>
  <c r="G14" i="7"/>
  <c r="C14" i="7"/>
  <c r="D14" i="7"/>
  <c r="H14" i="7"/>
  <c r="E14" i="7"/>
  <c r="F14" i="7"/>
  <c r="J5" i="2"/>
  <c r="J6" i="2" a="1"/>
  <c r="J6" i="2" s="1"/>
  <c r="B6" i="2"/>
  <c r="J7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K18" i="2"/>
  <c r="I18" i="2"/>
  <c r="H18" i="2" s="1"/>
  <c r="I19" i="2"/>
  <c r="B34" i="2" s="1"/>
  <c r="I20" i="2"/>
  <c r="H20" i="2" s="1"/>
  <c r="I21" i="2"/>
  <c r="H21" i="2" s="1"/>
  <c r="I23" i="2"/>
  <c r="H23" i="2" s="1"/>
  <c r="I16" i="2"/>
  <c r="H16" i="2" s="1"/>
  <c r="L18" i="2" l="1"/>
  <c r="L16" i="2"/>
  <c r="J28" i="2" s="1"/>
  <c r="H19" i="2"/>
  <c r="N19" i="2"/>
  <c r="M19" i="2"/>
  <c r="M23" i="2"/>
  <c r="M20" i="2"/>
  <c r="M21" i="2"/>
  <c r="N20" i="2" l="1"/>
  <c r="N21" i="2" s="1"/>
  <c r="N22" i="2" s="1"/>
  <c r="N23" i="2" s="1"/>
  <c r="N24" i="2" s="1"/>
  <c r="N25" i="2" s="1"/>
  <c r="J29" i="2" l="1"/>
  <c r="J30" i="2"/>
  <c r="Q21" i="2" a="1"/>
  <c r="Q21" i="2" s="1"/>
  <c r="S21" i="2" s="1"/>
  <c r="Q32" i="2" a="1"/>
  <c r="Q32" i="2" s="1"/>
  <c r="R18" i="2" a="1"/>
  <c r="R18" i="2" s="1"/>
  <c r="R19" i="2" a="1"/>
  <c r="R19" i="2" s="1"/>
  <c r="R24" i="2" a="1"/>
  <c r="R24" i="2" s="1"/>
  <c r="Q27" i="2" a="1"/>
  <c r="Q27" i="2" s="1"/>
  <c r="S27" i="2" s="1"/>
  <c r="Q25" i="2" a="1"/>
  <c r="Q25" i="2" s="1"/>
  <c r="S25" i="2" s="1"/>
  <c r="R22" i="2" a="1"/>
  <c r="R22" i="2" s="1"/>
  <c r="Q18" i="2" a="1"/>
  <c r="Q18" i="2" s="1"/>
  <c r="S18" i="2" s="1"/>
  <c r="Q24" i="2" a="1"/>
  <c r="Q24" i="2" s="1"/>
  <c r="S24" i="2" s="1"/>
  <c r="R23" i="2" a="1"/>
  <c r="R23" i="2" s="1"/>
  <c r="P31" i="2" a="1"/>
  <c r="P31" i="2" s="1"/>
  <c r="R31" i="2" s="1"/>
  <c r="R25" i="2" a="1"/>
  <c r="R25" i="2" s="1"/>
  <c r="Q20" i="2" a="1"/>
  <c r="Q20" i="2" s="1"/>
  <c r="S20" i="2" s="1"/>
  <c r="R20" i="2" a="1"/>
  <c r="R20" i="2" s="1"/>
  <c r="Q22" i="2" a="1"/>
  <c r="Q22" i="2" s="1"/>
  <c r="S22" i="2" s="1"/>
  <c r="Q28" i="2" a="1"/>
  <c r="Q28" i="2" s="1"/>
  <c r="S28" i="2" s="1"/>
  <c r="R26" i="2" a="1"/>
  <c r="R26" i="2" s="1"/>
  <c r="Q26" i="2" a="1"/>
  <c r="Q26" i="2" s="1"/>
  <c r="S26" i="2" s="1"/>
  <c r="R27" i="2" a="1"/>
  <c r="R27" i="2" s="1"/>
  <c r="R21" i="2" a="1"/>
  <c r="R21" i="2" s="1"/>
  <c r="Q17" i="2" a="1"/>
  <c r="Q17" i="2" s="1"/>
  <c r="S17" i="2" s="1"/>
  <c r="Q30" i="2" a="1"/>
  <c r="Q30" i="2" s="1"/>
  <c r="S30" i="2" s="1"/>
  <c r="R28" i="2" a="1"/>
  <c r="R28" i="2" s="1"/>
  <c r="Q31" i="2" a="1"/>
  <c r="Q31" i="2" s="1"/>
  <c r="Q23" i="2" a="1"/>
  <c r="Q23" i="2" s="1"/>
  <c r="S23" i="2" s="1"/>
  <c r="R29" i="2" a="1"/>
  <c r="R29" i="2" s="1"/>
  <c r="R30" i="2" a="1"/>
  <c r="R30" i="2" s="1"/>
  <c r="Q19" i="2" a="1"/>
  <c r="Q19" i="2" s="1"/>
  <c r="S19" i="2" s="1"/>
  <c r="Q29" i="2" a="1"/>
  <c r="Q29" i="2" s="1"/>
  <c r="S29" i="2" s="1"/>
  <c r="R17" i="2" a="1"/>
  <c r="R17" i="2" s="1"/>
  <c r="P32" i="2" a="1"/>
  <c r="P32" i="2" s="1"/>
  <c r="R32" i="2" s="1"/>
  <c r="J31" i="2"/>
  <c r="J34" i="2"/>
  <c r="J35" i="2" l="1"/>
  <c r="J32" i="2"/>
  <c r="B10" i="2"/>
  <c r="J12" i="2" l="1"/>
  <c r="B11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<sst xmlns="http://schemas.openxmlformats.org/spreadsheetml/2006/main" count="503" uniqueCount="370">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</sst>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1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</fills>
  <borders count="12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37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left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49" fontId="14" fillId="5" borderId="5" xfId="0" applyNumberFormat="1" applyFont="1" applyFill="1" applyBorder="1" applyAlignment="1" applyProtection="1">
      <alignment horizontal="center" vertical="center"/>
      <protection locked="0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49" fontId="14" fillId="5" borderId="5" xfId="0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49" fontId="14" fillId="5" borderId="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47">
    <dxf>
      <numFmt numFmtId="27" formatCode="dd/mm/yyyy\ hh:mm"/>
    </dxf>
    <dxf>
      <numFmt numFmtId="19" formatCode="dd/mm/yyyy"/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30" formatCode="@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spPr>
            <a:ln w="25400">
              <a:solidFill>
                <a:srgbClr val="2E75B6"/>
              </a:solidFill>
            </a:ln>
          </c:spPr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cat>
            <c:numRef>
              <c:f>Graphiques!$A$5:$A$11</c:f>
              <c:numCache>
                <c:formatCode>m/d/yyyy</c:formatCode>
                <c:ptCount val="7"/>
                <c:pt idx="0">
                  <c:v>46146</c:v>
                </c:pt>
                <c:pt idx="1">
                  <c:v>46148</c:v>
                </c:pt>
                <c:pt idx="2">
                  <c:v>46151</c:v>
                </c:pt>
                <c:pt idx="3">
                  <c:v>46154</c:v>
                </c:pt>
                <c:pt idx="4">
                  <c:v>46157</c:v>
                </c:pt>
                <c:pt idx="5">
                  <c:v>46161</c:v>
                </c:pt>
                <c:pt idx="6">
                  <c:v>46164.083333333336</c:v>
                </c:pt>
              </c:numCache>
            </c:numRef>
          </c:cat>
          <c:val>
            <c:numRef>
              <c:f>Graphiques!$B$5:$B$11</c:f>
              <c:numCache>
                <c:formatCode>0.000</c:formatCode>
                <c:ptCount val="7"/>
                <c:pt idx="0">
                  <c:v>0.80900000000000005</c:v>
                </c:pt>
                <c:pt idx="1">
                  <c:v>0.747</c:v>
                </c:pt>
                <c:pt idx="2">
                  <c:v>0.75700000000000001</c:v>
                </c:pt>
                <c:pt idx="3">
                  <c:v>0.83499999999999996</c:v>
                </c:pt>
                <c:pt idx="4">
                  <c:v>0.71699999999999997</c:v>
                </c:pt>
                <c:pt idx="5">
                  <c:v>0.79800000000000004</c:v>
                </c:pt>
                <c:pt idx="6">
                  <c:v>0.79800000000000004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date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Offset val="100"/>
        <c:baseTimeUnit val="days"/>
      </c:date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25</xdr:row>
      <xdr:rowOff>0</xdr:rowOff>
    </xdr:from>
    <xdr:to>
      <xdr:col>2</xdr:col>
      <xdr:colOff>279400</xdr:colOff>
      <xdr:row>25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19" unboundColumnsRight="2">
    <queryTableFields count="16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P12" tableType="queryTable" totalsRowShown="0" headerRowDxfId="46" dataDxfId="45">
  <autoFilter ref="A1:P12" xr:uid="{74CBBEF5-DAC6-4FFF-B9BF-F912C02B05A8}"/>
  <sortState xmlns:xlrd2="http://schemas.microsoft.com/office/spreadsheetml/2017/richdata2" ref="A2:O11">
    <sortCondition ref="A1:A11"/>
  </sortState>
  <tableColumns count="16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4"/>
    <tableColumn id="5" xr3:uid="{3DC79D37-A57D-45A6-B68B-28F91AE90D1B}" uniqueName="5" name="Litres" queryTableFieldId="5" dataDxfId="43"/>
    <tableColumn id="6" xr3:uid="{E20F9B47-933F-4695-AC5B-7BFCB43AA70B}" uniqueName="6" name="PrixL" queryTableFieldId="6" dataDxfId="42"/>
    <tableColumn id="8" xr3:uid="{1810D7F1-75C0-4692-B633-9344880F4391}" uniqueName="8" name="Station essence" queryTableFieldId="8" dataDxfId="41"/>
    <tableColumn id="9" xr3:uid="{B958E2B1-5DEB-4CEF-B30E-3537BD55A8E8}" uniqueName="9" name="Vehicule" queryTableFieldId="9" dataDxfId="40"/>
    <tableColumn id="10" xr3:uid="{7955E5A1-C834-43AD-B7C1-739EA1C9FB0B}" uniqueName="10" name="E85 station" queryTableFieldId="10" dataDxfId="39"/>
    <tableColumn id="11" xr3:uid="{168A26EB-A626-4924-B067-7D0EE30B248F}" uniqueName="11" name="SP98 station" queryTableFieldId="11" dataDxfId="38"/>
    <tableColumn id="12" xr3:uid="{18AADF40-972E-454B-9FD3-FD2D10CCF4B9}" uniqueName="12" name="SP95 station" queryTableFieldId="12" dataDxfId="37"/>
    <tableColumn id="13" xr3:uid="{A1195D38-1809-462B-9D20-AE18F43CBC4B}" uniqueName="13" name="E10 station" queryTableFieldId="13" dataDxfId="36"/>
    <tableColumn id="14" xr3:uid="{9F059A0B-5171-4FB9-8BF4-0CBD57021E52}" uniqueName="14" name="Gazole station" queryTableFieldId="14" dataDxfId="35"/>
    <tableColumn id="15" xr3:uid="{BE30AC6F-80E2-4B6C-B72A-506C9FC60853}" uniqueName="15" name="GPLc station" queryTableFieldId="15" dataDxfId="34"/>
    <tableColumn id="16" xr3:uid="{DD5EAF57-67B9-4006-88AF-5A82745A6E1D}" uniqueName="16" name="sync_id" queryTableFieldId="16" dataDxfId="4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E6926DC-B259-41D4-8C8E-62B019225E34}" name="DonneesExternes_1" displayName="DonneesExternes_1" ref="A1:Y12" totalsRowShown="0">
  <autoFilter ref="A1:Y12" xr:uid="{EE6926DC-B259-41D4-8C8E-62B019225E34}"/>
  <tableColumns count="25">
    <tableColumn id="1" xr3:uid="{E17AA863-0FBA-43B4-A2FC-8B0FEFF1306C}" name="Horodatage" dataDxfId="1"/>
    <tableColumn id="2" xr3:uid="{68026F9D-5140-4E33-B279-9B65EDC8FFAC}" name="Date" dataDxfId="0"/>
    <tableColumn id="3" xr3:uid="{E3A6EAB3-5BB0-4742-A3C2-5E1B4AEAE261}" name="Type"/>
    <tableColumn id="4" xr3:uid="{4A136894-2FB1-4E07-898F-EA062B852EBE}" name="Km compteur"/>
    <tableColumn id="5" xr3:uid="{5CDBA7C4-A802-46BB-9C28-C566E7D9C315}" name="Nb. Litres"/>
    <tableColumn id="6" xr3:uid="{77894A74-2175-4D3E-BB02-2D02B6AEEE9C}" name="Prix €/L"/>
    <tableColumn id="7" xr3:uid="{F5100DC0-9A01-43D4-A1F3-F8EEAE2ED5D7}" name="Station essence"/>
    <tableColumn id="8" xr3:uid="{6B382754-7603-42E8-A623-41C1233C179F}" name="Véhicule"/>
    <tableColumn id="9" xr3:uid="{0B1EEEB0-D309-4084-B54C-7138BD500040}" name="E85 station (€/L)"/>
    <tableColumn id="10" xr3:uid="{CEA3570E-4B13-4544-8CD0-CFBF7A7046FF}" name="SP98 station (€/L)"/>
    <tableColumn id="11" xr3:uid="{24B40710-8A84-4A85-A141-040206B45752}" name="SP95 station (€/L)"/>
    <tableColumn id="12" xr3:uid="{ED02C28A-CA4F-4B4F-9C36-BC739A258B24}" name="E10 station (€/L)"/>
    <tableColumn id="13" xr3:uid="{79CE4E32-72E9-4DB3-9A60-D9C8B725BAC4}" name="Gazole station (€/L)"/>
    <tableColumn id="14" xr3:uid="{E91E9EA0-0AE6-45AE-BFD8-D96341FD3BC8}" name="GPLc station (€/L)"/>
    <tableColumn id="15" xr3:uid="{A65BA16A-12E2-4097-AE58-524A442A480E}" name="sync_id"/>
    <tableColumn id="16" xr3:uid="{C6FB8E61-2079-490D-BE50-07FC2218A233}" name="Photo ticket"/>
    <tableColumn id="17" xr3:uid="{8A9E08B9-F073-4123-BBBA-DB3E0445F121}" name="Colonne1"/>
    <tableColumn id="18" xr3:uid="{0BFF39A2-4D03-460C-B277-99AABD6623D4}" name="Colonne2"/>
    <tableColumn id="19" xr3:uid="{DCD0E531-8BBC-4CAD-91E1-C0414C7F5640}" name="Colonne3"/>
    <tableColumn id="20" xr3:uid="{7B5A9BAC-DBE2-47B2-9628-B9E5776A94C2}" name="Colonne4"/>
    <tableColumn id="21" xr3:uid="{79FC6132-FF51-42AE-9218-7A744A33D41A}" name="Colonne5"/>
    <tableColumn id="22" xr3:uid="{A0A859FC-5601-47F6-A8A3-E562572C5241}" name="Colonne6"/>
    <tableColumn id="23" xr3:uid="{7924C4FE-355A-45C8-BA2C-A3A2A2ABF93F}" name="Colonne7"/>
    <tableColumn id="24" xr3:uid="{D609FE3C-76C7-406D-AB4E-8C5ED8E422C8}" name="Colonne8"/>
    <tableColumn id="25" xr3:uid="{01B8EE35-E625-4C54-9565-53E6ED06D7F2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5" totalsRowShown="0" headerRowDxfId="33" dataDxfId="31" headerRowBorderDxfId="32" tableBorderDxfId="30" totalsRowBorderDxfId="29">
  <autoFilter ref="A15:O25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/>
    <tableColumn id="11" xr3:uid="{A77486BA-32D8-4661-BA23-1144AE2FD0EC}" name="Type" dataDxfId="26"/>
    <tableColumn id="3" xr3:uid="{6C87F133-7224-4AAB-ACB2-666E8B7315B5}" name="Km compteur" dataDxfId="25"/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/>
    <tableColumn id="5" xr3:uid="{A61BA34E-E60B-4F70-A1D9-62090C37C449}" name="Prix €/L" dataDxfId="22"/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27" totalsRowShown="0" headerRowDxfId="10" dataDxfId="9">
  <autoFilter ref="D2:D27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27">
    <sortCondition ref="D2:D27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26" t="s">
        <v>347</v>
      </c>
      <c r="B1" s="127"/>
    </row>
    <row r="2" spans="1:2" x14ac:dyDescent="0.25">
      <c r="A2" s="128" t="s">
        <v>348</v>
      </c>
      <c r="B2" s="127"/>
    </row>
    <row r="3" spans="1:2" ht="3.75" customHeight="1" x14ac:dyDescent="0.25"/>
    <row r="4" spans="1:2" ht="26.1" customHeight="1" x14ac:dyDescent="0.25">
      <c r="A4" s="102" t="s">
        <v>349</v>
      </c>
      <c r="B4" s="102" t="s">
        <v>350</v>
      </c>
    </row>
    <row r="5" spans="1:2" ht="26.1" customHeight="1" x14ac:dyDescent="0.3">
      <c r="A5" s="103" t="s">
        <v>351</v>
      </c>
      <c r="B5" s="104">
        <f>IFERROR(SUM(GS_Pleins[Litres])/(MAX(GS_Pleins[Km])-MIN(GS_Pleins[Km]))*100,0)</f>
        <v>6.7528039479587258</v>
      </c>
    </row>
    <row r="6" spans="1:2" ht="26.1" customHeight="1" x14ac:dyDescent="0.3">
      <c r="A6" s="106" t="s">
        <v>352</v>
      </c>
      <c r="B6" s="107">
        <f>IFERROR(SUMPRODUCT(GS_Pleins[Litres],GS_Pleins[PrixL])/(MAX(GS_Pleins[Km])-MIN(GS_Pleins[Km])),0)</f>
        <v>7.4760829968595774E-2</v>
      </c>
    </row>
    <row r="7" spans="1:2" ht="26.1" customHeight="1" x14ac:dyDescent="0.3">
      <c r="A7" s="106" t="s">
        <v>353</v>
      </c>
      <c r="B7" s="108">
        <f ca="1">SUMPRODUCT((YEAR(GS_Pleins[Date])=YEAR(TODAY()))*GS_Pleins[Litres]*GS_Pleins[PrixL])</f>
        <v>166.64188999999999</v>
      </c>
    </row>
    <row r="8" spans="1:2" ht="26.1" customHeight="1" x14ac:dyDescent="0.3">
      <c r="A8" s="106" t="s">
        <v>354</v>
      </c>
      <c r="B8" s="109">
        <f ca="1">SUMPRODUCT((YEAR(GS_Pleins[Date])=YEAR(TODAY()))*1)</f>
        <v>11</v>
      </c>
    </row>
    <row r="9" spans="1:2" ht="26.1" customHeight="1" x14ac:dyDescent="0.3">
      <c r="A9" s="106" t="s">
        <v>355</v>
      </c>
      <c r="B9" s="110">
        <f>IFERROR(COUNTIF(GS_Pleins[Type],"*E85*")/COUNTA(GS_Pleins[Type]),0)</f>
        <v>0.72727272727272729</v>
      </c>
    </row>
    <row r="10" spans="1:2" ht="26.1" customHeight="1" x14ac:dyDescent="0.3">
      <c r="A10" s="106" t="s">
        <v>356</v>
      </c>
      <c r="B10" s="111">
        <f>IFERROR(SUMIF(GS_Pleins[Type],"*E85*",GS_Pleins[Litres])*(AVERAGEIFS(GS_Pleins[SP98 station],GS_Pleins[SP98 station],"&gt;0")-AVERAGEIF(GS_Pleins[Type],"*E85*",GS_Pleins[PrixL])),0)</f>
        <v>140.74416249999999</v>
      </c>
    </row>
    <row r="11" spans="1:2" ht="26.1" customHeight="1" x14ac:dyDescent="0.3">
      <c r="A11" s="106" t="s">
        <v>357</v>
      </c>
      <c r="B11" s="112">
        <f ca="1">IFERROR(AVERAGEIFS(GS_Pleins[PrixL],GS_Pleins[Type],"*E85*",GS_Pleins[Date],"&gt;="&amp;TODAY()-30),0)</f>
        <v>0.78875000000000006</v>
      </c>
    </row>
    <row r="12" spans="1:2" ht="26.1" customHeight="1" x14ac:dyDescent="0.3">
      <c r="A12" s="106" t="s">
        <v>358</v>
      </c>
      <c r="B12" s="113">
        <f>IFERROR(MAX(GS_Pleins[Horodatage]),"")</f>
        <v>46171.162939814814</v>
      </c>
    </row>
    <row r="13" spans="1:2" ht="26.1" customHeight="1" x14ac:dyDescent="0.3">
      <c r="A13" s="106" t="s">
        <v>359</v>
      </c>
      <c r="B13" s="114">
        <f>SUM(GS_Pleins[Litres])</f>
        <v>150.51999999999998</v>
      </c>
    </row>
    <row r="14" spans="1:2" ht="26.1" customHeight="1" x14ac:dyDescent="0.3">
      <c r="A14" s="105" t="s">
        <v>360</v>
      </c>
      <c r="B14" s="115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P12"/>
  <sheetViews>
    <sheetView zoomScale="70" zoomScaleNormal="70" workbookViewId="0">
      <selection activeCell="N32" sqref="N32"/>
    </sheetView>
  </sheetViews>
  <sheetFormatPr baseColWidth="10" defaultRowHeight="15.75" x14ac:dyDescent="0.25"/>
  <cols>
    <col min="1" max="1" width="25.25" style="98" customWidth="1"/>
    <col min="2" max="2" width="15.375" style="98" customWidth="1"/>
    <col min="3" max="3" width="29.25" style="98" customWidth="1"/>
    <col min="4" max="4" width="9.625" style="98" customWidth="1"/>
    <col min="5" max="5" width="11.5" style="98" bestFit="1" customWidth="1"/>
    <col min="6" max="6" width="11" style="98" bestFit="1" customWidth="1"/>
    <col min="7" max="7" width="45.5" style="98" bestFit="1" customWidth="1"/>
    <col min="8" max="8" width="14.375" style="98" bestFit="1" customWidth="1"/>
    <col min="9" max="9" width="16" style="98" bestFit="1" customWidth="1"/>
    <col min="10" max="11" width="17.125" style="98" bestFit="1" customWidth="1"/>
    <col min="12" max="12" width="16" style="98" bestFit="1" customWidth="1"/>
    <col min="13" max="13" width="18.5" style="98" bestFit="1" customWidth="1"/>
    <col min="14" max="14" width="17.125" style="98" bestFit="1" customWidth="1"/>
    <col min="15" max="15" width="40.875" style="98" customWidth="1"/>
    <col min="16" max="16" width="11" style="125"/>
    <col min="17" max="16384" width="11" style="98"/>
  </cols>
  <sheetData>
    <row r="1" spans="1:16" x14ac:dyDescent="0.25">
      <c r="A1" s="81" t="s">
        <v>294</v>
      </c>
      <c r="B1" s="81" t="s">
        <v>1</v>
      </c>
      <c r="C1" s="81" t="s">
        <v>55</v>
      </c>
      <c r="D1" s="81" t="s">
        <v>305</v>
      </c>
      <c r="E1" s="81" t="s">
        <v>306</v>
      </c>
      <c r="F1" s="81" t="s">
        <v>307</v>
      </c>
      <c r="G1" s="81" t="s">
        <v>271</v>
      </c>
      <c r="H1" s="81" t="s">
        <v>308</v>
      </c>
      <c r="I1" s="81" t="s">
        <v>309</v>
      </c>
      <c r="J1" s="81" t="s">
        <v>310</v>
      </c>
      <c r="K1" s="81" t="s">
        <v>311</v>
      </c>
      <c r="L1" s="81" t="s">
        <v>312</v>
      </c>
      <c r="M1" s="81" t="s">
        <v>313</v>
      </c>
      <c r="N1" s="81" t="s">
        <v>314</v>
      </c>
      <c r="O1" s="81" t="s">
        <v>333</v>
      </c>
      <c r="P1" s="124" t="s">
        <v>366</v>
      </c>
    </row>
    <row r="2" spans="1:16" x14ac:dyDescent="0.25">
      <c r="A2" s="101">
        <v>46131</v>
      </c>
      <c r="B2" s="136">
        <v>46140.083333333336</v>
      </c>
      <c r="C2" s="99" t="s">
        <v>81</v>
      </c>
      <c r="D2" s="99">
        <v>10349</v>
      </c>
      <c r="E2" s="99">
        <v>13.75</v>
      </c>
      <c r="F2" s="99">
        <v>2.0310000000000001</v>
      </c>
      <c r="G2" s="99" t="s">
        <v>346</v>
      </c>
      <c r="H2" s="99" t="s">
        <v>315</v>
      </c>
      <c r="I2" s="99"/>
      <c r="J2" s="99">
        <v>2.0310000000000001</v>
      </c>
      <c r="K2" s="99"/>
      <c r="L2" s="99"/>
      <c r="M2" s="99"/>
      <c r="N2" s="99"/>
      <c r="O2" s="99" t="s">
        <v>338</v>
      </c>
      <c r="P2" s="101"/>
    </row>
    <row r="3" spans="1:16" x14ac:dyDescent="0.25">
      <c r="A3" s="101">
        <v>46135</v>
      </c>
      <c r="B3" s="136">
        <v>46146.083333333336</v>
      </c>
      <c r="C3" s="99" t="s">
        <v>100</v>
      </c>
      <c r="D3" s="99">
        <v>10553</v>
      </c>
      <c r="E3" s="99">
        <v>11.47</v>
      </c>
      <c r="F3" s="99">
        <v>0.80900000000000005</v>
      </c>
      <c r="G3" s="99" t="s">
        <v>335</v>
      </c>
      <c r="H3" s="99" t="s">
        <v>315</v>
      </c>
      <c r="I3" s="99">
        <v>0.80900000000000005</v>
      </c>
      <c r="J3" s="99">
        <v>2.0790000000000002</v>
      </c>
      <c r="K3" s="99"/>
      <c r="L3" s="99"/>
      <c r="M3" s="99"/>
      <c r="N3" s="99"/>
      <c r="O3" s="99" t="s">
        <v>339</v>
      </c>
      <c r="P3" s="101"/>
    </row>
    <row r="4" spans="1:16" x14ac:dyDescent="0.25">
      <c r="A4" s="101">
        <v>46140</v>
      </c>
      <c r="B4" s="136">
        <v>46157.083333333336</v>
      </c>
      <c r="C4" s="99" t="s">
        <v>100</v>
      </c>
      <c r="D4" s="99">
        <v>11376</v>
      </c>
      <c r="E4" s="99">
        <v>13.37</v>
      </c>
      <c r="F4" s="99">
        <v>0.71699999999999997</v>
      </c>
      <c r="G4" s="99" t="s">
        <v>335</v>
      </c>
      <c r="H4" s="99" t="s">
        <v>315</v>
      </c>
      <c r="I4" s="99">
        <v>0.71699999999999997</v>
      </c>
      <c r="J4" s="99">
        <v>2.0950000000000002</v>
      </c>
      <c r="K4" s="99"/>
      <c r="L4" s="99"/>
      <c r="M4" s="99"/>
      <c r="N4" s="99"/>
      <c r="O4" s="99" t="s">
        <v>343</v>
      </c>
      <c r="P4" s="101"/>
    </row>
    <row r="5" spans="1:16" x14ac:dyDescent="0.25">
      <c r="A5" s="101">
        <v>46146</v>
      </c>
      <c r="B5" s="136">
        <v>46148.083333333336</v>
      </c>
      <c r="C5" s="99" t="s">
        <v>100</v>
      </c>
      <c r="D5" s="99">
        <v>10749</v>
      </c>
      <c r="E5" s="99">
        <v>11.71</v>
      </c>
      <c r="F5" s="99">
        <v>0.747</v>
      </c>
      <c r="G5" s="99" t="s">
        <v>335</v>
      </c>
      <c r="H5" s="99" t="s">
        <v>315</v>
      </c>
      <c r="I5" s="99">
        <v>0.747</v>
      </c>
      <c r="J5" s="99">
        <v>2.0979999999999999</v>
      </c>
      <c r="K5" s="99"/>
      <c r="L5" s="99"/>
      <c r="M5" s="99"/>
      <c r="N5" s="99"/>
      <c r="O5" s="99" t="s">
        <v>340</v>
      </c>
      <c r="P5" s="101"/>
    </row>
    <row r="6" spans="1:16" x14ac:dyDescent="0.25">
      <c r="A6" s="101">
        <v>46148</v>
      </c>
      <c r="B6" s="136">
        <v>46151.083333333336</v>
      </c>
      <c r="C6" s="99" t="s">
        <v>100</v>
      </c>
      <c r="D6" s="99">
        <v>10975</v>
      </c>
      <c r="E6" s="99">
        <v>15.28</v>
      </c>
      <c r="F6" s="99">
        <v>0.75700000000000001</v>
      </c>
      <c r="G6" s="99" t="s">
        <v>335</v>
      </c>
      <c r="H6" s="99" t="s">
        <v>315</v>
      </c>
      <c r="I6" s="99">
        <v>0.75700000000000001</v>
      </c>
      <c r="J6" s="99">
        <v>2.0979999999999999</v>
      </c>
      <c r="K6" s="99"/>
      <c r="L6" s="99"/>
      <c r="M6" s="99"/>
      <c r="N6" s="99"/>
      <c r="O6" s="99" t="s">
        <v>341</v>
      </c>
      <c r="P6" s="101"/>
    </row>
    <row r="7" spans="1:16" x14ac:dyDescent="0.25">
      <c r="A7" s="101">
        <v>46151</v>
      </c>
      <c r="B7" s="136">
        <v>46154.083333333336</v>
      </c>
      <c r="C7" s="99" t="s">
        <v>100</v>
      </c>
      <c r="D7" s="99">
        <v>11173</v>
      </c>
      <c r="E7" s="99">
        <v>13.94</v>
      </c>
      <c r="F7" s="99">
        <v>0.83499999999999996</v>
      </c>
      <c r="G7" s="99" t="s">
        <v>335</v>
      </c>
      <c r="H7" s="99" t="s">
        <v>315</v>
      </c>
      <c r="I7" s="99">
        <v>0.83499999999999996</v>
      </c>
      <c r="J7" s="99">
        <v>2.0950000000000002</v>
      </c>
      <c r="K7" s="99"/>
      <c r="L7" s="99"/>
      <c r="M7" s="99"/>
      <c r="N7" s="99"/>
      <c r="O7" s="99" t="s">
        <v>342</v>
      </c>
      <c r="P7" s="101"/>
    </row>
    <row r="8" spans="1:16" x14ac:dyDescent="0.25">
      <c r="A8" s="101">
        <v>46154</v>
      </c>
      <c r="B8" s="136">
        <v>46135.083333333336</v>
      </c>
      <c r="C8" s="99" t="s">
        <v>81</v>
      </c>
      <c r="D8" s="99">
        <v>10094</v>
      </c>
      <c r="E8" s="99">
        <v>15.22</v>
      </c>
      <c r="F8" s="99">
        <v>1.9259999999999999</v>
      </c>
      <c r="G8" s="99" t="s">
        <v>345</v>
      </c>
      <c r="H8" s="99" t="s">
        <v>315</v>
      </c>
      <c r="I8" s="99"/>
      <c r="J8" s="99">
        <v>1.9259999999999999</v>
      </c>
      <c r="K8" s="99"/>
      <c r="L8" s="99"/>
      <c r="M8" s="99"/>
      <c r="N8" s="99"/>
      <c r="O8" s="99" t="s">
        <v>337</v>
      </c>
      <c r="P8" s="101"/>
    </row>
    <row r="9" spans="1:16" x14ac:dyDescent="0.25">
      <c r="A9" s="101">
        <v>46157</v>
      </c>
      <c r="B9" s="136">
        <v>46161.083333333336</v>
      </c>
      <c r="C9" s="99" t="s">
        <v>100</v>
      </c>
      <c r="D9" s="99">
        <v>11596</v>
      </c>
      <c r="E9" s="99">
        <v>14.9</v>
      </c>
      <c r="F9" s="99">
        <v>0.79800000000000004</v>
      </c>
      <c r="G9" s="99" t="s">
        <v>335</v>
      </c>
      <c r="H9" s="99" t="s">
        <v>315</v>
      </c>
      <c r="I9" s="99">
        <v>0.79800000000000004</v>
      </c>
      <c r="J9" s="99">
        <v>2.0910000000000002</v>
      </c>
      <c r="K9" s="99"/>
      <c r="L9" s="99"/>
      <c r="M9" s="99"/>
      <c r="N9" s="99"/>
      <c r="O9" s="99" t="s">
        <v>344</v>
      </c>
      <c r="P9" s="101"/>
    </row>
    <row r="10" spans="1:16" x14ac:dyDescent="0.25">
      <c r="A10" s="101">
        <v>46161</v>
      </c>
      <c r="B10" s="136">
        <v>46164.083333333336</v>
      </c>
      <c r="C10" s="99" t="s">
        <v>100</v>
      </c>
      <c r="D10" s="99">
        <v>11831</v>
      </c>
      <c r="E10" s="99">
        <v>16.25</v>
      </c>
      <c r="F10" s="99">
        <v>0.79800000000000004</v>
      </c>
      <c r="G10" s="99" t="s">
        <v>335</v>
      </c>
      <c r="H10" s="99" t="s">
        <v>315</v>
      </c>
      <c r="I10" s="99">
        <v>0.79800000000000004</v>
      </c>
      <c r="J10" s="99"/>
      <c r="K10" s="99"/>
      <c r="L10" s="99"/>
      <c r="M10" s="99"/>
      <c r="N10" s="99"/>
      <c r="O10" s="99" t="s">
        <v>334</v>
      </c>
      <c r="P10" s="101"/>
    </row>
    <row r="11" spans="1:16" x14ac:dyDescent="0.25">
      <c r="A11" s="101">
        <v>46164.921076388891</v>
      </c>
      <c r="B11" s="136">
        <v>46131.083333333336</v>
      </c>
      <c r="C11" s="99" t="s">
        <v>81</v>
      </c>
      <c r="D11" s="99">
        <v>9812</v>
      </c>
      <c r="E11" s="99">
        <v>11.4</v>
      </c>
      <c r="F11" s="99">
        <v>1.9730000000000001</v>
      </c>
      <c r="G11" s="99" t="s">
        <v>345</v>
      </c>
      <c r="H11" s="99" t="s">
        <v>315</v>
      </c>
      <c r="I11" s="99"/>
      <c r="J11" s="99">
        <v>1.9730000000000001</v>
      </c>
      <c r="K11" s="99"/>
      <c r="L11" s="99"/>
      <c r="M11" s="99"/>
      <c r="N11" s="99"/>
      <c r="O11" s="99" t="s">
        <v>336</v>
      </c>
      <c r="P11" s="101"/>
    </row>
    <row r="12" spans="1:16" x14ac:dyDescent="0.25">
      <c r="A12" s="101">
        <v>46171.162939814814</v>
      </c>
      <c r="B12" s="136">
        <v>46170.083333333336</v>
      </c>
      <c r="C12" s="99" t="s">
        <v>100</v>
      </c>
      <c r="D12" s="99">
        <v>12041</v>
      </c>
      <c r="E12" s="99">
        <v>13.23</v>
      </c>
      <c r="F12" s="99">
        <v>0.84899999999999998</v>
      </c>
      <c r="G12" s="99" t="s">
        <v>345</v>
      </c>
      <c r="H12" s="99" t="s">
        <v>315</v>
      </c>
      <c r="I12" s="99">
        <v>0.84899999999999998</v>
      </c>
      <c r="J12" s="99">
        <v>2.1789999999999998</v>
      </c>
      <c r="K12" s="99">
        <v>2.089</v>
      </c>
      <c r="L12" s="99">
        <v>2.0390000000000001</v>
      </c>
      <c r="M12" s="99">
        <v>2.0990000000000002</v>
      </c>
      <c r="N12" s="99">
        <v>0.96899999999999997</v>
      </c>
      <c r="O12" s="99" t="s">
        <v>367</v>
      </c>
      <c r="P12" s="10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100">
        <v>46164.921076388891</v>
      </c>
      <c r="B2" s="100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9">
        <v>46131</v>
      </c>
      <c r="B3" s="100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9">
        <v>46135</v>
      </c>
      <c r="B4" s="100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9">
        <v>46140</v>
      </c>
      <c r="B5" s="100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9">
        <v>46146</v>
      </c>
      <c r="B6" s="100">
        <v>46146.083333333336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9">
        <v>46148</v>
      </c>
      <c r="B7" s="100">
        <v>46148.083333333336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9">
        <v>46151</v>
      </c>
      <c r="B8" s="100">
        <v>46151.083333333336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9">
        <v>46154</v>
      </c>
      <c r="B9" s="100">
        <v>46154.083333333336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9">
        <v>46157</v>
      </c>
      <c r="B10" s="100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9">
        <v>46161</v>
      </c>
      <c r="B11" s="100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100">
        <v>46171.162939814814</v>
      </c>
      <c r="B12" s="100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Y21" sqref="Y21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53.3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30" t="s">
        <v>72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Z1" s="77"/>
      <c r="AA1" s="77">
        <v>2</v>
      </c>
    </row>
    <row r="2" spans="1:27" ht="3.95" customHeight="1" x14ac:dyDescent="0.25">
      <c r="A2" s="26"/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</row>
    <row r="3" spans="1:27" ht="14.25" customHeight="1" x14ac:dyDescent="0.25">
      <c r="A3" s="27"/>
      <c r="B3" s="27"/>
      <c r="C3" s="27"/>
      <c r="D3" s="27"/>
      <c r="E3" s="27"/>
      <c r="F3" s="27"/>
      <c r="G3" s="27"/>
      <c r="H3" s="27"/>
      <c r="I3" s="27"/>
      <c r="J3"/>
      <c r="K3"/>
      <c r="L3"/>
      <c r="M3"/>
    </row>
    <row r="4" spans="1:27" x14ac:dyDescent="0.25">
      <c r="A4" s="5" t="s">
        <v>6</v>
      </c>
      <c r="B4" s="28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27" x14ac:dyDescent="0.25">
      <c r="A5" s="7" t="s">
        <v>7</v>
      </c>
      <c r="B5" s="40">
        <v>514.54</v>
      </c>
      <c r="C5" s="8" t="s">
        <v>8</v>
      </c>
      <c r="D5" s="4"/>
      <c r="E5" s="4"/>
      <c r="F5" s="4"/>
      <c r="G5" s="7" t="s">
        <v>125</v>
      </c>
      <c r="H5" s="7"/>
      <c r="I5" s="7"/>
      <c r="J5" s="44">
        <f>IFERROR(AVERAGEIFS(Tableau2[Conso. (L/100km)],Tableau2[Type],"SuperEthanol E85"),"")</f>
        <v>6.5246189413047393</v>
      </c>
      <c r="K5" s="25" t="s">
        <v>126</v>
      </c>
      <c r="L5" s="4"/>
      <c r="M5" s="4"/>
    </row>
    <row r="6" spans="1:27" x14ac:dyDescent="0.25">
      <c r="A6" s="7" t="s">
        <v>41</v>
      </c>
      <c r="B6" s="44">
        <f>IFERROR(AVERAGEIFS(Tableau2[Conso. (L/100km)],Tableau2[Type],"Super 98"),"")</f>
        <v>5.394659991656237</v>
      </c>
      <c r="C6" s="25" t="s">
        <v>59</v>
      </c>
      <c r="D6" s="4"/>
      <c r="E6" s="4"/>
      <c r="F6" s="4"/>
      <c r="G6" s="7" t="s">
        <v>191</v>
      </c>
      <c r="H6" s="7"/>
      <c r="I6" s="7"/>
      <c r="J6" s="76" cm="1">
        <f t="array" ref="J6">IFERROR(AVERAGE(IF((Tableau2[Type]="SuperEthanol E85")*(Tableau2[Nb. km]&lt;&gt;"")*(Tableau2[Nb. Litres]&lt;&gt;""),Tableau2[Nb. km]/Tableau2[Nb. Litres])),"")</f>
        <v>15.418221395928684</v>
      </c>
      <c r="K6" s="25" t="s">
        <v>126</v>
      </c>
      <c r="L6" s="4"/>
      <c r="M6" s="4"/>
    </row>
    <row r="7" spans="1:27" x14ac:dyDescent="0.25">
      <c r="A7" s="7" t="s">
        <v>186</v>
      </c>
      <c r="B7" s="76" cm="1">
        <f t="array" ref="B7">IFERROR(AVERAGE(IF((Tableau2[Type]="Super 98")*(Tableau2[Nb. km]&lt;&gt;"")*(Tableau2[Nb. Litres]&lt;&gt;""),Tableau2[Nb. km]/Tableau2[Nb. Litres])),"")</f>
        <v>18.536853422530164</v>
      </c>
      <c r="C7" s="25" t="s">
        <v>59</v>
      </c>
      <c r="D7" s="4"/>
      <c r="E7" s="4"/>
      <c r="F7" s="4"/>
      <c r="G7" s="59" t="s">
        <v>9</v>
      </c>
      <c r="H7" s="59"/>
      <c r="I7" s="59"/>
      <c r="J7" s="41">
        <f>IF(OR(B6="",B6=0,COUNTIF(Tableau2[Type],"SuperEthanol E85")=0),0.2,AVERAGEIFS(Tableau2[Conso. (L/100km)],Tableau2[Type],"SuperEthanol E85")/B6-1)</f>
        <v>0.20945878913521465</v>
      </c>
      <c r="K7" s="8" t="s">
        <v>42</v>
      </c>
      <c r="L7" s="4"/>
      <c r="M7" s="4"/>
    </row>
    <row r="8" spans="1:27" ht="7.5" customHeight="1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27" x14ac:dyDescent="0.25">
      <c r="A9" s="35" t="s">
        <v>102</v>
      </c>
      <c r="B9" s="30"/>
      <c r="C9" s="31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</row>
    <row r="10" spans="1:27" x14ac:dyDescent="0.25">
      <c r="A10" s="7" t="s">
        <v>103</v>
      </c>
      <c r="B10" s="42">
        <f>IFERROR(LOOKUP(9.99999999999999E+307,Tableau2[Économie cumulée (€)]),0)</f>
        <v>92.366928052204941</v>
      </c>
      <c r="C10" s="8" t="s">
        <v>104</v>
      </c>
      <c r="D10" s="4"/>
      <c r="E10" s="4"/>
      <c r="F10" s="4"/>
      <c r="G10" s="129" t="s">
        <v>107</v>
      </c>
      <c r="H10" s="129"/>
      <c r="I10" s="43"/>
      <c r="J10" s="39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46274.713314610737</v>
      </c>
      <c r="K10" s="36" t="s">
        <v>108</v>
      </c>
      <c r="L10" s="36"/>
      <c r="M10" s="36"/>
      <c r="N10" s="4"/>
    </row>
    <row r="11" spans="1:27" x14ac:dyDescent="0.25">
      <c r="A11" s="7" t="s">
        <v>105</v>
      </c>
      <c r="B11" s="42">
        <f>MAX(0,B5-B10)</f>
        <v>422.17307194779505</v>
      </c>
      <c r="C11" s="8" t="s">
        <v>106</v>
      </c>
      <c r="D11" s="4"/>
      <c r="E11" s="4"/>
      <c r="F11" s="4"/>
      <c r="G11" s="7" t="s">
        <v>114</v>
      </c>
      <c r="H11" s="7"/>
      <c r="I11" s="7"/>
      <c r="J11" s="38">
        <f>IFERROR(IF(B11=0,LOOKUP(9.99999999999999E+307,Tableau2[Km compteur]),IF(OR(B12="-",B12=0),"En attente d'un plein E85",LOOKUP(9.99999999999999E+307,Tableau2[Km compteur])+B11/B12)),"En attente d'un plein E85")</f>
        <v>18604.641884820667</v>
      </c>
      <c r="K11" s="36" t="s">
        <v>196</v>
      </c>
      <c r="L11" s="36"/>
      <c r="M11" s="36"/>
      <c r="N11" s="4"/>
      <c r="O11" s="4"/>
      <c r="P11" s="4"/>
    </row>
    <row r="12" spans="1:27" x14ac:dyDescent="0.25">
      <c r="A12" s="7" t="s">
        <v>109</v>
      </c>
      <c r="B12" s="45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6.2325862383404144E-2</v>
      </c>
      <c r="C12" s="33"/>
      <c r="D12" s="33"/>
      <c r="E12" s="4"/>
      <c r="F12" s="4"/>
      <c r="G12" s="7" t="s">
        <v>119</v>
      </c>
      <c r="H12" s="7"/>
      <c r="I12" s="7"/>
      <c r="J12" s="37">
        <f>IFERROR(MIN(B10/B5,1),0)</f>
        <v>0.17951360059899124</v>
      </c>
      <c r="K12" s="36" t="s">
        <v>120</v>
      </c>
      <c r="L12" s="36"/>
      <c r="M12" s="36"/>
      <c r="N12" s="4"/>
      <c r="O12" s="4"/>
      <c r="P12" s="4"/>
    </row>
    <row r="13" spans="1:27" ht="11.25" customHeigh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</row>
    <row r="14" spans="1:27" x14ac:dyDescent="0.25">
      <c r="A14" s="29" t="s">
        <v>10</v>
      </c>
      <c r="B14" s="34"/>
      <c r="C14" s="32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</row>
    <row r="15" spans="1:27" ht="37.5" customHeight="1" x14ac:dyDescent="0.25">
      <c r="A15" s="94" t="s">
        <v>11</v>
      </c>
      <c r="B15" s="95" t="s">
        <v>1</v>
      </c>
      <c r="C15" s="95" t="s">
        <v>55</v>
      </c>
      <c r="D15" s="95" t="s">
        <v>12</v>
      </c>
      <c r="E15" s="95" t="s">
        <v>185</v>
      </c>
      <c r="F15" s="95" t="s">
        <v>56</v>
      </c>
      <c r="G15" s="95" t="s">
        <v>57</v>
      </c>
      <c r="H15" s="95" t="s">
        <v>99</v>
      </c>
      <c r="I15" s="96" t="s">
        <v>58</v>
      </c>
      <c r="J15" s="96" t="s">
        <v>13</v>
      </c>
      <c r="K15" s="95" t="s">
        <v>135</v>
      </c>
      <c r="L15" s="96" t="s">
        <v>82</v>
      </c>
      <c r="M15" s="97" t="s">
        <v>101</v>
      </c>
      <c r="N15" s="97" t="s">
        <v>14</v>
      </c>
      <c r="O15" s="96" t="s">
        <v>271</v>
      </c>
      <c r="Q15" s="46" t="s">
        <v>149</v>
      </c>
      <c r="R15" s="46" t="s">
        <v>14</v>
      </c>
      <c r="S15" s="46" t="s">
        <v>136</v>
      </c>
    </row>
    <row r="16" spans="1:27" x14ac:dyDescent="0.25">
      <c r="A16" s="47">
        <v>1</v>
      </c>
      <c r="B16" s="48">
        <v>46131</v>
      </c>
      <c r="C16" s="49" t="s">
        <v>81</v>
      </c>
      <c r="D16" s="50">
        <v>9812</v>
      </c>
      <c r="E16" s="65" t="str">
        <f>IF(AND(ISNUMBER(D15),Tableau2[[#This Row],[Km compteur]]&lt;&gt;""),Tableau2[[#This Row],[Km compteur]]-D15,"")</f>
        <v/>
      </c>
      <c r="F16" s="51">
        <v>11.4</v>
      </c>
      <c r="G16" s="52">
        <v>1.9730000000000001</v>
      </c>
      <c r="H16" s="53" t="str">
        <f t="shared" ref="H16:H23" si="0">IF(OR(D16="",D15="",I16="",ISTEXT(D15)),"",F16/(D16-D15)*100)</f>
        <v/>
      </c>
      <c r="I16" s="54">
        <f t="shared" ref="I16:I23" si="1">IF(F16="","",F16*G16)</f>
        <v>22.4922</v>
      </c>
      <c r="J16" s="55" t="str">
        <f t="shared" ref="J16:J23" si="2">IF(OR(D16="",D15="",F16="",ISTEXT(D15)),"",F16/(D16-D15)*100)</f>
        <v/>
      </c>
      <c r="K16" s="56">
        <f>IF(Tableau2[[#This Row],[Type]]="Super 98",Tableau2[[#This Row],[Prix €/L]],"")</f>
        <v>1.9730000000000001</v>
      </c>
      <c r="L16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7"/>
      <c r="N16" s="58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80" t="s">
        <v>345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7">
        <f t="shared" ref="A17:A23" si="3">IF(B17="","",A16+1)</f>
        <v>2</v>
      </c>
      <c r="B17" s="48">
        <v>46135</v>
      </c>
      <c r="C17" s="49" t="s">
        <v>81</v>
      </c>
      <c r="D17" s="50">
        <v>10094</v>
      </c>
      <c r="E17" s="65">
        <f>IF(AND(ISNUMBER(D16),Tableau2[[#This Row],[Km compteur]]&lt;&gt;""),Tableau2[[#This Row],[Km compteur]]-D16,"")</f>
        <v>282</v>
      </c>
      <c r="F17" s="51">
        <v>15.22</v>
      </c>
      <c r="G17" s="52">
        <v>1.9259999999999999</v>
      </c>
      <c r="H17" s="53">
        <f t="shared" si="0"/>
        <v>5.3971631205673765</v>
      </c>
      <c r="I17" s="54">
        <f>IF(F17="","",F17*G17)</f>
        <v>29.31372</v>
      </c>
      <c r="J17" s="55">
        <f t="shared" si="2"/>
        <v>5.3971631205673765</v>
      </c>
      <c r="K17" s="56">
        <f>IF(Tableau2[[#This Row],[Type]]="Super 98",Tableau2[[#This Row],[Prix €/L]],"")</f>
        <v>1.9259999999999999</v>
      </c>
      <c r="L17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8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80" t="s">
        <v>345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10.437134223580056</v>
      </c>
      <c r="S17" s="3">
        <f t="shared" ref="R17:S32" si="4">IF(ISNA(Q17),NA(),$B$5)</f>
        <v>514.54</v>
      </c>
    </row>
    <row r="18" spans="1:19" x14ac:dyDescent="0.25">
      <c r="A18" s="47">
        <f t="shared" si="3"/>
        <v>3</v>
      </c>
      <c r="B18" s="48">
        <v>46140</v>
      </c>
      <c r="C18" s="49" t="s">
        <v>81</v>
      </c>
      <c r="D18" s="50">
        <v>10349</v>
      </c>
      <c r="E18" s="65">
        <f>IF(AND(ISNUMBER(D17),Tableau2[[#This Row],[Km compteur]]&lt;&gt;""),Tableau2[[#This Row],[Km compteur]]-D17,"")</f>
        <v>255</v>
      </c>
      <c r="F18" s="51">
        <v>13.75</v>
      </c>
      <c r="G18" s="52">
        <v>2.0310000000000001</v>
      </c>
      <c r="H18" s="53">
        <f t="shared" si="0"/>
        <v>5.3921568627450984</v>
      </c>
      <c r="I18" s="54">
        <f t="shared" si="1"/>
        <v>27.926250000000003</v>
      </c>
      <c r="J18" s="55">
        <f t="shared" si="2"/>
        <v>5.3921568627450984</v>
      </c>
      <c r="K18" s="56">
        <f>IF(Tableau2[[#This Row],[Type]]="Super 98",Tableau2[[#This Row],[Prix €/L]],"")</f>
        <v>2.0310000000000001</v>
      </c>
      <c r="L18" s="54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7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8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80" t="s">
        <v>346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22.002634923016021</v>
      </c>
      <c r="S18" s="3">
        <f t="shared" si="4"/>
        <v>514.54</v>
      </c>
    </row>
    <row r="19" spans="1:19" x14ac:dyDescent="0.25">
      <c r="A19" s="47">
        <f t="shared" si="3"/>
        <v>4</v>
      </c>
      <c r="B19" s="48">
        <v>46146</v>
      </c>
      <c r="C19" s="49" t="s">
        <v>100</v>
      </c>
      <c r="D19" s="50">
        <v>10553</v>
      </c>
      <c r="E19" s="65">
        <f>IF(AND(ISNUMBER(D18),Tableau2[[#This Row],[Km compteur]]&lt;&gt;""),Tableau2[[#This Row],[Km compteur]]-D18,"")</f>
        <v>204</v>
      </c>
      <c r="F19" s="51">
        <v>11.47</v>
      </c>
      <c r="G19" s="52">
        <v>0.80900000000000005</v>
      </c>
      <c r="H19" s="53">
        <f t="shared" si="0"/>
        <v>5.6225490196078436</v>
      </c>
      <c r="I19" s="54">
        <f t="shared" si="1"/>
        <v>9.2792300000000019</v>
      </c>
      <c r="J19" s="55">
        <f t="shared" si="2"/>
        <v>5.6225490196078436</v>
      </c>
      <c r="K19" s="56">
        <v>2.0790000000000002</v>
      </c>
      <c r="L19" s="54">
        <f>IF(OR(Tableau2[[#This Row],[Type]]&lt;&gt;"SuperEthanol E85",Tableau2[[#This Row],[Nb. Litres]]="",Tableau2[[#This Row],[Prix S98 jour (€/L)]]=""),"",Tableau2[[#This Row],[Nb. Litres]]/(1+$J$7)*Tableau2[[#This Row],[Prix S98 jour (€/L)]])</f>
        <v>19.716364223580058</v>
      </c>
      <c r="M19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0.52936404020664329</v>
      </c>
      <c r="N19" s="58">
        <f>IF(Tableau2[[#This Row],[Type]]&lt;&gt;"SuperEthanol E85","",IF(Tableau2[[#This Row],[Coût Plein (€)]]="","",IF(N18&lt;&gt;"",N18+(L19-Tableau2[[#This Row],[Coût Plein (€)]]),L19-Tableau2[[#This Row],[Coût Plein (€)]])))</f>
        <v>10.437134223580056</v>
      </c>
      <c r="O19" s="80" t="s">
        <v>335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36.941282462502059</v>
      </c>
      <c r="S19" s="3">
        <f t="shared" si="4"/>
        <v>514.54</v>
      </c>
    </row>
    <row r="20" spans="1:19" x14ac:dyDescent="0.25">
      <c r="A20" s="47">
        <f t="shared" si="3"/>
        <v>5</v>
      </c>
      <c r="B20" s="48">
        <v>46148</v>
      </c>
      <c r="C20" s="49" t="s">
        <v>100</v>
      </c>
      <c r="D20" s="50">
        <v>10749</v>
      </c>
      <c r="E20" s="65">
        <f>IF(AND(ISNUMBER(D19),Tableau2[[#This Row],[Km compteur]]&lt;&gt;""),Tableau2[[#This Row],[Km compteur]]-D19,"")</f>
        <v>196</v>
      </c>
      <c r="F20" s="51">
        <v>11.71</v>
      </c>
      <c r="G20" s="52">
        <v>0.747</v>
      </c>
      <c r="H20" s="53">
        <f t="shared" si="0"/>
        <v>5.9744897959183678</v>
      </c>
      <c r="I20" s="54">
        <f t="shared" si="1"/>
        <v>8.7473700000000001</v>
      </c>
      <c r="J20" s="55">
        <f t="shared" si="2"/>
        <v>5.9744897959183678</v>
      </c>
      <c r="K20" s="56">
        <v>2.0979999999999999</v>
      </c>
      <c r="L20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20.312870699435965</v>
      </c>
      <c r="M20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0.56936810510771918</v>
      </c>
      <c r="N20" s="58">
        <f>IF(Tableau2[[#This Row],[Type]]&lt;&gt;"SuperEthanol E85","",IF(Tableau2[[#This Row],[Coût Plein (€)]]="","",IF(N19&lt;&gt;"",N19+(L20-Tableau2[[#This Row],[Coût Plein (€)]]),L20-Tableau2[[#This Row],[Coût Plein (€)]])))</f>
        <v>22.002634923016021</v>
      </c>
      <c r="O20" s="80" t="s">
        <v>335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49.447967912413603</v>
      </c>
      <c r="S20" s="3">
        <f t="shared" si="4"/>
        <v>514.54</v>
      </c>
    </row>
    <row r="21" spans="1:19" x14ac:dyDescent="0.25">
      <c r="A21" s="47">
        <f t="shared" si="3"/>
        <v>6</v>
      </c>
      <c r="B21" s="48">
        <v>46151</v>
      </c>
      <c r="C21" s="49" t="s">
        <v>100</v>
      </c>
      <c r="D21" s="50">
        <v>10975</v>
      </c>
      <c r="E21" s="65">
        <f>IF(AND(ISNUMBER(D20),Tableau2[[#This Row],[Km compteur]]&lt;&gt;""),Tableau2[[#This Row],[Km compteur]]-D20,"")</f>
        <v>226</v>
      </c>
      <c r="F21" s="51">
        <v>15.28</v>
      </c>
      <c r="G21" s="52">
        <v>0.75700000000000001</v>
      </c>
      <c r="H21" s="53">
        <f t="shared" si="0"/>
        <v>6.7610619469026547</v>
      </c>
      <c r="I21" s="54">
        <f t="shared" si="1"/>
        <v>11.56696</v>
      </c>
      <c r="J21" s="55">
        <f t="shared" si="2"/>
        <v>6.7610619469026547</v>
      </c>
      <c r="K21" s="56">
        <v>2.0979999999999999</v>
      </c>
      <c r="L21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26.505607539486036</v>
      </c>
      <c r="M21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0.56360328723767517</v>
      </c>
      <c r="N21" s="58">
        <f>IF(Tableau2[[#This Row],[Type]]&lt;&gt;"SuperEthanol E85","",IF(Tableau2[[#This Row],[Coût Plein (€)]]="","",IF(N20&lt;&gt;"",N20+(L21-Tableau2[[#This Row],[Coût Plein (€)]]),L21-Tableau2[[#This Row],[Coût Plein (€)]])))</f>
        <v>36.941282462502059</v>
      </c>
      <c r="O21" s="80" t="s">
        <v>335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63.020920915664483</v>
      </c>
      <c r="S21" s="3">
        <f t="shared" si="4"/>
        <v>514.54</v>
      </c>
    </row>
    <row r="22" spans="1:19" x14ac:dyDescent="0.25">
      <c r="A22" s="47">
        <f t="shared" si="3"/>
        <v>7</v>
      </c>
      <c r="B22" s="48">
        <v>46154</v>
      </c>
      <c r="C22" s="64" t="s">
        <v>100</v>
      </c>
      <c r="D22" s="65">
        <v>11173</v>
      </c>
      <c r="E22" s="65">
        <f>IF(AND(ISNUMBER(D21),Tableau2[[#This Row],[Km compteur]]&lt;&gt;""),Tableau2[[#This Row],[Km compteur]]-D21,"")</f>
        <v>198</v>
      </c>
      <c r="F22" s="66">
        <v>13.94</v>
      </c>
      <c r="G22" s="67">
        <v>0.83499999999999996</v>
      </c>
      <c r="H22" s="53">
        <f t="shared" si="0"/>
        <v>7.0404040404040398</v>
      </c>
      <c r="I22" s="54">
        <f>IF(F22="","",F22*G22)</f>
        <v>11.639899999999999</v>
      </c>
      <c r="J22" s="55">
        <f t="shared" si="2"/>
        <v>7.0404040404040398</v>
      </c>
      <c r="K22" s="68">
        <v>2.0950000000000002</v>
      </c>
      <c r="L22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24.146585449911541</v>
      </c>
      <c r="M22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0.51794840623966398</v>
      </c>
      <c r="N22" s="58">
        <f>IF(Tableau2[[#This Row],[Type]]&lt;&gt;"SuperEthanol E85","",IF(Tableau2[[#This Row],[Coût Plein (€)]]="","",IF(N21&lt;&gt;"",N21+(L22-Tableau2[[#This Row],[Coût Plein (€)]]),L22-Tableau2[[#This Row],[Coût Plein (€)]])))</f>
        <v>49.447967912413603</v>
      </c>
      <c r="O22" s="80" t="s">
        <v>335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76.890920667718092</v>
      </c>
      <c r="S22" s="3">
        <f t="shared" si="4"/>
        <v>514.54</v>
      </c>
    </row>
    <row r="23" spans="1:19" x14ac:dyDescent="0.25">
      <c r="A23" s="47">
        <f t="shared" si="3"/>
        <v>8</v>
      </c>
      <c r="B23" s="48">
        <v>46157</v>
      </c>
      <c r="C23" s="49" t="s">
        <v>100</v>
      </c>
      <c r="D23" s="50">
        <v>11376</v>
      </c>
      <c r="E23" s="65">
        <f>IF(AND(ISNUMBER(D22),Tableau2[[#This Row],[Km compteur]]&lt;&gt;""),Tableau2[[#This Row],[Km compteur]]-D22,"")</f>
        <v>203</v>
      </c>
      <c r="F23" s="51">
        <v>13.37</v>
      </c>
      <c r="G23" s="52">
        <v>0.71699999999999997</v>
      </c>
      <c r="H23" s="53">
        <f t="shared" si="0"/>
        <v>6.5862068965517233</v>
      </c>
      <c r="I23" s="54">
        <f t="shared" si="1"/>
        <v>9.5862899999999982</v>
      </c>
      <c r="J23" s="55">
        <f t="shared" si="2"/>
        <v>6.5862068965517233</v>
      </c>
      <c r="K23" s="56">
        <v>2.0950000000000002</v>
      </c>
      <c r="L23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23.159243003250879</v>
      </c>
      <c r="M23" s="57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0.58607066739381919</v>
      </c>
      <c r="N23" s="58">
        <f>IF(Tableau2[[#This Row],[Type]]&lt;&gt;"SuperEthanol E85","",IF(Tableau2[[#This Row],[Coût Plein (€)]]="","",IF(N22&lt;&gt;"",N22+(L23-Tableau2[[#This Row],[Coût Plein (€)]]),L23-Tableau2[[#This Row],[Coût Plein (€)]])))</f>
        <v>63.020920915664483</v>
      </c>
      <c r="O23" s="80" t="s">
        <v>335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92.366928052204941</v>
      </c>
      <c r="S23" s="3">
        <f t="shared" si="4"/>
        <v>514.54</v>
      </c>
    </row>
    <row r="24" spans="1:19" x14ac:dyDescent="0.25">
      <c r="A24" s="79">
        <f>IF(B24="","",A23+1)</f>
        <v>9</v>
      </c>
      <c r="B24" s="48">
        <v>46161</v>
      </c>
      <c r="C24" s="64" t="s">
        <v>100</v>
      </c>
      <c r="D24" s="65">
        <v>11596</v>
      </c>
      <c r="E24" s="65">
        <f>IF(AND(ISNUMBER(D23),Tableau2[[#This Row],[Km compteur]]&lt;&gt;""),Tableau2[[#This Row],[Km compteur]]-D23,"")</f>
        <v>220</v>
      </c>
      <c r="F24" s="66">
        <v>14.9</v>
      </c>
      <c r="G24" s="67">
        <v>0.79800000000000004</v>
      </c>
      <c r="H24" s="78">
        <f>IF(OR(D24="",D23="",I24="",ISTEXT(D23)),"",F24/(D24-D23)*100)</f>
        <v>6.7727272727272734</v>
      </c>
      <c r="I24" s="54">
        <f>IF(F24="","",F24*G24)</f>
        <v>11.8902</v>
      </c>
      <c r="J24" s="55">
        <f>IF(OR(D24="",D23="",F24="",ISTEXT(D23)),"",F24/(D24-D23)*100)</f>
        <v>6.7727272727272734</v>
      </c>
      <c r="K24" s="68">
        <v>2.0910000000000002</v>
      </c>
      <c r="L24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25.760199752053602</v>
      </c>
      <c r="M24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0.53842749223821085</v>
      </c>
      <c r="N24" s="58">
        <f>IF(Tableau2[[#This Row],[Type]]&lt;&gt;"SuperEthanol E85","",IF(Tableau2[[#This Row],[Coût Plein (€)]]="","",IF(N23&lt;&gt;"",N23+(L24-Tableau2[[#This Row],[Coût Plein (€)]]),L24-Tableau2[[#This Row],[Coût Plein (€)]])))</f>
        <v>76.890920667718092</v>
      </c>
      <c r="O24" s="80" t="s">
        <v>335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9">
        <f>IF(B25="","",A24+1)</f>
        <v>10</v>
      </c>
      <c r="B25" s="48">
        <v>46164</v>
      </c>
      <c r="C25" s="64" t="s">
        <v>100</v>
      </c>
      <c r="D25" s="65">
        <v>11831</v>
      </c>
      <c r="E25" s="65">
        <f>IF(AND(ISNUMBER(D24),Tableau2[[#This Row],[Km compteur]]&lt;&gt;""),Tableau2[[#This Row],[Km compteur]]-D24,"")</f>
        <v>235</v>
      </c>
      <c r="F25" s="66">
        <v>16.25</v>
      </c>
      <c r="G25" s="67">
        <v>0.79800000000000004</v>
      </c>
      <c r="H25" s="78">
        <f>IF(OR(D25="",D24="",I25="",ISTEXT(D24)),"",F25/(D25-D24)*100)</f>
        <v>6.9148936170212769</v>
      </c>
      <c r="I25" s="54">
        <f>IF(F25="","",F25*G25)</f>
        <v>12.967500000000001</v>
      </c>
      <c r="J25" s="55">
        <f>IF(OR(D25="",D24="",F25="",ISTEXT(D24)),"",F25/(D25-D24)*100)</f>
        <v>6.9148936170212769</v>
      </c>
      <c r="K25" s="68">
        <v>2.117</v>
      </c>
      <c r="L25" s="54">
        <f>IF(OR(Tableau2[[#This Row],[Type]]&lt;&gt;"SuperEthanol E85",Tableau2[[#This Row],[Nb. Litres]]="",Tableau2[[#This Row],[Prix S98 jour (€/L)]]=""),"",Tableau2[[#This Row],[Nb. Litres]]/(1+$J$7)*Tableau2[[#This Row],[Prix S98 jour (€/L)]])</f>
        <v>28.44350738448685</v>
      </c>
      <c r="M25" s="6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0.54409630905531348</v>
      </c>
      <c r="N25" s="54">
        <f>IF(Tableau2[[#This Row],[Type]]&lt;&gt;"SuperEthanol E85","",IF(Tableau2[[#This Row],[Coût Plein (€)]]="","",IF(N24&lt;&gt;"",N24+(L25-Tableau2[[#This Row],[Coût Plein (€)]]),L25-Tableau2[[#This Row],[Coût Plein (€)]])))</f>
        <v>92.366928052204941</v>
      </c>
      <c r="O25" s="80" t="s">
        <v>335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5" t="s">
        <v>15</v>
      </c>
      <c r="B27" s="6"/>
      <c r="C27" s="6"/>
      <c r="D27" s="6"/>
      <c r="E27" s="6"/>
      <c r="F27" s="4"/>
      <c r="G27" s="16" t="s">
        <v>19</v>
      </c>
      <c r="H27" s="17"/>
      <c r="I27" s="17"/>
      <c r="J27" s="17"/>
      <c r="K27" s="17"/>
      <c r="L27" s="17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x14ac:dyDescent="0.25">
      <c r="A28" s="7" t="s">
        <v>67</v>
      </c>
      <c r="B28" s="9">
        <f>COUNTIF(C16:C25,"SuperEthanol E85")</f>
        <v>7</v>
      </c>
      <c r="C28" s="9"/>
      <c r="D28" s="9"/>
      <c r="E28" s="9"/>
      <c r="F28" s="4"/>
      <c r="G28" s="18" t="s">
        <v>20</v>
      </c>
      <c r="H28" s="18"/>
      <c r="I28" s="18"/>
      <c r="J28" s="69">
        <f>SUM(L16:L25)</f>
        <v>168.04437805220493</v>
      </c>
      <c r="K28" s="18"/>
      <c r="L28" s="18"/>
      <c r="M28" s="8" t="s">
        <v>21</v>
      </c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10" t="s">
        <v>66</v>
      </c>
      <c r="B29" s="21">
        <f>COUNTIF(C16:C25,"Super 98")</f>
        <v>3</v>
      </c>
      <c r="C29" s="11"/>
      <c r="D29" s="11"/>
      <c r="E29" s="11"/>
      <c r="F29" s="4"/>
      <c r="G29" s="19" t="s">
        <v>22</v>
      </c>
      <c r="H29" s="19"/>
      <c r="I29" s="19"/>
      <c r="J29" s="70">
        <f>IF(J28=0,"",J28-B34)</f>
        <v>92.366928052204941</v>
      </c>
      <c r="K29" s="19"/>
      <c r="L29" s="19"/>
      <c r="M29" s="8" t="s">
        <v>23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7" t="s">
        <v>16</v>
      </c>
      <c r="B30" s="22">
        <f>IF(COUNTA(D16:D25)&lt;2,"",MAX(D16:D25)-MIN(D16:D25))</f>
        <v>2019</v>
      </c>
      <c r="C30" s="12"/>
      <c r="D30" s="12"/>
      <c r="E30" s="12"/>
      <c r="F30" s="4"/>
      <c r="G30" s="20" t="s">
        <v>24</v>
      </c>
      <c r="H30" s="18"/>
      <c r="I30" s="18"/>
      <c r="J30" s="71">
        <f>IF(J29="","",J29-B5)</f>
        <v>-422.17307194779505</v>
      </c>
      <c r="K30" s="18"/>
      <c r="L30" s="18"/>
      <c r="M30" s="8" t="s">
        <v>25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1" t="s">
        <v>182</v>
      </c>
      <c r="B31" s="62">
        <f>IFERROR((LOOKUP(9.99999999999999E+307,Tableau2[Km compteur])-INDEX(Tableau2[Km compteur],1))/(LOOKUP(9.99999999999999E+307,Tableau2[Date])-INDEX(Tableau2[Date],1))*7,"-")</f>
        <v>428.27272727272725</v>
      </c>
      <c r="C31" s="11"/>
      <c r="D31" s="11"/>
      <c r="E31" s="11"/>
      <c r="F31" s="4"/>
      <c r="G31" s="19" t="s">
        <v>26</v>
      </c>
      <c r="H31" s="19"/>
      <c r="I31" s="19"/>
      <c r="J31" s="72">
        <f>IF(OR(B5="",B5=0,J29=""),"",MIN(J29/B5,1))</f>
        <v>0.17951360059899124</v>
      </c>
      <c r="K31" s="19"/>
      <c r="L31" s="19"/>
      <c r="M31" s="4"/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7" t="s">
        <v>183</v>
      </c>
      <c r="B32" s="60">
        <f>IFERROR((LOOKUP(9.99999999999999E+307,Tableau2[Km compteur])-INDEX(Tableau2[Km compteur],1))/(LOOKUP(9.99999999999999E+307,Tableau2[Date])-INDEX(Tableau2[Date],1))*30.4375,"-")</f>
        <v>1862.2215909090908</v>
      </c>
      <c r="C32" s="12"/>
      <c r="D32" s="12"/>
      <c r="E32" s="12"/>
      <c r="F32" s="4"/>
      <c r="G32" s="18" t="s">
        <v>27</v>
      </c>
      <c r="H32" s="18"/>
      <c r="I32" s="18"/>
      <c r="J32" s="18" t="str">
        <f>IF(J30="","",IF(J30&gt;=0,"✅ OUI ! Rentabilisé !","❌ Pas encore... Encore "&amp;TEXT(ABS(J30),"#,##")&amp;" € à économiser"))</f>
        <v>❌ Pas encore... Encore 422,17 € à économiser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10" t="s">
        <v>17</v>
      </c>
      <c r="B33" s="23">
        <f>SUMIF(C16:C25,"SuperEthanol E85",F16:F25)</f>
        <v>96.92</v>
      </c>
      <c r="C33" s="13"/>
      <c r="D33" s="13"/>
      <c r="E33" s="13"/>
      <c r="F33" s="4"/>
      <c r="G33" s="73"/>
      <c r="H33" s="73"/>
      <c r="I33" s="73"/>
      <c r="J33" s="73"/>
      <c r="K33" s="73"/>
      <c r="L33" s="73"/>
      <c r="M33" s="4"/>
    </row>
    <row r="34" spans="1:27" x14ac:dyDescent="0.25">
      <c r="A34" s="7" t="s">
        <v>18</v>
      </c>
      <c r="B34" s="24">
        <f>SUMIF(C16:C25,"SuperEthanol E85",I16:I25)</f>
        <v>75.677449999999993</v>
      </c>
      <c r="C34" s="12"/>
      <c r="D34" s="12"/>
      <c r="E34" s="12"/>
      <c r="F34" s="4"/>
      <c r="G34" s="18" t="s">
        <v>40</v>
      </c>
      <c r="H34" s="18"/>
      <c r="I34" s="18"/>
      <c r="J34" s="75">
        <f>IF(OR(J29="",B30="",B30=0),"",J29/B30*100)</f>
        <v>4.5748849951562631</v>
      </c>
      <c r="K34" s="18"/>
      <c r="L34" s="18"/>
      <c r="M34" s="4"/>
    </row>
    <row r="35" spans="1:27" x14ac:dyDescent="0.25">
      <c r="A35" s="10" t="s">
        <v>60</v>
      </c>
      <c r="B35" s="23">
        <f>IFERROR(AVERAGEIFS(J16:J25,C16:C25,"SuperEthanol E85"),"")</f>
        <v>6.5246189413047393</v>
      </c>
      <c r="C35" s="14"/>
      <c r="D35" s="14"/>
      <c r="E35" s="14"/>
      <c r="F35" s="4"/>
      <c r="G35" s="19" t="s">
        <v>184</v>
      </c>
      <c r="H35" s="19"/>
      <c r="I35" s="19"/>
      <c r="J35" s="74">
        <f>IF(OR(J34="",J34&lt;=0,J30=""),"",IF(J30&gt;=0,0,ROUNDUP(ABS(J30)/J34*100,0)))</f>
        <v>9229</v>
      </c>
      <c r="K35" s="19"/>
      <c r="L35" s="19"/>
      <c r="M35" s="4"/>
    </row>
    <row r="36" spans="1:27" x14ac:dyDescent="0.25">
      <c r="A36" s="7" t="s">
        <v>61</v>
      </c>
      <c r="B36" s="12">
        <f>IFERROR(AVERAGEIFS(J16:J25,C16:C25,"Super 98"),"")</f>
        <v>5.394659991656237</v>
      </c>
      <c r="C36" s="15"/>
      <c r="D36" s="15"/>
      <c r="E36" s="15"/>
      <c r="F36" s="4"/>
      <c r="G36" s="4"/>
      <c r="H36" s="4"/>
      <c r="I36" s="4"/>
      <c r="J36" s="4"/>
      <c r="K36" s="4"/>
      <c r="L36" s="4"/>
    </row>
    <row r="37" spans="1:27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5">
    <cfRule type="expression" dxfId="2" priority="2">
      <formula>AND($C16="SuperEthanol E85",$K16="")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5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5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L14" sqref="L14"/>
    </sheetView>
  </sheetViews>
  <sheetFormatPr baseColWidth="10" defaultColWidth="9" defaultRowHeight="15.75" x14ac:dyDescent="0.25"/>
  <cols>
    <col min="1" max="1" width="3" style="83" customWidth="1"/>
    <col min="2" max="2" width="43.125" style="83" customWidth="1"/>
    <col min="3" max="6" width="16" style="83" customWidth="1"/>
    <col min="7" max="9" width="13" style="83" customWidth="1"/>
    <col min="10" max="16384" width="9" style="83"/>
  </cols>
  <sheetData>
    <row r="1" spans="2:9" ht="8.1" customHeight="1" x14ac:dyDescent="0.25">
      <c r="B1" s="82"/>
      <c r="C1" s="82"/>
      <c r="D1" s="82"/>
      <c r="E1" s="82"/>
      <c r="F1" s="82"/>
      <c r="G1" s="82"/>
    </row>
    <row r="2" spans="2:9" ht="36" customHeight="1" x14ac:dyDescent="0.25">
      <c r="B2" s="131" t="s">
        <v>296</v>
      </c>
      <c r="C2" s="132"/>
      <c r="D2" s="132"/>
      <c r="E2" s="132"/>
      <c r="F2" s="132"/>
      <c r="G2" s="132"/>
    </row>
    <row r="3" spans="2:9" ht="6" customHeight="1" x14ac:dyDescent="0.25">
      <c r="B3" s="84"/>
      <c r="C3" s="84"/>
      <c r="D3" s="84"/>
      <c r="E3" s="84"/>
      <c r="F3" s="84"/>
      <c r="G3" s="84"/>
    </row>
    <row r="4" spans="2:9" ht="27.95" customHeight="1" x14ac:dyDescent="0.25">
      <c r="B4" s="133" t="s">
        <v>316</v>
      </c>
      <c r="C4" s="132"/>
      <c r="D4" s="132"/>
      <c r="E4" s="132"/>
      <c r="F4" s="132"/>
      <c r="G4" s="132"/>
    </row>
    <row r="5" spans="2:9" ht="32.1" customHeight="1" x14ac:dyDescent="0.25">
      <c r="B5" s="85" t="s">
        <v>276</v>
      </c>
      <c r="C5" s="86" t="s">
        <v>297</v>
      </c>
      <c r="D5" s="86" t="s">
        <v>298</v>
      </c>
      <c r="E5" s="86" t="s">
        <v>299</v>
      </c>
      <c r="F5" s="86" t="s">
        <v>300</v>
      </c>
      <c r="G5" s="86" t="s">
        <v>301</v>
      </c>
      <c r="H5" s="86" t="s">
        <v>302</v>
      </c>
      <c r="I5" s="85" t="s">
        <v>303</v>
      </c>
    </row>
    <row r="6" spans="2:9" ht="21.95" customHeight="1" x14ac:dyDescent="0.25">
      <c r="B6" s="88" t="str">
        <f>IF(Notes!$D$3="","",Notes!$D$3)</f>
        <v>Carrefour - Flers</v>
      </c>
      <c r="C6" s="89">
        <f ca="1">IFERROR(AVERAGEIF(GS_Pleins!$G:$G,$B6,GS_Pleins[E85 station]),"")</f>
        <v>0.82350000000000001</v>
      </c>
      <c r="D6" s="89">
        <f ca="1">IFERROR(AVERAGEIF(GS_Pleins!$G:$G,$B6,GS_Pleins[SP98 station]),"")</f>
        <v>2.1349999999999998</v>
      </c>
      <c r="E6" s="89">
        <f ca="1">IFERROR(AVERAGEIF(GS_Pleins!$G:$G,$B6,GS_Pleins[SP95 station]),"")</f>
        <v>2.089</v>
      </c>
      <c r="F6" s="89">
        <f ca="1">IFERROR(AVERAGEIF(GS_Pleins!$G:$G,$B6,GS_Pleins[E10 station]),"")</f>
        <v>2.0390000000000001</v>
      </c>
      <c r="G6" s="89">
        <f ca="1">IFERROR(AVERAGEIF(GS_Pleins!$G:$G,$B6,GS_Pleins[Gazole station]),"")</f>
        <v>2.0990000000000002</v>
      </c>
      <c r="H6" s="89">
        <f ca="1">IFERROR(AVERAGEIF(GS_Pleins!$G:$G,$B6,GS_Pleins[GPLc station]),"")</f>
        <v>0.96899999999999997</v>
      </c>
      <c r="I6" s="90">
        <f>IF(Notes!$D3="","",COUNTIF(GS_Pleins!$G:$G,B6))</f>
        <v>3</v>
      </c>
    </row>
    <row r="7" spans="2:9" ht="21.95" customHeight="1" x14ac:dyDescent="0.25">
      <c r="B7" s="87" t="str">
        <f>IF(Notes!$D$4="","",Notes!$D$4)</f>
        <v>E.Leclerc - Beuvry</v>
      </c>
      <c r="C7" s="89">
        <f ca="1">IFERROR(AVERAGEIF(GS_Pleins!$G:$G,$B7,GS_Pleins[E85 station]),"")</f>
        <v>0.77080000000000004</v>
      </c>
      <c r="D7" s="89">
        <f ca="1">IFERROR(AVERAGEIF(GS_Pleins!$G:$G,$B7,GS_Pleins[SP98 station]),"")</f>
        <v>2.0474999999999999</v>
      </c>
      <c r="E7" s="89" t="str">
        <f ca="1">IFERROR(AVERAGEIF(GS_Pleins!$G:$G,$B7,GS_Pleins[SP95 station]),"")</f>
        <v/>
      </c>
      <c r="F7" s="89" t="str">
        <f ca="1">IFERROR(AVERAGEIF(GS_Pleins!$G:$G,$B7,GS_Pleins[E10 station]),"")</f>
        <v/>
      </c>
      <c r="G7" s="89" t="str">
        <f ca="1">IFERROR(AVERAGEIF(GS_Pleins!$G:$G,$B7,GS_Pleins[Gazole station]),"")</f>
        <v/>
      </c>
      <c r="H7" s="89" t="str">
        <f ca="1">IFERROR(AVERAGEIF(GS_Pleins!$G:$G,$B7,GS_Pleins[GPLc station]),"")</f>
        <v/>
      </c>
      <c r="I7" s="90">
        <f>IF(Notes!$D4="","",COUNTIF(GS_Pleins!$G:$G,B7))</f>
        <v>7</v>
      </c>
    </row>
    <row r="8" spans="2:9" ht="21.95" customHeight="1" x14ac:dyDescent="0.25">
      <c r="B8" s="88" t="str">
        <f>IF(Notes!$D$5="","",Notes!$D$5)</f>
        <v>Leclerc - Douai</v>
      </c>
      <c r="C8" s="89">
        <f ca="1">IFERROR(AVERAGEIF(GS_Pleins!$G:$G,$B8,GS_Pleins[E85 station]),"")</f>
        <v>0.80900000000000005</v>
      </c>
      <c r="D8" s="89">
        <f ca="1">IFERROR(AVERAGEIF(GS_Pleins!$G:$G,$B8,GS_Pleins[SP98 station]),"")</f>
        <v>2.0790000000000002</v>
      </c>
      <c r="E8" s="89" t="str">
        <f ca="1">IFERROR(AVERAGEIF(GS_Pleins!$G:$G,$B8,GS_Pleins[SP95 station]),"")</f>
        <v/>
      </c>
      <c r="F8" s="89" t="str">
        <f ca="1">IFERROR(AVERAGEIF(GS_Pleins!$G:$G,$B8,GS_Pleins[E10 station]),"")</f>
        <v/>
      </c>
      <c r="G8" s="89" t="str">
        <f ca="1">IFERROR(AVERAGEIF(GS_Pleins!$G:$G,$B8,GS_Pleins[Gazole station]),"")</f>
        <v/>
      </c>
      <c r="H8" s="89" t="str">
        <f ca="1">IFERROR(AVERAGEIF(GS_Pleins!$G:$G,$B8,GS_Pleins[GPLc station]),"")</f>
        <v/>
      </c>
      <c r="I8" s="90">
        <f>IF(Notes!$D5="","",COUNTIF(GS_Pleins!$G:$G,B8))</f>
        <v>1</v>
      </c>
    </row>
    <row r="9" spans="2:9" ht="21.95" customHeight="1" x14ac:dyDescent="0.25">
      <c r="B9" s="87" t="str">
        <f>IF(Notes!$D$6="","",Notes!$D$6)</f>
        <v>Total Access</v>
      </c>
      <c r="C9" s="89" t="str">
        <f ca="1">IFERROR(AVERAGEIF(GS_Pleins!$G:$G,$B9,GS_Pleins[E85 station]),"")</f>
        <v/>
      </c>
      <c r="D9" s="89" t="str">
        <f ca="1">IFERROR(AVERAGEIF(GS_Pleins!$G:$G,$B9,GS_Pleins[SP98 station]),"")</f>
        <v/>
      </c>
      <c r="E9" s="89" t="str">
        <f ca="1">IFERROR(AVERAGEIF(GS_Pleins!$G:$G,$B9,GS_Pleins[SP95 station]),"")</f>
        <v/>
      </c>
      <c r="F9" s="89" t="str">
        <f ca="1">IFERROR(AVERAGEIF(GS_Pleins!$G:$G,$B9,GS_Pleins[E10 station]),"")</f>
        <v/>
      </c>
      <c r="G9" s="89" t="str">
        <f ca="1">IFERROR(AVERAGEIF(GS_Pleins!$G:$G,$B9,GS_Pleins[Gazole station]),"")</f>
        <v/>
      </c>
      <c r="H9" s="89" t="str">
        <f ca="1">IFERROR(AVERAGEIF(GS_Pleins!$G:$G,$B9,GS_Pleins[GPLc station]),"")</f>
        <v/>
      </c>
      <c r="I9" s="90">
        <f>IF(Notes!$D6="","",COUNTIF(GS_Pleins!$G:$G,B9))</f>
        <v>0</v>
      </c>
    </row>
    <row r="10" spans="2:9" ht="21.95" customHeight="1" x14ac:dyDescent="0.25">
      <c r="B10" s="88" t="str">
        <f>IF(Notes!$D$7="","",Notes!$D$7)</f>
        <v>Total - Waziers</v>
      </c>
      <c r="C10" s="89" t="str">
        <f ca="1">IFERROR(AVERAGEIF(GS_Pleins!$G:$G,$B10,GS_Pleins[E85 station]),"")</f>
        <v/>
      </c>
      <c r="D10" s="89" t="str">
        <f ca="1">IFERROR(AVERAGEIF(GS_Pleins!$G:$G,$B10,GS_Pleins[SP98 station]),"")</f>
        <v/>
      </c>
      <c r="E10" s="89" t="str">
        <f ca="1">IFERROR(AVERAGEIF(GS_Pleins!$G:$G,$B10,GS_Pleins[SP95 station]),"")</f>
        <v/>
      </c>
      <c r="F10" s="89" t="str">
        <f ca="1">IFERROR(AVERAGEIF(GS_Pleins!$G:$G,$B10,GS_Pleins[E10 station]),"")</f>
        <v/>
      </c>
      <c r="G10" s="89" t="str">
        <f ca="1">IFERROR(AVERAGEIF(GS_Pleins!$G:$G,$B10,GS_Pleins[Gazole station]),"")</f>
        <v/>
      </c>
      <c r="H10" s="89" t="str">
        <f ca="1">IFERROR(AVERAGEIF(GS_Pleins!$G:$G,$B10,GS_Pleins[GPLc station]),"")</f>
        <v/>
      </c>
      <c r="I10" s="90">
        <f>IF(Notes!$D7="","",COUNTIF(GS_Pleins!$G:$G,B10))</f>
        <v>0</v>
      </c>
    </row>
    <row r="11" spans="2:9" ht="21.95" customHeight="1" x14ac:dyDescent="0.25">
      <c r="B11" s="87" t="str">
        <f>IF(Notes!$D$8="","",Notes!$D$8)</f>
        <v/>
      </c>
      <c r="C11" s="89" t="str">
        <f ca="1">IFERROR(AVERAGEIF(GS_Pleins!$G:$G,$B11,GS_Pleins[E85 station]),"")</f>
        <v/>
      </c>
      <c r="D11" s="89" t="str">
        <f ca="1">IFERROR(AVERAGEIF(GS_Pleins!$G:$G,$B11,GS_Pleins[SP98 station]),"")</f>
        <v/>
      </c>
      <c r="E11" s="89" t="str">
        <f ca="1">IFERROR(AVERAGEIF(GS_Pleins!$G:$G,$B11,GS_Pleins[SP95 station]),"")</f>
        <v/>
      </c>
      <c r="F11" s="89" t="str">
        <f ca="1">IFERROR(AVERAGEIF(GS_Pleins!$G:$G,$B11,GS_Pleins[E10 station]),"")</f>
        <v/>
      </c>
      <c r="G11" s="89" t="str">
        <f ca="1">IFERROR(AVERAGEIF(GS_Pleins!$G:$G,$B11,GS_Pleins[Gazole station]),"")</f>
        <v/>
      </c>
      <c r="H11" s="89" t="str">
        <f ca="1">IFERROR(AVERAGEIF(GS_Pleins!$G:$G,$B11,GS_Pleins[GPLc station]),"")</f>
        <v/>
      </c>
      <c r="I11" s="90" t="str">
        <f>IF(Notes!$D8="","",COUNTIF(GS_Pleins!$G:$G,B11))</f>
        <v/>
      </c>
    </row>
    <row r="12" spans="2:9" ht="21.95" customHeight="1" x14ac:dyDescent="0.25">
      <c r="B12" s="88" t="str">
        <f>IF(Notes!$D$9="","",Notes!$D$9)</f>
        <v/>
      </c>
      <c r="C12" s="89" t="str">
        <f ca="1">IFERROR(AVERAGEIF(GS_Pleins!$G:$G,$B12,GS_Pleins[E85 station]),"")</f>
        <v/>
      </c>
      <c r="D12" s="89" t="str">
        <f ca="1">IFERROR(AVERAGEIF(GS_Pleins!$G:$G,$B12,GS_Pleins[SP98 station]),"")</f>
        <v/>
      </c>
      <c r="E12" s="89" t="str">
        <f ca="1">IFERROR(AVERAGEIF(GS_Pleins!$G:$G,$B12,GS_Pleins[SP95 station]),"")</f>
        <v/>
      </c>
      <c r="F12" s="89" t="str">
        <f ca="1">IFERROR(AVERAGEIF(GS_Pleins!$G:$G,$B12,GS_Pleins[E10 station]),"")</f>
        <v/>
      </c>
      <c r="G12" s="89" t="str">
        <f ca="1">IFERROR(AVERAGEIF(GS_Pleins!$G:$G,$B12,GS_Pleins[Gazole station]),"")</f>
        <v/>
      </c>
      <c r="H12" s="89" t="str">
        <f ca="1">IFERROR(AVERAGEIF(GS_Pleins!$G:$G,$B12,GS_Pleins[GPLc station]),"")</f>
        <v/>
      </c>
      <c r="I12" s="90" t="str">
        <f>IF(Notes!$D9="","",COUNTIF(GS_Pleins!$G:$G,B12))</f>
        <v/>
      </c>
    </row>
    <row r="13" spans="2:9" ht="21.95" customHeight="1" x14ac:dyDescent="0.25">
      <c r="B13" s="87" t="str">
        <f>IF(Notes!$D$10="","",Notes!$D$10)</f>
        <v/>
      </c>
      <c r="C13" s="89" t="str">
        <f ca="1">IFERROR(AVERAGEIF(GS_Pleins!$G:$G,$B13,GS_Pleins[E85 station]),"")</f>
        <v/>
      </c>
      <c r="D13" s="89" t="str">
        <f ca="1">IFERROR(AVERAGEIF(GS_Pleins!$G:$G,$B13,GS_Pleins[SP98 station]),"")</f>
        <v/>
      </c>
      <c r="E13" s="89" t="str">
        <f ca="1">IFERROR(AVERAGEIF(GS_Pleins!$G:$G,$B13,GS_Pleins[SP95 station]),"")</f>
        <v/>
      </c>
      <c r="F13" s="89" t="str">
        <f ca="1">IFERROR(AVERAGEIF(GS_Pleins!$G:$G,$B13,GS_Pleins[E10 station]),"")</f>
        <v/>
      </c>
      <c r="G13" s="89" t="str">
        <f ca="1">IFERROR(AVERAGEIF(GS_Pleins!$G:$G,$B13,GS_Pleins[Gazole station]),"")</f>
        <v/>
      </c>
      <c r="H13" s="89" t="str">
        <f ca="1">IFERROR(AVERAGEIF(GS_Pleins!$G:$G,$B13,GS_Pleins[GPLc station]),"")</f>
        <v/>
      </c>
      <c r="I13" s="90" t="str">
        <f>IF(Notes!$D10="","",COUNTIF(GS_Pleins!$G:$G,B13))</f>
        <v/>
      </c>
    </row>
    <row r="14" spans="2:9" ht="21.95" customHeight="1" x14ac:dyDescent="0.25">
      <c r="B14" s="88" t="str">
        <f>IF(Notes!$D$11="","",Notes!$D$11)</f>
        <v/>
      </c>
      <c r="C14" s="89" t="str">
        <f ca="1">IFERROR(AVERAGEIF(GS_Pleins!$G:$G,$B14,GS_Pleins[E85 station]),"")</f>
        <v/>
      </c>
      <c r="D14" s="89" t="str">
        <f ca="1">IFERROR(AVERAGEIF(GS_Pleins!$G:$G,$B14,GS_Pleins[SP98 station]),"")</f>
        <v/>
      </c>
      <c r="E14" s="89" t="str">
        <f ca="1">IFERROR(AVERAGEIF(GS_Pleins!$G:$G,$B14,GS_Pleins[SP95 station]),"")</f>
        <v/>
      </c>
      <c r="F14" s="89" t="str">
        <f ca="1">IFERROR(AVERAGEIF(GS_Pleins!$G:$G,$B14,GS_Pleins[E10 station]),"")</f>
        <v/>
      </c>
      <c r="G14" s="89" t="str">
        <f ca="1">IFERROR(AVERAGEIF(GS_Pleins!$G:$G,$B14,GS_Pleins[Gazole station]),"")</f>
        <v/>
      </c>
      <c r="H14" s="89" t="str">
        <f ca="1">IFERROR(AVERAGEIF(GS_Pleins!$G:$G,$B14,GS_Pleins[GPLc station]),"")</f>
        <v/>
      </c>
      <c r="I14" s="90" t="str">
        <f>IF(Notes!$D11="","",COUNTIF(GS_Pleins!$G:$G,B14))</f>
        <v/>
      </c>
    </row>
    <row r="15" spans="2:9" ht="21.95" customHeight="1" x14ac:dyDescent="0.25">
      <c r="B15" s="87" t="str">
        <f>IF(Notes!$D$12="","",Notes!$D$12)</f>
        <v/>
      </c>
      <c r="C15" s="89" t="str">
        <f ca="1">IFERROR(AVERAGEIF(GS_Pleins!$G:$G,$B15,GS_Pleins[E85 station]),"")</f>
        <v/>
      </c>
      <c r="D15" s="89" t="str">
        <f ca="1">IFERROR(AVERAGEIF(GS_Pleins!$G:$G,$B15,GS_Pleins[SP98 station]),"")</f>
        <v/>
      </c>
      <c r="E15" s="89" t="str">
        <f ca="1">IFERROR(AVERAGEIF(GS_Pleins!$G:$G,$B15,GS_Pleins[SP95 station]),"")</f>
        <v/>
      </c>
      <c r="F15" s="89" t="str">
        <f ca="1">IFERROR(AVERAGEIF(GS_Pleins!$G:$G,$B15,GS_Pleins[E10 station]),"")</f>
        <v/>
      </c>
      <c r="G15" s="89" t="str">
        <f ca="1">IFERROR(AVERAGEIF(GS_Pleins!$G:$G,$B15,GS_Pleins[Gazole station]),"")</f>
        <v/>
      </c>
      <c r="H15" s="89" t="str">
        <f ca="1">IFERROR(AVERAGEIF(GS_Pleins!$G:$G,$B15,GS_Pleins[GPLc station]),"")</f>
        <v/>
      </c>
      <c r="I15" s="90" t="str">
        <f>IF(Notes!$D12="","",COUNTIF(GS_Pleins!$G:$G,B15))</f>
        <v/>
      </c>
    </row>
    <row r="16" spans="2:9" ht="21.95" customHeight="1" x14ac:dyDescent="0.25">
      <c r="B16" s="88" t="str">
        <f>IF(Notes!$D$13="","",Notes!$D$13)</f>
        <v/>
      </c>
      <c r="C16" s="89" t="str">
        <f ca="1">IFERROR(AVERAGEIF(GS_Pleins!$G:$G,$B16,GS_Pleins[E85 station]),"")</f>
        <v/>
      </c>
      <c r="D16" s="89" t="str">
        <f ca="1">IFERROR(AVERAGEIF(GS_Pleins!$G:$G,$B16,GS_Pleins[SP98 station]),"")</f>
        <v/>
      </c>
      <c r="E16" s="89" t="str">
        <f ca="1">IFERROR(AVERAGEIF(GS_Pleins!$G:$G,$B16,GS_Pleins[SP95 station]),"")</f>
        <v/>
      </c>
      <c r="F16" s="89" t="str">
        <f ca="1">IFERROR(AVERAGEIF(GS_Pleins!$G:$G,$B16,GS_Pleins[E10 station]),"")</f>
        <v/>
      </c>
      <c r="G16" s="89" t="str">
        <f ca="1">IFERROR(AVERAGEIF(GS_Pleins!$G:$G,$B16,GS_Pleins[Gazole station]),"")</f>
        <v/>
      </c>
      <c r="H16" s="89" t="str">
        <f ca="1">IFERROR(AVERAGEIF(GS_Pleins!$G:$G,$B16,GS_Pleins[GPLc station]),"")</f>
        <v/>
      </c>
      <c r="I16" s="90" t="str">
        <f>IF(Notes!$D13="","",COUNTIF(GS_Pleins!$G:$G,B16))</f>
        <v/>
      </c>
    </row>
    <row r="17" spans="2:9" ht="26.1" customHeight="1" x14ac:dyDescent="0.25">
      <c r="B17" s="91" t="s">
        <v>277</v>
      </c>
      <c r="C17" s="92" t="str">
        <f>IFERROR(AVERAGEIF(#REF!,"&gt;"&amp;0),"")</f>
        <v/>
      </c>
      <c r="D17" s="92" t="str">
        <f>IFERROR(AVERAGEIF(#REF!,"&gt;"&amp;0),"")</f>
        <v/>
      </c>
      <c r="E17" s="92" t="str">
        <f>IFERROR(AVERAGEIF(#REF!,"&gt;"&amp;0),"")</f>
        <v/>
      </c>
      <c r="F17" s="92" t="str">
        <f>IFERROR(AVERAGEIF(#REF!,"&gt;"&amp;0),"")</f>
        <v/>
      </c>
      <c r="G17" s="92" t="str">
        <f>IFERROR(AVERAGEIF(#REF!,"&gt;"&amp;0),"")</f>
        <v/>
      </c>
      <c r="H17" s="92" t="str">
        <f>IFERROR(AVERAGEIF(#REF!,"&gt;"&amp;0),"")</f>
        <v/>
      </c>
      <c r="I17" s="93"/>
    </row>
    <row r="18" spans="2:9" ht="6.75" customHeight="1" x14ac:dyDescent="0.25"/>
    <row r="19" spans="2:9" ht="20.100000000000001" customHeight="1" x14ac:dyDescent="0.25">
      <c r="B19" s="134" t="s">
        <v>304</v>
      </c>
      <c r="C19" s="135"/>
      <c r="D19" s="135"/>
      <c r="E19" s="135"/>
      <c r="F19" s="135"/>
      <c r="G19" s="135"/>
    </row>
    <row r="20" spans="2:9" ht="18" customHeight="1" x14ac:dyDescent="0.25">
      <c r="B20" s="134"/>
      <c r="C20" s="135"/>
      <c r="D20" s="135"/>
      <c r="E20" s="135"/>
      <c r="F20" s="135"/>
      <c r="G20" s="135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topLeftCell="A9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6" t="s">
        <v>362</v>
      </c>
    </row>
    <row r="3" spans="1:3" x14ac:dyDescent="0.25">
      <c r="A3" s="117" t="s">
        <v>363</v>
      </c>
    </row>
    <row r="4" spans="1:3" x14ac:dyDescent="0.25">
      <c r="A4" s="118" t="s">
        <v>1</v>
      </c>
      <c r="B4" s="118" t="s">
        <v>361</v>
      </c>
      <c r="C4" s="118" t="s">
        <v>276</v>
      </c>
    </row>
    <row r="5" spans="1:3" x14ac:dyDescent="0.25">
      <c r="A5" s="119">
        <v>46146</v>
      </c>
      <c r="B5" s="120">
        <v>0.80900000000000005</v>
      </c>
      <c r="C5" t="s">
        <v>335</v>
      </c>
    </row>
    <row r="6" spans="1:3" x14ac:dyDescent="0.25">
      <c r="A6" s="119">
        <v>46148</v>
      </c>
      <c r="B6" s="120">
        <v>0.747</v>
      </c>
      <c r="C6" t="s">
        <v>335</v>
      </c>
    </row>
    <row r="7" spans="1:3" x14ac:dyDescent="0.25">
      <c r="A7" s="119">
        <v>46151</v>
      </c>
      <c r="B7" s="120">
        <v>0.75700000000000001</v>
      </c>
      <c r="C7" t="s">
        <v>335</v>
      </c>
    </row>
    <row r="8" spans="1:3" x14ac:dyDescent="0.25">
      <c r="A8" s="119">
        <v>46154</v>
      </c>
      <c r="B8" s="120">
        <v>0.83499999999999996</v>
      </c>
      <c r="C8" t="s">
        <v>335</v>
      </c>
    </row>
    <row r="9" spans="1:3" x14ac:dyDescent="0.25">
      <c r="A9" s="119">
        <v>46157</v>
      </c>
      <c r="B9" s="120">
        <v>0.71699999999999997</v>
      </c>
      <c r="C9" t="s">
        <v>335</v>
      </c>
    </row>
    <row r="10" spans="1:3" x14ac:dyDescent="0.25">
      <c r="A10" s="119">
        <v>46161</v>
      </c>
      <c r="B10" s="120">
        <v>0.79800000000000004</v>
      </c>
      <c r="C10" t="s">
        <v>335</v>
      </c>
    </row>
    <row r="11" spans="1:3" x14ac:dyDescent="0.25">
      <c r="A11" s="119">
        <v>46164.083333333336</v>
      </c>
      <c r="B11" s="120">
        <v>0.79800000000000004</v>
      </c>
      <c r="C11" t="s">
        <v>335</v>
      </c>
    </row>
    <row r="43" spans="1:3" x14ac:dyDescent="0.25">
      <c r="A43" s="121" t="s">
        <v>364</v>
      </c>
    </row>
    <row r="44" spans="1:3" x14ac:dyDescent="0.25">
      <c r="A44" s="122" t="s">
        <v>1</v>
      </c>
      <c r="B44" s="122" t="s">
        <v>365</v>
      </c>
      <c r="C44" s="122" t="s">
        <v>308</v>
      </c>
    </row>
    <row r="45" spans="1:3" x14ac:dyDescent="0.25">
      <c r="A45" s="119">
        <v>46135</v>
      </c>
      <c r="B45" s="123">
        <v>5.4</v>
      </c>
      <c r="C45" t="s">
        <v>315</v>
      </c>
    </row>
    <row r="46" spans="1:3" x14ac:dyDescent="0.25">
      <c r="A46" s="119">
        <v>46140</v>
      </c>
      <c r="B46" s="123">
        <v>5.39</v>
      </c>
      <c r="C46" t="s">
        <v>315</v>
      </c>
    </row>
    <row r="47" spans="1:3" x14ac:dyDescent="0.25">
      <c r="A47" s="119">
        <v>46146</v>
      </c>
      <c r="B47" s="123">
        <v>5.62</v>
      </c>
      <c r="C47" t="s">
        <v>315</v>
      </c>
    </row>
    <row r="48" spans="1:3" x14ac:dyDescent="0.25">
      <c r="A48" s="119">
        <v>46148</v>
      </c>
      <c r="B48" s="123">
        <v>5.97</v>
      </c>
      <c r="C48" t="s">
        <v>315</v>
      </c>
    </row>
    <row r="49" spans="1:3" x14ac:dyDescent="0.25">
      <c r="A49" s="119">
        <v>46151</v>
      </c>
      <c r="B49" s="123">
        <v>6.76</v>
      </c>
      <c r="C49" t="s">
        <v>315</v>
      </c>
    </row>
    <row r="50" spans="1:3" x14ac:dyDescent="0.25">
      <c r="A50" s="119">
        <v>46154</v>
      </c>
      <c r="B50" s="123">
        <v>7.04</v>
      </c>
      <c r="C50" t="s">
        <v>315</v>
      </c>
    </row>
    <row r="51" spans="1:3" x14ac:dyDescent="0.25">
      <c r="A51" s="119">
        <v>46157</v>
      </c>
      <c r="B51" s="123">
        <v>6.59</v>
      </c>
      <c r="C51" t="s">
        <v>315</v>
      </c>
    </row>
    <row r="52" spans="1:3" x14ac:dyDescent="0.25">
      <c r="A52" s="119">
        <v>46161</v>
      </c>
      <c r="B52" s="123">
        <v>6.77</v>
      </c>
      <c r="C52" t="s">
        <v>315</v>
      </c>
    </row>
    <row r="53" spans="1:3" x14ac:dyDescent="0.25">
      <c r="A53" s="119">
        <v>46164.083333333336</v>
      </c>
      <c r="B53" s="123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D43" sqref="D43"/>
    </sheetView>
  </sheetViews>
  <sheetFormatPr baseColWidth="10" defaultColWidth="14" defaultRowHeight="15.75" x14ac:dyDescent="0.25"/>
  <cols>
    <col min="1" max="1" width="3.25" style="81" customWidth="1"/>
    <col min="2" max="2" width="19.375" style="81" customWidth="1"/>
    <col min="3" max="3" width="1.125" style="81" customWidth="1"/>
    <col min="4" max="4" width="45.125" style="81" customWidth="1"/>
    <col min="5" max="16384" width="14" style="81"/>
  </cols>
  <sheetData>
    <row r="1" spans="2:4" ht="9.75" customHeight="1" x14ac:dyDescent="0.25"/>
    <row r="2" spans="2:4" x14ac:dyDescent="0.25">
      <c r="B2" s="81" t="s">
        <v>272</v>
      </c>
      <c r="D2" s="81" t="s">
        <v>275</v>
      </c>
    </row>
    <row r="3" spans="2:4" x14ac:dyDescent="0.25">
      <c r="B3" s="81" t="s">
        <v>274</v>
      </c>
      <c r="D3" s="81" t="s">
        <v>345</v>
      </c>
    </row>
    <row r="4" spans="2:4" x14ac:dyDescent="0.25">
      <c r="B4" s="81" t="s">
        <v>273</v>
      </c>
      <c r="D4" s="81" t="s">
        <v>335</v>
      </c>
    </row>
    <row r="5" spans="2:4" x14ac:dyDescent="0.25">
      <c r="B5" s="81" t="s">
        <v>81</v>
      </c>
      <c r="D5" s="81" t="s">
        <v>346</v>
      </c>
    </row>
    <row r="6" spans="2:4" x14ac:dyDescent="0.25">
      <c r="B6" s="81" t="s">
        <v>100</v>
      </c>
      <c r="D6" s="81" t="s">
        <v>295</v>
      </c>
    </row>
    <row r="7" spans="2:4" x14ac:dyDescent="0.25">
      <c r="D7" s="81" t="s">
        <v>369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Claude Log</vt:lpstr>
      <vt:lpstr>Tableau de bord</vt:lpstr>
      <vt:lpstr>GS_Pleins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2026-05-29T00:34:37Z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