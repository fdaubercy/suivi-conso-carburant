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e85\excel\"/>
    </mc:Choice>
  </mc:AlternateContent>
  <xr:revisionPtr revIDLastSave="0" documentId="13_ncr:1_{6C413D69-1488-4E43-97A3-C8DF99DA21B4}" xr6:coauthVersionLast="47" xr6:coauthVersionMax="47" xr10:uidLastSave="{00000000-0000-0000-0000-000000000000}"/>
  <bookViews>
    <workbookView xWindow="-120" yWindow="-120" windowWidth="24240" windowHeight="13020" firstSheet="1" activeTab="3" xr2:uid="{51658058-8315-A640-B733-1DFC39D6EEC8}"/>
  </bookViews>
  <sheets>
    <sheet name="Claude Log" sheetId="3" state="hidden" r:id="rId1"/>
    <sheet name="Tableau de bord" sheetId="10" r:id="rId2"/>
    <sheet name="GS_Pleins" sheetId="8" state="hidden" r:id="rId3"/>
    <sheet name="Suivi (auto)" sheetId="11" r:id="rId4"/>
    <sheet name="_ImportGS" sheetId="9" state="veryHidden" r:id="rId5"/>
    <sheet name="Suivi Carburant" sheetId="2" r:id="rId6"/>
    <sheet name="Prix par Station" sheetId="7" r:id="rId7"/>
    <sheet name="Graphiques" sheetId="4" r:id="rId8"/>
    <sheet name="Notes" sheetId="6" state="hidden" r:id="rId9"/>
  </sheets>
  <functionGroups builtInGroupCount="19"/>
  <externalReferences>
    <externalReference r:id="rId10"/>
  </externalReferences>
  <definedNames>
    <definedName name="DonnéesExternes_1" localSheetId="2" hidden="1">GS_Pleins!$A$1:$N$12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5" i="11" l="1"/>
  <c r="I15" i="11"/>
  <c r="H15" i="11"/>
  <c r="G15" i="11"/>
  <c r="F15" i="11"/>
  <c r="E15" i="11"/>
  <c r="D15" i="11"/>
  <c r="C15" i="11"/>
  <c r="B15" i="11"/>
  <c r="A15" i="11"/>
  <c r="J14" i="11"/>
  <c r="I14" i="11"/>
  <c r="H14" i="11"/>
  <c r="G14" i="11"/>
  <c r="F14" i="11"/>
  <c r="E14" i="11"/>
  <c r="D14" i="11"/>
  <c r="C14" i="11"/>
  <c r="B14" i="11"/>
  <c r="A14" i="11"/>
  <c r="J13" i="11"/>
  <c r="I13" i="11"/>
  <c r="H13" i="11"/>
  <c r="G13" i="11"/>
  <c r="F13" i="11"/>
  <c r="E13" i="11"/>
  <c r="D13" i="11"/>
  <c r="C13" i="11"/>
  <c r="B13" i="11"/>
  <c r="A13" i="11"/>
  <c r="J12" i="11"/>
  <c r="I12" i="11"/>
  <c r="H12" i="11"/>
  <c r="G12" i="11"/>
  <c r="F12" i="11"/>
  <c r="E12" i="11"/>
  <c r="D12" i="11"/>
  <c r="C12" i="11"/>
  <c r="B12" i="11"/>
  <c r="A12" i="11"/>
  <c r="J11" i="11"/>
  <c r="I11" i="11"/>
  <c r="H11" i="11"/>
  <c r="G11" i="11"/>
  <c r="F11" i="11"/>
  <c r="E11" i="11"/>
  <c r="D11" i="11"/>
  <c r="C11" i="11"/>
  <c r="B11" i="11"/>
  <c r="A11" i="11"/>
  <c r="J10" i="11"/>
  <c r="I10" i="11"/>
  <c r="H10" i="11"/>
  <c r="G10" i="11"/>
  <c r="F10" i="11"/>
  <c r="E10" i="11"/>
  <c r="D10" i="11"/>
  <c r="C10" i="11"/>
  <c r="B10" i="11"/>
  <c r="A10" i="11"/>
  <c r="J9" i="11"/>
  <c r="I9" i="11"/>
  <c r="H9" i="11"/>
  <c r="G9" i="11"/>
  <c r="F9" i="11"/>
  <c r="E9" i="11"/>
  <c r="D9" i="11"/>
  <c r="C9" i="11"/>
  <c r="B9" i="11"/>
  <c r="A9" i="11"/>
  <c r="J8" i="11"/>
  <c r="I8" i="11"/>
  <c r="H8" i="11"/>
  <c r="G8" i="11"/>
  <c r="F8" i="11"/>
  <c r="E8" i="11"/>
  <c r="D8" i="11"/>
  <c r="C8" i="11"/>
  <c r="B8" i="11"/>
  <c r="A8" i="11"/>
  <c r="J7" i="11"/>
  <c r="I7" i="11"/>
  <c r="H7" i="11"/>
  <c r="G7" i="11"/>
  <c r="F7" i="11"/>
  <c r="E7" i="11"/>
  <c r="D7" i="11"/>
  <c r="C7" i="11"/>
  <c r="B7" i="11"/>
  <c r="A7" i="11"/>
  <c r="J6" i="11"/>
  <c r="I6" i="11"/>
  <c r="H6" i="11"/>
  <c r="G6" i="11"/>
  <c r="F6" i="11"/>
  <c r="E6" i="11"/>
  <c r="D6" i="11"/>
  <c r="C6" i="11"/>
  <c r="B6" i="11"/>
  <c r="A6" i="11"/>
  <c r="J5" i="11"/>
  <c r="I5" i="11"/>
  <c r="H5" i="11"/>
  <c r="G5" i="11"/>
  <c r="F5" i="11"/>
  <c r="D5" i="11"/>
  <c r="C5" i="11"/>
  <c r="B5" i="11"/>
  <c r="A5" i="11"/>
  <c r="B10" i="2"/>
  <c r="B11" i="2" s="1"/>
  <c r="C8" i="7"/>
  <c r="D8" i="7"/>
  <c r="E8" i="7"/>
  <c r="F8" i="7"/>
  <c r="G8" i="7"/>
  <c r="H8" i="7"/>
  <c r="C9" i="7"/>
  <c r="D9" i="7"/>
  <c r="E9" i="7"/>
  <c r="F9" i="7"/>
  <c r="G9" i="7"/>
  <c r="H9" i="7"/>
  <c r="C10" i="7"/>
  <c r="D10" i="7"/>
  <c r="E10" i="7"/>
  <c r="F10" i="7"/>
  <c r="G10" i="7"/>
  <c r="H10" i="7"/>
  <c r="C11" i="7"/>
  <c r="D11" i="7"/>
  <c r="E11" i="7"/>
  <c r="F11" i="7"/>
  <c r="G11" i="7"/>
  <c r="H11" i="7"/>
  <c r="C12" i="7"/>
  <c r="D12" i="7"/>
  <c r="E12" i="7"/>
  <c r="F12" i="7"/>
  <c r="G12" i="7"/>
  <c r="H12" i="7"/>
  <c r="C13" i="7"/>
  <c r="D13" i="7"/>
  <c r="E13" i="7"/>
  <c r="F13" i="7"/>
  <c r="G13" i="7"/>
  <c r="H13" i="7"/>
  <c r="C14" i="7"/>
  <c r="D14" i="7"/>
  <c r="E14" i="7"/>
  <c r="F14" i="7"/>
  <c r="G14" i="7"/>
  <c r="H14" i="7"/>
  <c r="C15" i="7"/>
  <c r="D15" i="7"/>
  <c r="E15" i="7"/>
  <c r="F15" i="7"/>
  <c r="G15" i="7"/>
  <c r="H15" i="7"/>
  <c r="C16" i="7"/>
  <c r="D16" i="7"/>
  <c r="E16" i="7"/>
  <c r="F16" i="7"/>
  <c r="G16" i="7"/>
  <c r="H16" i="7"/>
  <c r="C7" i="7"/>
  <c r="D7" i="7"/>
  <c r="E7" i="7"/>
  <c r="F7" i="7"/>
  <c r="G7" i="7"/>
  <c r="H7" i="7"/>
  <c r="H6" i="7"/>
  <c r="G6" i="7"/>
  <c r="F6" i="7"/>
  <c r="E6" i="7"/>
  <c r="D6" i="7"/>
  <c r="C6" i="7"/>
  <c r="H21" i="8"/>
  <c r="N26" i="2"/>
  <c r="J26" i="2"/>
  <c r="H26" i="2"/>
  <c r="E26" i="2"/>
  <c r="A26" i="2"/>
  <c r="B30" i="2"/>
  <c r="B34" i="2"/>
  <c r="B29" i="2"/>
  <c r="B31" i="2"/>
  <c r="I26" i="2"/>
  <c r="B14" i="10"/>
  <c r="B13" i="10"/>
  <c r="B12" i="10"/>
  <c r="B11" i="10"/>
  <c r="B10" i="10"/>
  <c r="B9" i="10"/>
  <c r="B8" i="10"/>
  <c r="B7" i="10"/>
  <c r="B6" i="10"/>
  <c r="B5" i="10"/>
  <c r="I13" i="7"/>
  <c r="I14" i="7"/>
  <c r="I15" i="7"/>
  <c r="I16" i="7"/>
  <c r="D17" i="7"/>
  <c r="E17" i="7"/>
  <c r="F17" i="7"/>
  <c r="G17" i="7"/>
  <c r="H17" i="7"/>
  <c r="C17" i="7"/>
  <c r="E25" i="2" l="1"/>
  <c r="I25" i="2"/>
  <c r="H25" i="2" s="1"/>
  <c r="J25" i="2"/>
  <c r="B16" i="7" l="1"/>
  <c r="B15" i="7"/>
  <c r="B14" i="7"/>
  <c r="B13" i="7"/>
  <c r="B12" i="7"/>
  <c r="I12" i="7" s="1"/>
  <c r="B11" i="7"/>
  <c r="B10" i="7"/>
  <c r="B9" i="7"/>
  <c r="B8" i="7"/>
  <c r="B7" i="7"/>
  <c r="B6" i="7"/>
  <c r="E24" i="2"/>
  <c r="I24" i="2"/>
  <c r="H24" i="2" s="1"/>
  <c r="J24" i="2"/>
  <c r="N16" i="2"/>
  <c r="N17" i="2"/>
  <c r="N18" i="2"/>
  <c r="E16" i="2"/>
  <c r="E17" i="2"/>
  <c r="E18" i="2"/>
  <c r="E19" i="2"/>
  <c r="E20" i="2"/>
  <c r="E21" i="2"/>
  <c r="E22" i="2"/>
  <c r="E23" i="2"/>
  <c r="J16" i="2"/>
  <c r="J17" i="2"/>
  <c r="J18" i="2"/>
  <c r="J19" i="2"/>
  <c r="J20" i="2"/>
  <c r="J21" i="2"/>
  <c r="J22" i="2"/>
  <c r="J23" i="2"/>
  <c r="A17" i="2"/>
  <c r="A18" i="2" s="1"/>
  <c r="A19" i="2" s="1"/>
  <c r="A20" i="2" s="1"/>
  <c r="A21" i="2" s="1"/>
  <c r="A22" i="2" s="1"/>
  <c r="A23" i="2" s="1"/>
  <c r="A24" i="2" s="1"/>
  <c r="A25" i="2" s="1"/>
  <c r="I22" i="2"/>
  <c r="H22" i="2" s="1"/>
  <c r="B33" i="2"/>
  <c r="B32" i="2"/>
  <c r="S16" i="2"/>
  <c r="M17" i="2"/>
  <c r="M18" i="2"/>
  <c r="K17" i="2"/>
  <c r="I17" i="2"/>
  <c r="H17" i="2" s="1"/>
  <c r="B37" i="2" l="1"/>
  <c r="B36" i="2"/>
  <c r="I11" i="7"/>
  <c r="I8" i="7"/>
  <c r="I7" i="7"/>
  <c r="I9" i="7"/>
  <c r="I6" i="7"/>
  <c r="I10" i="7"/>
  <c r="J5" i="2"/>
  <c r="J6" i="2" a="1"/>
  <c r="J6" i="2" s="1"/>
  <c r="B6" i="2"/>
  <c r="J7" i="2" s="1"/>
  <c r="L26" i="2" s="1"/>
  <c r="M26" i="2" s="1"/>
  <c r="L17" i="2"/>
  <c r="B7" i="2" a="1"/>
  <c r="B7" i="2" s="1"/>
  <c r="L19" i="2" l="1"/>
  <c r="L25" i="2"/>
  <c r="M25" i="2" s="1"/>
  <c r="L23" i="2"/>
  <c r="L24" i="2"/>
  <c r="M24" i="2" s="1"/>
  <c r="L20" i="2"/>
  <c r="L21" i="2"/>
  <c r="L22" i="2"/>
  <c r="M22" i="2" s="1"/>
  <c r="K16" i="2"/>
  <c r="K18" i="2"/>
  <c r="I18" i="2"/>
  <c r="H18" i="2" s="1"/>
  <c r="I19" i="2"/>
  <c r="I20" i="2"/>
  <c r="H20" i="2" s="1"/>
  <c r="I21" i="2"/>
  <c r="H21" i="2" s="1"/>
  <c r="I23" i="2"/>
  <c r="H23" i="2" s="1"/>
  <c r="I16" i="2"/>
  <c r="H16" i="2" s="1"/>
  <c r="B35" i="2" l="1"/>
  <c r="L18" i="2"/>
  <c r="L16" i="2"/>
  <c r="J29" i="2" s="1"/>
  <c r="H19" i="2"/>
  <c r="N19" i="2"/>
  <c r="M19" i="2"/>
  <c r="M23" i="2"/>
  <c r="M20" i="2"/>
  <c r="M21" i="2"/>
  <c r="N20" i="2" l="1"/>
  <c r="N21" i="2" s="1"/>
  <c r="N22" i="2" s="1"/>
  <c r="N23" i="2" s="1"/>
  <c r="N24" i="2" s="1"/>
  <c r="N25" i="2" s="1"/>
  <c r="J30" i="2" l="1"/>
  <c r="J31" i="2" s="1"/>
  <c r="Q21" i="2" a="1"/>
  <c r="Q21" i="2" s="1"/>
  <c r="S21" i="2" s="1"/>
  <c r="Q32" i="2" a="1"/>
  <c r="Q32" i="2" s="1"/>
  <c r="R18" i="2" a="1"/>
  <c r="R18" i="2" s="1"/>
  <c r="R19" i="2" a="1"/>
  <c r="R19" i="2" s="1"/>
  <c r="R24" i="2" a="1"/>
  <c r="R24" i="2" s="1"/>
  <c r="Q27" i="2" a="1"/>
  <c r="Q27" i="2" s="1"/>
  <c r="S27" i="2" s="1"/>
  <c r="Q25" i="2" a="1"/>
  <c r="Q25" i="2" s="1"/>
  <c r="S25" i="2" s="1"/>
  <c r="R22" i="2" a="1"/>
  <c r="R22" i="2" s="1"/>
  <c r="Q18" i="2" a="1"/>
  <c r="Q18" i="2" s="1"/>
  <c r="S18" i="2" s="1"/>
  <c r="Q24" i="2" a="1"/>
  <c r="Q24" i="2" s="1"/>
  <c r="S24" i="2" s="1"/>
  <c r="R23" i="2" a="1"/>
  <c r="R23" i="2" s="1"/>
  <c r="P31" i="2" a="1"/>
  <c r="P31" i="2" s="1"/>
  <c r="R31" i="2" s="1"/>
  <c r="R25" i="2" a="1"/>
  <c r="R25" i="2" s="1"/>
  <c r="Q20" i="2" a="1"/>
  <c r="Q20" i="2" s="1"/>
  <c r="S20" i="2" s="1"/>
  <c r="R20" i="2" a="1"/>
  <c r="R20" i="2" s="1"/>
  <c r="Q22" i="2" a="1"/>
  <c r="Q22" i="2" s="1"/>
  <c r="S22" i="2" s="1"/>
  <c r="Q28" i="2" a="1"/>
  <c r="Q28" i="2" s="1"/>
  <c r="S28" i="2" s="1"/>
  <c r="R26" i="2" a="1"/>
  <c r="R26" i="2" s="1"/>
  <c r="Q26" i="2" a="1"/>
  <c r="Q26" i="2" s="1"/>
  <c r="S26" i="2" s="1"/>
  <c r="R27" i="2" a="1"/>
  <c r="R27" i="2" s="1"/>
  <c r="R21" i="2" a="1"/>
  <c r="R21" i="2" s="1"/>
  <c r="Q17" i="2" a="1"/>
  <c r="Q17" i="2" s="1"/>
  <c r="S17" i="2" s="1"/>
  <c r="Q30" i="2" a="1"/>
  <c r="Q30" i="2" s="1"/>
  <c r="S30" i="2" s="1"/>
  <c r="R28" i="2" a="1"/>
  <c r="R28" i="2" s="1"/>
  <c r="Q31" i="2" a="1"/>
  <c r="Q31" i="2" s="1"/>
  <c r="Q23" i="2" a="1"/>
  <c r="Q23" i="2" s="1"/>
  <c r="S23" i="2" s="1"/>
  <c r="R29" i="2" a="1"/>
  <c r="R29" i="2" s="1"/>
  <c r="R30" i="2" a="1"/>
  <c r="R30" i="2" s="1"/>
  <c r="Q19" i="2" a="1"/>
  <c r="Q19" i="2" s="1"/>
  <c r="S19" i="2" s="1"/>
  <c r="Q29" i="2" a="1"/>
  <c r="Q29" i="2" s="1"/>
  <c r="S29" i="2" s="1"/>
  <c r="R17" i="2" a="1"/>
  <c r="R17" i="2" s="1"/>
  <c r="P32" i="2" a="1"/>
  <c r="P32" i="2" s="1"/>
  <c r="R32" i="2" s="1"/>
  <c r="J35" i="2"/>
  <c r="J32" i="2" l="1"/>
  <c r="J36" i="2"/>
  <c r="J33" i="2"/>
  <c r="J12" i="2" l="1"/>
  <c r="B12" i="2" a="1"/>
  <c r="B12" i="2" s="1"/>
  <c r="J11" i="2" l="1"/>
  <c r="J1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background="1" saveData="1">
    <dbPr connection="Provider=Microsoft.Mashup.OleDb.1;Data Source=$Workbook$;Location=GS_Pleins;Extended Properties=&quot;&quot;" command="SELECT * FROM [GS_Plei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<sst xmlns="http://schemas.openxmlformats.org/spreadsheetml/2006/main" count="517" uniqueCount="374">
  <si>
    <t>Turn #</t>
  </si>
  <si>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</si>
  <si>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</si>
  <si>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</si>
  <si>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</si>
  <si>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</si>
  <si>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</si>
  <si>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</si>
  <si>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</si>
  <si>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</si>
  <si>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</si>
  <si>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</si>
  <si>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</si>
  <si>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</si>
  <si>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</si>
  <si>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</si>
  <si>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</si>
  <si>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</si>
  <si>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</si>
  <si>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</si>
  <si>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</si>
  <si>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</si>
  <si>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</si>
  <si>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</si>
  <si>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</si>
  <si>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</si>
  <si>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</si>
  <si>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</si>
  <si>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</si>
  <si>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</si>
  <si>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</si>
  <si>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</si>
  <si>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</si>
  <si>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</si>
  <si>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</si>
  <si>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</si>
  <si>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</si>
  <si>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</si>
  <si>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</si>
  <si>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</si>
  <si>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</si>
  <si>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</si>
  <si>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</si>
  <si>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</si>
  <si>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</si>
  <si>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</si>
  <si>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</si>
  <si>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</si>
  <si>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</si>
  <si>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</si>
  <si>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</si>
  <si>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</si>
  <si>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</si>
  <si>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</si>
  <si>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</si>
  <si>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</si>
  <si>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</si>
  <si>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</si>
  <si>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</si>
  <si>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</si>
  <si>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</si>
  <si>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</si>
  <si>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</si>
  <si>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</si>
  <si>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</si>
  <si>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</si>
  <si>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</si>
  <si>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</si>
  <si>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</si>
  <si>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</si>
  <si>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</si>
  <si>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</si>
  <si>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</si>
  <si>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</si>
  <si>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</si>
  <si>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</si>
  <si>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</si>
  <si>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</si>
  <si>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</si>
  <si>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</si>
  <si>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</si>
  <si>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</si>
  <si>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</si>
  <si>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</si>
  <si>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</si>
  <si>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</si>
  <si>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</si>
  <si>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</si>
  <si>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</si>
  <si>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</si>
  <si>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</si>
  <si>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</si>
  <si>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</si>
  <si>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</si>
  <si>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</si>
  <si>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</si>
  <si>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</si>
  <si>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</si>
  <si>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</si>
  <si>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</si>
  <si>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</si>
  <si>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</si>
  <si>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</si>
  <si>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</si>
  <si>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</si>
  <si>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</si>
  <si>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</si>
  <si>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</si>
  <si>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</si>
  <si>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</si>
  <si>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</si>
  <si>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</si>
  <si>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</si>
  <si>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</si>
  <si>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</si>
  <si>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</si>
  <si>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</si>
  <si>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</si>
  <si>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</si>
  <si>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</si>
  <si>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</si>
  <si>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</si>
  <si>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</si>
  <si>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</si>
  <si>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</si>
  <si>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</si>
  <si>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</si>
  <si>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</si>
  <si>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</si>
  <si>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</si>
  <si>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</si>
  <si>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</si>
  <si>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</si>
  <si>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</si>
  <si>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</si>
  <si>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</si>
  <si>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</si>
  <si>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</si>
  <si>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</si>
  <si>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</si>
  <si>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</si>
  <si>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</si>
  <si>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</si>
  <si>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</si>
  <si>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</si>
  <si>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</si>
  <si>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</si>
  <si>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</si>
  <si>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</si>
  <si>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</si>
  <si>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</si>
  <si>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</si>
  <si>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</si>
  <si>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</si>
  <si>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</si>
  <si>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</si>
  <si>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</si>
  <si>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</si>
  <si>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</si>
  <si>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</si>
  <si>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</si>
  <si>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</si>
  <si>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</si>
  <si>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</si>
  <si>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</si>
  <si>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</si>
  <si>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</si>
  <si>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</si>
  <si>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</si>
  <si>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</si>
  <si>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</si>
  <si>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</si>
  <si>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</si>
  <si>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</si>
  <si>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</si>
  <si>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</si>
  <si>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</si>
  <si>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</si>
  <si>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</si>
  <si>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</si>
  <si>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</si>
  <si>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</si>
  <si>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</si>
  <si>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</si>
  <si>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</si>
  <si>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</si>
  <si>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</si>
  <si>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</si>
  <si>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</si>
  <si>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</si>
  <si>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</si>
  <si>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</si>
  <si>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</si>
  <si>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</si>
  <si>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</si>
  <si>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</si>
  <si>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</si>
  <si>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</si>
  <si>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</si>
  <si>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</si>
  <si>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</si>
  <si>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</si>
  <si>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</si>
  <si>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</si>
  <si>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</si>
  <si>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</si>
  <si>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</si>
  <si>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</si>
  <si>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</si>
  <si>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</si>
  <si>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</si>
  <si>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</si>
  <si>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</si>
  <si>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</si>
  <si>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</si>
  <si>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</si>
  <si>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</si>
  <si>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</si>
  <si>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</si>
  <si>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</si>
  <si>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</si>
  <si>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</si>
  <si>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</si>
  <si>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</si>
  <si>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</si>
  <si>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</si>
  <si>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</si>
  <si>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</si>
  <si>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</si>
  <si>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</si>
  <si>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</si>
  <si>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</si>
  <si>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</si>
  <si>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</si>
  <si>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</si>
  <si>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</si>
  <si>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</si>
  <si>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</si>
  <si>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</si>
  <si>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</si>
  <si>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</si>
  <si>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</si>
  <si>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</si>
  <si>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</si>
  <si>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</si>
  <si>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</si>
  <si>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</si>
  <si>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</si>
  <si>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</si>
  <si>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</si>
  <si>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</si>
  <si>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</si>
  <si>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</si>
  <si>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</si>
  <si>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</si>
  <si>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</si>
  <si>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</si>
  <si>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</si>
  <si>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</si>
  <si>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</si>
  <si>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</si>
  <si>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</si>
  <si>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</si>
  <si>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</si>
  <si>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</si>
  <si>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</si>
  <si>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</si>
  <si>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</si>
  <si>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</si>
  <si>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</si>
  <si>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</si>
  <si>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</si>
  <si>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</si>
  <si>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</si>
  <si>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</si>
  <si>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</si>
  <si>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Station</t>
  </si>
  <si>
    <t>MOYENNE GLOBALE (tous pleins)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</si>
  <si>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</si>
  <si>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</si>
  <si>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</si>
  <si>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</si>
  <si>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</si>
  <si>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</si>
  <si>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</si>
  <si>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</si>
  <si>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</si>
  <si>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</si>
  <si>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</si>
  <si>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</si>
  <si>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</si>
  <si>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</si>
  <si>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</si>
  <si>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</si>
  <si>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</si>
  <si>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Total Access</t>
  </si>
  <si>
    <t>⛽  PRIX MOYENS PAR STATION ET PAR CARBURANT</t>
  </si>
  <si>
    <t>E85 (€/L)</t>
  </si>
  <si>
    <t>SP98 (€/L)</t>
  </si>
  <si>
    <t>SP95 (€/L)</t>
  </si>
  <si>
    <t>E10 (€/L)</t>
  </si>
  <si>
    <t>Gazole (€/L)</t>
  </si>
  <si>
    <t>GPLc (€/L)</t>
  </si>
  <si>
    <t>Nb. relevés</t>
  </si>
  <si>
    <t>ℹ️  Les prix station sont relevés automatiquement via API data.economie.gouv.fr lors de la sélection d'une station. Ils reflètent le prix affiché ce jour-là, indépendamment du carburant acheté.</t>
  </si>
  <si>
    <t>Km</t>
  </si>
  <si>
    <t>Litres</t>
  </si>
  <si>
    <t>PrixL</t>
  </si>
  <si>
    <t>Vehicule</t>
  </si>
  <si>
    <t>E85 station</t>
  </si>
  <si>
    <t>SP98 station</t>
  </si>
  <si>
    <t>SP95 station</t>
  </si>
  <si>
    <t>E10 station</t>
  </si>
  <si>
    <t>Gazole station</t>
  </si>
  <si>
    <t>GPLc station</t>
  </si>
  <si>
    <t>Z900</t>
  </si>
  <si>
    <t>Moyennes calculées à partir des prix relevés par le formulaire web lors de chaque plein  ·  Source : GS_Pleins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</si>
  <si>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</si>
  <si>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</si>
  <si>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</si>
  <si>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</si>
  <si>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</si>
  <si>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</si>
  <si>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</si>
  <si>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Colonne1</t>
  </si>
  <si>
    <t>Colonne2</t>
  </si>
  <si>
    <t>Colonne3</t>
  </si>
  <si>
    <t>Colonne4</t>
  </si>
  <si>
    <t>Colonne5</t>
  </si>
  <si>
    <t>Colonne6</t>
  </si>
  <si>
    <t>Colonne7</t>
  </si>
  <si>
    <t>Colonne8</t>
  </si>
  <si>
    <t>Colonne9</t>
  </si>
  <si>
    <t>sync_id</t>
  </si>
  <si>
    <t>20260524230440-220130-738942</t>
  </si>
  <si>
    <t>E.Leclerc - Beuvry</t>
  </si>
  <si>
    <t>20260525005403-976268-440009</t>
  </si>
  <si>
    <t>20260525005403-755971-447704</t>
  </si>
  <si>
    <t>20260525005403-840918-564077</t>
  </si>
  <si>
    <t>20260525005403-930414-652157</t>
  </si>
  <si>
    <t>20260525005403-798193-070427</t>
  </si>
  <si>
    <t>20260525005403-545886-209305</t>
  </si>
  <si>
    <t>20260525005403-806283-271986</t>
  </si>
  <si>
    <t>20260525005403-477753-868050</t>
  </si>
  <si>
    <t>20260525005403-396348-981529</t>
  </si>
  <si>
    <t>Carrefour - Flers</t>
  </si>
  <si>
    <t>Leclerc - Douai</t>
  </si>
  <si>
    <t>⛽ TABLEAU DE BORD</t>
  </si>
  <si>
    <t>Mise a jour automatique a chaque modification des donnees</t>
  </si>
  <si>
    <t>INDICATEUR</t>
  </si>
  <si>
    <t>VALEUR</t>
  </si>
  <si>
    <t>Consommation moyenne</t>
  </si>
  <si>
    <t>Cout au km</t>
  </si>
  <si>
    <t>Total depense YTD</t>
  </si>
  <si>
    <t>Nombre de pleins YTD</t>
  </si>
  <si>
    <t>% pleins E85</t>
  </si>
  <si>
    <t>Economies estimees E85 vs SP98</t>
  </si>
  <si>
    <t>Prix moyen E85 (30 derniers jours)</t>
  </si>
  <si>
    <t>Date dernier plein</t>
  </si>
  <si>
    <t>Litres totaux cumules</t>
  </si>
  <si>
    <t>Km parcourus</t>
  </si>
  <si>
    <t>Prix E85 (€/L)</t>
  </si>
  <si>
    <t>⎖ Graphiques - Suivi E85</t>
  </si>
  <si>
    <t>⎣ X7 - Evolution du prix E85 par date</t>
  </si>
  <si>
    <t>⎣ X8 - Consommation L/100 km dans le temps</t>
  </si>
  <si>
    <t>L/100 km</t>
  </si>
  <si>
    <t>Modifie_local</t>
  </si>
  <si>
    <t>01d49fba-6089-40ff-a8f8-15a07bd385d6</t>
  </si>
  <si>
    <t>Photo ticket</t>
  </si>
  <si>
    <t>Total - Waziers</t>
  </si>
  <si>
    <t>⚙ Suivi (auto) - vue derivee de GS_Pleins</t>
  </si>
  <si>
    <t>Genere par formules - ne pas saisir ici. Source unique : onglet GS_Pleins.</t>
  </si>
  <si>
    <t>Nb km</t>
  </si>
  <si>
    <t>Cout plein (€)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</si>
</sst>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\ &quot;€/L&quot;"/>
    <numFmt numFmtId="180" formatCode="0.00&quot; L/100km&quot;"/>
    <numFmt numFmtId="181" formatCode="0&quot; €&quot;"/>
    <numFmt numFmtId="182" formatCode="0&quot; € cumules&quot;"/>
    <numFmt numFmtId="183" formatCode="0.000&quot; €/L&quot;"/>
    <numFmt numFmtId="184" formatCode="0&quot; L&quot;"/>
    <numFmt numFmtId="185" formatCode="0.000"/>
    <numFmt numFmtId="186" formatCode="dd/mm/yyyy"/>
  </numFmts>
  <fonts count="33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1B3A5C"/>
      <name val="Arial"/>
      <family val="2"/>
    </font>
    <font>
      <b/>
      <sz val="10"/>
      <color rgb="FFFFFFFF"/>
      <name val="Arial"/>
      <family val="2"/>
    </font>
    <font>
      <b/>
      <sz val="9"/>
      <color rgb="FF333F4F"/>
      <name val="Arial"/>
      <family val="2"/>
    </font>
    <font>
      <sz val="9"/>
      <color rgb="FF333F4F"/>
      <name val="Arial"/>
      <family val="2"/>
    </font>
    <font>
      <b/>
      <sz val="9"/>
      <color rgb="FFFFFFFF"/>
      <name val="Arial"/>
      <family val="2"/>
    </font>
    <font>
      <b/>
      <sz val="9"/>
      <color rgb="FF1B3A5C"/>
      <name val="Arial"/>
      <family val="2"/>
    </font>
    <font>
      <i/>
      <sz val="10"/>
      <color rgb="FF6B7280"/>
      <name val="Calibri"/>
      <family val="2"/>
      <scheme val="minor"/>
    </font>
    <font>
      <sz val="11"/>
      <color rgb="FF6B7280"/>
      <name val="Calibri"/>
      <family val="2"/>
      <scheme val="minor"/>
    </font>
    <font>
      <b/>
      <sz val="13"/>
      <color rgb="FF1B3A5C"/>
      <name val="Calibri"/>
      <family val="2"/>
      <scheme val="minor"/>
    </font>
    <font>
      <b/>
      <sz val="14"/>
      <color rgb="FF1B3A5C"/>
      <name val="Calibri"/>
      <family val="2"/>
      <scheme val="minor"/>
    </font>
    <font>
      <b/>
      <sz val="12"/>
      <color rgb="FF2E75B6"/>
      <name val="Calibri"/>
      <family val="2"/>
      <scheme val="minor"/>
    </font>
    <font>
      <b/>
      <sz val="12"/>
      <color rgb="FF1D9E75"/>
      <name val="Calibri"/>
      <family val="2"/>
      <scheme val="minor"/>
    </font>
    <font>
      <i/>
      <sz val="12"/>
      <color rgb="FF969696"/>
      <name val="Calibri"/>
      <family val="2"/>
      <scheme val="minor"/>
    </font>
    <font>
      <b/>
      <sz val="14"/>
      <color rgb="FFFFFFFF"/>
      <name val="Calibri"/>
      <family val="2"/>
      <scheme val="minor"/>
    </font>
    <font>
      <i/>
      <sz val="9"/>
      <color rgb="FF7D7D7D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3A5C"/>
      </patternFill>
    </fill>
    <fill>
      <patternFill patternType="solid">
        <fgColor rgb="FFF0A500"/>
      </patternFill>
    </fill>
    <fill>
      <patternFill patternType="solid">
        <fgColor rgb="FFEBF3FB"/>
      </patternFill>
    </fill>
    <fill>
      <patternFill patternType="solid">
        <fgColor rgb="FF2E75B6"/>
      </patternFill>
    </fill>
    <fill>
      <patternFill patternType="solid">
        <fgColor rgb="FFFFFFFF"/>
      </patternFill>
    </fill>
    <fill>
      <patternFill patternType="solid">
        <fgColor rgb="FFF2F7FB"/>
      </patternFill>
    </fill>
    <fill>
      <patternFill patternType="solid">
        <fgColor rgb="FFDBEAFE"/>
        <bgColor indexed="64"/>
      </patternFill>
    </fill>
    <fill>
      <patternFill patternType="solid">
        <fgColor rgb="FFD1FAE5"/>
        <bgColor indexed="64"/>
      </patternFill>
    </fill>
    <fill>
      <patternFill patternType="solid">
        <fgColor rgb="FF1B495C"/>
        <bgColor indexed="64"/>
      </patternFill>
    </fill>
  </fills>
  <borders count="13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 style="thin">
        <color rgb="FFB8CCE4"/>
      </left>
      <right/>
      <top/>
      <bottom/>
      <diagonal/>
    </border>
    <border>
      <left/>
      <right/>
      <top style="thin">
        <color rgb="FFE2E8F0"/>
      </top>
      <bottom style="thin">
        <color rgb="FFE2E8F0"/>
      </bottom>
      <diagonal/>
    </border>
    <border>
      <left/>
      <right/>
      <top style="thin">
        <color rgb="FFE2E8F0"/>
      </top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6" fillId="0" borderId="0"/>
  </cellStyleXfs>
  <cellXfs count="145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left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5" borderId="4" xfId="0" applyFont="1" applyFill="1" applyBorder="1" applyAlignment="1" applyProtection="1">
      <alignment horizontal="center" vertical="center"/>
    </xf>
    <xf numFmtId="14" fontId="14" fillId="5" borderId="5" xfId="0" applyNumberFormat="1" applyFont="1" applyFill="1" applyBorder="1" applyAlignment="1" applyProtection="1">
      <alignment horizontal="center" vertical="center"/>
      <protection locked="0"/>
    </xf>
    <xf numFmtId="49" fontId="14" fillId="5" borderId="5" xfId="0" applyNumberFormat="1" applyFont="1" applyFill="1" applyBorder="1" applyAlignment="1" applyProtection="1">
      <alignment horizontal="center" vertical="center"/>
      <protection locked="0"/>
    </xf>
    <xf numFmtId="170" fontId="14" fillId="5" borderId="5" xfId="0" applyNumberFormat="1" applyFont="1" applyFill="1" applyBorder="1" applyAlignment="1" applyProtection="1">
      <alignment horizontal="center" vertical="center"/>
      <protection locked="0"/>
    </xf>
    <xf numFmtId="167" fontId="14" fillId="5" borderId="5" xfId="0" applyNumberFormat="1" applyFont="1" applyFill="1" applyBorder="1" applyAlignment="1" applyProtection="1">
      <alignment horizontal="center" vertical="center"/>
      <protection locked="0"/>
    </xf>
    <xf numFmtId="168" fontId="14" fillId="5" borderId="5" xfId="0" applyNumberFormat="1" applyFont="1" applyFill="1" applyBorder="1" applyAlignment="1" applyProtection="1">
      <alignment horizontal="center" vertical="center"/>
      <protection locked="0"/>
    </xf>
    <xf numFmtId="171" fontId="14" fillId="5" borderId="5" xfId="0" applyNumberFormat="1" applyFont="1" applyFill="1" applyBorder="1" applyAlignment="1" applyProtection="1">
      <alignment horizontal="center" vertical="center"/>
    </xf>
    <xf numFmtId="164" fontId="14" fillId="5" borderId="5" xfId="0" applyNumberFormat="1" applyFont="1" applyFill="1" applyBorder="1" applyAlignment="1" applyProtection="1">
      <alignment horizontal="center" vertical="center"/>
    </xf>
    <xf numFmtId="2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  <protection locked="0"/>
    </xf>
    <xf numFmtId="9" fontId="14" fillId="5" borderId="6" xfId="2" applyFont="1" applyFill="1" applyBorder="1" applyAlignment="1" applyProtection="1">
      <alignment horizontal="center" vertical="center"/>
    </xf>
    <xf numFmtId="164" fontId="14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4" fillId="5" borderId="6" xfId="2" applyNumberFormat="1" applyFont="1" applyFill="1" applyBorder="1" applyAlignment="1" applyProtection="1">
      <alignment horizontal="center" vertical="center"/>
    </xf>
    <xf numFmtId="49" fontId="14" fillId="5" borderId="5" xfId="0" applyNumberFormat="1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</xf>
    <xf numFmtId="167" fontId="14" fillId="5" borderId="5" xfId="0" applyNumberFormat="1" applyFont="1" applyFill="1" applyBorder="1" applyAlignment="1" applyProtection="1">
      <alignment horizontal="center" vertical="center"/>
    </xf>
    <xf numFmtId="168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4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4" fillId="5" borderId="0" xfId="0" applyNumberFormat="1" applyFont="1" applyFill="1" applyBorder="1" applyAlignment="1" applyProtection="1">
      <alignment horizontal="center" vertical="center"/>
    </xf>
    <xf numFmtId="0" fontId="14" fillId="5" borderId="4" xfId="0" applyNumberFormat="1" applyFont="1" applyFill="1" applyBorder="1" applyAlignment="1" applyProtection="1">
      <alignment horizontal="center" vertical="center"/>
    </xf>
    <xf numFmtId="49" fontId="14" fillId="5" borderId="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6" fillId="14" borderId="0" xfId="3" applyFill="1"/>
    <xf numFmtId="0" fontId="16" fillId="0" borderId="0" xfId="3"/>
    <xf numFmtId="0" fontId="16" fillId="15" borderId="0" xfId="3" applyFill="1"/>
    <xf numFmtId="0" fontId="19" fillId="14" borderId="8" xfId="3" applyFont="1" applyFill="1" applyBorder="1" applyAlignment="1">
      <alignment horizontal="center" vertical="center" wrapText="1"/>
    </xf>
    <xf numFmtId="0" fontId="19" fillId="17" borderId="8" xfId="3" applyFont="1" applyFill="1" applyBorder="1" applyAlignment="1">
      <alignment horizontal="center" vertical="center" wrapText="1"/>
    </xf>
    <xf numFmtId="0" fontId="20" fillId="18" borderId="8" xfId="3" applyFont="1" applyFill="1" applyBorder="1" applyAlignment="1">
      <alignment horizontal="left" vertical="center" indent="1"/>
    </xf>
    <xf numFmtId="0" fontId="20" fillId="19" borderId="8" xfId="3" applyFont="1" applyFill="1" applyBorder="1" applyAlignment="1">
      <alignment horizontal="left" vertical="center" indent="1"/>
    </xf>
    <xf numFmtId="179" fontId="21" fillId="19" borderId="8" xfId="3" applyNumberFormat="1" applyFont="1" applyFill="1" applyBorder="1" applyAlignment="1">
      <alignment horizontal="center" vertical="center"/>
    </xf>
    <xf numFmtId="0" fontId="20" fillId="19" borderId="8" xfId="3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left" vertical="center" indent="1"/>
    </xf>
    <xf numFmtId="179" fontId="22" fillId="14" borderId="8" xfId="3" applyNumberFormat="1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178" fontId="0" fillId="0" borderId="0" xfId="0" applyNumberFormat="1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25" fillId="0" borderId="0" xfId="0" applyFont="1" applyBorder="1" applyAlignment="1">
      <alignment horizontal="left" indent="1"/>
    </xf>
    <xf numFmtId="180" fontId="26" fillId="0" borderId="0" xfId="0" applyNumberFormat="1" applyFont="1" applyBorder="1" applyAlignment="1">
      <alignment horizontal="right"/>
    </xf>
    <xf numFmtId="0" fontId="25" fillId="0" borderId="10" xfId="0" applyFont="1" applyBorder="1" applyAlignment="1">
      <alignment horizontal="left" indent="1"/>
    </xf>
    <xf numFmtId="0" fontId="25" fillId="0" borderId="11" xfId="0" applyFont="1" applyBorder="1" applyAlignment="1">
      <alignment horizontal="left" indent="1"/>
    </xf>
    <xf numFmtId="174" fontId="26" fillId="0" borderId="11" xfId="0" applyNumberFormat="1" applyFont="1" applyBorder="1" applyAlignment="1">
      <alignment horizontal="right"/>
    </xf>
    <xf numFmtId="181" fontId="26" fillId="0" borderId="11" xfId="0" applyNumberFormat="1" applyFont="1" applyBorder="1" applyAlignment="1">
      <alignment horizontal="right"/>
    </xf>
    <xf numFmtId="1" fontId="26" fillId="0" borderId="11" xfId="0" applyNumberFormat="1" applyFont="1" applyBorder="1" applyAlignment="1">
      <alignment horizontal="right"/>
    </xf>
    <xf numFmtId="9" fontId="26" fillId="0" borderId="11" xfId="0" applyNumberFormat="1" applyFont="1" applyBorder="1" applyAlignment="1">
      <alignment horizontal="right"/>
    </xf>
    <xf numFmtId="182" fontId="26" fillId="0" borderId="11" xfId="0" applyNumberFormat="1" applyFont="1" applyBorder="1" applyAlignment="1">
      <alignment horizontal="right"/>
    </xf>
    <xf numFmtId="183" fontId="26" fillId="0" borderId="11" xfId="0" applyNumberFormat="1" applyFont="1" applyBorder="1" applyAlignment="1">
      <alignment horizontal="right"/>
    </xf>
    <xf numFmtId="22" fontId="26" fillId="0" borderId="11" xfId="0" applyNumberFormat="1" applyFont="1" applyBorder="1" applyAlignment="1">
      <alignment horizontal="right"/>
    </xf>
    <xf numFmtId="184" fontId="26" fillId="0" borderId="11" xfId="0" applyNumberFormat="1" applyFont="1" applyBorder="1" applyAlignment="1">
      <alignment horizontal="right"/>
    </xf>
    <xf numFmtId="175" fontId="26" fillId="0" borderId="10" xfId="0" applyNumberFormat="1" applyFont="1" applyBorder="1" applyAlignment="1">
      <alignment horizontal="right"/>
    </xf>
    <xf numFmtId="0" fontId="27" fillId="0" borderId="0" xfId="0" applyFont="1"/>
    <xf numFmtId="0" fontId="28" fillId="0" borderId="0" xfId="0" applyFont="1"/>
    <xf numFmtId="0" fontId="2" fillId="20" borderId="0" xfId="0" applyFont="1" applyFill="1"/>
    <xf numFmtId="14" fontId="0" fillId="0" borderId="0" xfId="0" applyNumberFormat="1"/>
    <xf numFmtId="185" fontId="0" fillId="0" borderId="0" xfId="0" applyNumberFormat="1"/>
    <xf numFmtId="0" fontId="29" fillId="0" borderId="0" xfId="0" applyFont="1"/>
    <xf numFmtId="0" fontId="2" fillId="21" borderId="0" xfId="0" applyFont="1" applyFill="1"/>
    <xf numFmtId="2" fontId="0" fillId="0" borderId="0" xfId="0" applyNumberFormat="1"/>
    <xf numFmtId="178" fontId="30" fillId="0" borderId="0" xfId="0" applyNumberFormat="1" applyFont="1" applyAlignment="1">
      <alignment horizontal="center" vertical="center"/>
    </xf>
    <xf numFmtId="178" fontId="0" fillId="0" borderId="0" xfId="0" applyNumberFormat="1" applyAlignment="1">
      <alignment horizontal="center"/>
    </xf>
    <xf numFmtId="0" fontId="7" fillId="11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4" fillId="0" borderId="0" xfId="0" applyFont="1" applyAlignment="1">
      <alignment horizontal="center"/>
    </xf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0" fontId="17" fillId="14" borderId="0" xfId="3" applyFont="1" applyFill="1" applyAlignment="1">
      <alignment horizontal="center" vertical="center"/>
    </xf>
    <xf numFmtId="0" fontId="16" fillId="0" borderId="0" xfId="3"/>
    <xf numFmtId="0" fontId="18" fillId="16" borderId="8" xfId="3" applyFont="1" applyFill="1" applyBorder="1" applyAlignment="1">
      <alignment horizontal="left" vertical="center" wrapText="1" indent="1"/>
    </xf>
    <xf numFmtId="0" fontId="23" fillId="16" borderId="9" xfId="3" applyFont="1" applyFill="1" applyBorder="1" applyAlignment="1">
      <alignment horizontal="left" vertical="center" wrapText="1"/>
    </xf>
    <xf numFmtId="0" fontId="23" fillId="16" borderId="0" xfId="3" applyFont="1" applyFill="1" applyBorder="1" applyAlignment="1">
      <alignment horizontal="left" vertical="center" wrapText="1"/>
    </xf>
    <xf numFmtId="186" fontId="0" fillId="0" borderId="0" xfId="0" applyNumberFormat="1" applyAlignment="1">
      <alignment horizontal="center" vertical="center"/>
    </xf>
    <xf numFmtId="0" fontId="31" fillId="22" borderId="0" xfId="0" applyFont="1" applyFill="1"/>
    <xf numFmtId="0" fontId="32" fillId="0" borderId="0" xfId="0" applyFont="1"/>
    <xf numFmtId="0" fontId="1" fillId="3" borderId="12" xfId="0" applyFont="1" applyFill="1" applyBorder="1" applyAlignment="1">
      <alignment horizontal="center"/>
    </xf>
    <xf numFmtId="186" fontId="0" fillId="0" borderId="12" xfId="0" applyNumberFormat="1" applyBorder="1"/>
    <xf numFmtId="0" fontId="0" fillId="0" borderId="12" xfId="0" applyBorder="1"/>
    <xf numFmtId="3" fontId="0" fillId="0" borderId="12" xfId="0" applyNumberFormat="1" applyBorder="1"/>
    <xf numFmtId="2" fontId="0" fillId="0" borderId="12" xfId="0" applyNumberFormat="1" applyBorder="1"/>
    <xf numFmtId="185" fontId="0" fillId="0" borderId="12" xfId="0" applyNumberFormat="1" applyBorder="1"/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47">
    <dxf>
      <numFmt numFmtId="27" formatCode="dd/mm/yyyy\ hh:mm"/>
    </dxf>
    <dxf>
      <numFmt numFmtId="19" formatCode="dd/mm/yyyy"/>
    </dxf>
    <dxf>
      <numFmt numFmtId="178" formatCode="dd/mm/yyyy\ hh:mm:ss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6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333F4F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  <dxf>
      <font>
        <color rgb="FF9C5700"/>
      </font>
      <fill>
        <patternFill patternType="solid">
          <fgColor indexed="64"/>
          <bgColor rgb="FFFFE699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Evolution du prix E85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Prix E85 (€/L)</c:v>
          </c:tx>
          <c:marker>
            <c:symbol val="circle"/>
            <c:size val="5"/>
            <c:spPr>
              <a:ln w="25400">
                <a:solidFill>
                  <a:srgbClr val="2E75B6"/>
                </a:solidFill>
              </a:ln>
            </c:spPr>
          </c:marker>
          <c:val>
            <c:numRef>
              <c:f>Graphiques!$P$2:$P$10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Graphiques!$O$2:$O$10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3FCB-4A18-B58D-3F87D55EE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11743"/>
        <c:axId val="1149801663"/>
      </c:lineChart>
      <c:catAx>
        <c:axId val="11498117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01663"/>
        <c:crosses val="autoZero"/>
        <c:auto val="1"/>
        <c:lblAlgn val="ctr"/>
        <c:lblOffset val="100"/>
        <c:noMultiLvlLbl val="1"/>
      </c:catAx>
      <c:valAx>
        <c:axId val="11498016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€/L</a:t>
                </a:r>
              </a:p>
            </c:rich>
          </c:tx>
          <c:overlay val="0"/>
        </c:title>
        <c:numFmt formatCode="0\.0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11743"/>
        <c:crosses val="autoZero"/>
        <c:crossBetween val="between"/>
      </c:valAx>
      <c:spPr>
        <a:solidFill>
          <a:srgbClr val="F8FAFC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⛽ Consommation L/100 km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L/100 km</c:v>
          </c:tx>
          <c:spPr>
            <a:ln w="25400">
              <a:solidFill>
                <a:srgbClr val="1D9E75"/>
              </a:solidFill>
            </a:ln>
          </c:spPr>
          <c:marker>
            <c:symbol val="circle"/>
            <c:size val="5"/>
            <c:spPr>
              <a:ln w="25400">
                <a:solidFill>
                  <a:srgbClr val="1D9E75"/>
                </a:solidFill>
              </a:ln>
            </c:spPr>
          </c:marker>
          <c:cat>
            <c:numRef>
              <c:f>Graphiques!$A$45:$A$53</c:f>
              <c:numCache>
                <c:formatCode>m/d/yyyy</c:formatCode>
                <c:ptCount val="9"/>
                <c:pt idx="0">
                  <c:v>46135</c:v>
                </c:pt>
                <c:pt idx="1">
                  <c:v>46140</c:v>
                </c:pt>
                <c:pt idx="2">
                  <c:v>46146</c:v>
                </c:pt>
                <c:pt idx="3">
                  <c:v>46148</c:v>
                </c:pt>
                <c:pt idx="4">
                  <c:v>46151</c:v>
                </c:pt>
                <c:pt idx="5">
                  <c:v>46154</c:v>
                </c:pt>
                <c:pt idx="6">
                  <c:v>46157</c:v>
                </c:pt>
                <c:pt idx="7">
                  <c:v>46161</c:v>
                </c:pt>
                <c:pt idx="8">
                  <c:v>46164.083333333336</c:v>
                </c:pt>
              </c:numCache>
            </c:numRef>
          </c:cat>
          <c:val>
            <c:numRef>
              <c:f>Graphiques!$B$45:$B$53</c:f>
              <c:numCache>
                <c:formatCode>0.00</c:formatCode>
                <c:ptCount val="9"/>
                <c:pt idx="0">
                  <c:v>5.4</c:v>
                </c:pt>
                <c:pt idx="1">
                  <c:v>5.39</c:v>
                </c:pt>
                <c:pt idx="2">
                  <c:v>5.62</c:v>
                </c:pt>
                <c:pt idx="3">
                  <c:v>5.97</c:v>
                </c:pt>
                <c:pt idx="4">
                  <c:v>6.76</c:v>
                </c:pt>
                <c:pt idx="5">
                  <c:v>7.04</c:v>
                </c:pt>
                <c:pt idx="6">
                  <c:v>6.59</c:v>
                </c:pt>
                <c:pt idx="7">
                  <c:v>6.77</c:v>
                </c:pt>
                <c:pt idx="8">
                  <c:v>6.91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A5-4362-B400-3B7B05C76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05503"/>
        <c:axId val="1149812703"/>
      </c:lineChart>
      <c:dateAx>
        <c:axId val="11498055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12703"/>
        <c:crosses val="autoZero"/>
        <c:auto val="1"/>
        <c:lblOffset val="100"/>
        <c:baseTimeUnit val="days"/>
      </c:dateAx>
      <c:valAx>
        <c:axId val="114981270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L/100 km</a:t>
                </a:r>
              </a:p>
            </c:rich>
          </c:tx>
          <c:overlay val="0"/>
        </c:title>
        <c:numFmt formatCode="0\.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05503"/>
        <c:crosses val="autoZero"/>
        <c:crossBetween val="between"/>
      </c:valAx>
      <c:spPr>
        <a:solidFill>
          <a:srgbClr val="F0FDF4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50800</xdr:rowOff>
    </xdr:from>
    <xdr:to>
      <xdr:col>12</xdr:col>
      <xdr:colOff>558800</xdr:colOff>
      <xdr:row>1</xdr:row>
      <xdr:rowOff>0</xdr:rowOff>
    </xdr:to>
    <xdr:sp macro="CreerSuiviAuto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B8BFE7FB-0B5C-0A3F-93D7-449CEC3743FF}"/>
            </a:ext>
          </a:extLst>
        </xdr:cNvPr>
        <xdr:cNvSpPr/>
      </xdr:nvSpPr>
      <xdr:spPr>
        <a:xfrm>
          <a:off x="9744075" y="50800"/>
          <a:ext cx="1397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rgbClr val="FFFFFF"/>
              </a:solidFill>
            </a:rPr>
            <a:t>↻ Rafraichir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365126</xdr:colOff>
      <xdr:row>0</xdr:row>
      <xdr:rowOff>71438</xdr:rowOff>
    </xdr:from>
    <xdr:to>
      <xdr:col>1</xdr:col>
      <xdr:colOff>559594</xdr:colOff>
      <xdr:row>0</xdr:row>
      <xdr:rowOff>583407</xdr:rowOff>
    </xdr:to>
    <xdr:sp macro="[0]!OuvrirFormulairePlein" textlink="">
      <xdr:nvSpPr>
        <xdr:cNvPr id="3" name="BtnAjouterPlein">
          <a:extLst>
            <a:ext uri="{FF2B5EF4-FFF2-40B4-BE49-F238E27FC236}">
              <a16:creationId xmlns:a16="http://schemas.microsoft.com/office/drawing/2014/main" id="{5A346DE2-E17F-4B84-91AE-0918B5DCEA52}"/>
            </a:ext>
          </a:extLst>
        </xdr:cNvPr>
        <xdr:cNvSpPr/>
      </xdr:nvSpPr>
      <xdr:spPr>
        <a:xfrm>
          <a:off x="365126" y="71438"/>
          <a:ext cx="2635249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➕  Ajouter un plein</a:t>
          </a:r>
        </a:p>
      </xdr:txBody>
    </xdr:sp>
    <xdr:clientData/>
  </xdr:twoCellAnchor>
  <xdr:twoCellAnchor>
    <xdr:from>
      <xdr:col>2</xdr:col>
      <xdr:colOff>76200</xdr:colOff>
      <xdr:row>26</xdr:row>
      <xdr:rowOff>0</xdr:rowOff>
    </xdr:from>
    <xdr:to>
      <xdr:col>2</xdr:col>
      <xdr:colOff>279400</xdr:colOff>
      <xdr:row>26</xdr:row>
      <xdr:rowOff>3175</xdr:rowOff>
    </xdr:to>
    <xdr:sp macro="[1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9835A806-22B6-453C-AA21-29CC1DAA8BB6}"/>
            </a:ext>
          </a:extLst>
        </xdr:cNvPr>
        <xdr:cNvSpPr/>
      </xdr:nvSpPr>
      <xdr:spPr>
        <a:xfrm>
          <a:off x="3921919" y="4476750"/>
          <a:ext cx="203200" cy="205581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666750</xdr:colOff>
      <xdr:row>0</xdr:row>
      <xdr:rowOff>71437</xdr:rowOff>
    </xdr:from>
    <xdr:to>
      <xdr:col>3</xdr:col>
      <xdr:colOff>1071563</xdr:colOff>
      <xdr:row>0</xdr:row>
      <xdr:rowOff>583406</xdr:rowOff>
    </xdr:to>
    <xdr:sp macro="[0]!ImporterNouveauxPleins" textlink="">
      <xdr:nvSpPr>
        <xdr:cNvPr id="4" name="BtnAjouterPlein">
          <a:extLst>
            <a:ext uri="{FF2B5EF4-FFF2-40B4-BE49-F238E27FC236}">
              <a16:creationId xmlns:a16="http://schemas.microsoft.com/office/drawing/2014/main" id="{7A7AC3FB-832A-4673-8BEB-5AA1E9FA5B33}"/>
            </a:ext>
          </a:extLst>
        </xdr:cNvPr>
        <xdr:cNvSpPr/>
      </xdr:nvSpPr>
      <xdr:spPr>
        <a:xfrm>
          <a:off x="3107531" y="71437"/>
          <a:ext cx="3214688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📥 Importer les pleins Google</a:t>
          </a:r>
          <a:endParaRPr kumimoji="0" lang="fr-FR" sz="18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</a:endParaRPr>
        </a:p>
      </xdr:txBody>
    </xdr:sp>
    <xdr:clientData/>
  </xdr:twoCellAnchor>
  <xdr:twoCellAnchor>
    <xdr:from>
      <xdr:col>12</xdr:col>
      <xdr:colOff>1205933</xdr:colOff>
      <xdr:row>0</xdr:row>
      <xdr:rowOff>71438</xdr:rowOff>
    </xdr:from>
    <xdr:to>
      <xdr:col>14</xdr:col>
      <xdr:colOff>301058</xdr:colOff>
      <xdr:row>0</xdr:row>
      <xdr:rowOff>583407</xdr:rowOff>
    </xdr:to>
    <xdr:sp macro="[0]!ReinitialiserImport" textlink="">
      <xdr:nvSpPr>
        <xdr:cNvPr id="6" name="BtnAjouterPlein">
          <a:extLst>
            <a:ext uri="{FF2B5EF4-FFF2-40B4-BE49-F238E27FC236}">
              <a16:creationId xmlns:a16="http://schemas.microsoft.com/office/drawing/2014/main" id="{684F55F8-E8AB-422D-8BB6-C1010F4C59EF}"/>
            </a:ext>
          </a:extLst>
        </xdr:cNvPr>
        <xdr:cNvSpPr/>
      </xdr:nvSpPr>
      <xdr:spPr>
        <a:xfrm>
          <a:off x="16826933" y="71438"/>
          <a:ext cx="2156732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Réinitialisation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11</xdr:col>
      <xdr:colOff>228600</xdr:colOff>
      <xdr:row>18</xdr:row>
      <xdr:rowOff>101600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085340E1-CD82-6491-3418-A824BA30FE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42</xdr:row>
      <xdr:rowOff>0</xdr:rowOff>
    </xdr:from>
    <xdr:to>
      <xdr:col>11</xdr:col>
      <xdr:colOff>228600</xdr:colOff>
      <xdr:row>58</xdr:row>
      <xdr:rowOff>101600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481F02F4-7760-8634-AA88-6D73B1B8CD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daub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</sheetNames>
    <definedNames>
      <definedName name="dp_core.gridDP_Click"/>
    </definedNames>
    <sheetDataSet>
      <sheetData sheetId="0"/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D21676B-12A2-4EA0-B488-97FBA688539E}" autoFormatId="16" applyNumberFormats="0" applyBorderFormats="0" applyFontFormats="0" applyPatternFormats="0" applyAlignmentFormats="0" applyWidthHeightFormats="0">
  <queryTableRefresh nextId="19" unboundColumnsRight="2">
    <queryTableFields count="16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6" dataBound="0" tableColumnId="16"/>
      <queryTableField id="18" dataBound="0" tableColumnId="7"/>
    </queryTableFields>
    <queryTableDeletedFields count="1">
      <deletedField name="PrixS98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1:P12" tableType="queryTable" totalsRowShown="0" headerRowDxfId="46" dataDxfId="45">
  <autoFilter ref="A1:P12" xr:uid="{74CBBEF5-DAC6-4FFF-B9BF-F912C02B05A8}"/>
  <sortState xmlns:xlrd2="http://schemas.microsoft.com/office/spreadsheetml/2017/richdata2" ref="A2:P12">
    <sortCondition ref="B1:B12"/>
  </sortState>
  <tableColumns count="16">
    <tableColumn id="1" xr3:uid="{D1245828-BB9F-457F-9D89-03E146E97A20}" uniqueName="1" name="Horodatage" queryTableFieldId="1" dataDxfId="6"/>
    <tableColumn id="2" xr3:uid="{6AFDA1AD-8B7E-4056-B820-4B105507BC22}" uniqueName="2" name="Date" queryTableFieldId="2" dataDxfId="4"/>
    <tableColumn id="3" xr3:uid="{0E3159AD-DEC3-4CB0-8263-673EE4364DE4}" uniqueName="3" name="Type" queryTableFieldId="3" dataDxfId="5"/>
    <tableColumn id="4" xr3:uid="{9CA1100B-4402-4A99-881C-A70EA8E0EBA0}" uniqueName="4" name="Km" queryTableFieldId="4" dataDxfId="44"/>
    <tableColumn id="5" xr3:uid="{3DC79D37-A57D-45A6-B68B-28F91AE90D1B}" uniqueName="5" name="Litres" queryTableFieldId="5" dataDxfId="43"/>
    <tableColumn id="6" xr3:uid="{E20F9B47-933F-4695-AC5B-7BFCB43AA70B}" uniqueName="6" name="PrixL" queryTableFieldId="6" dataDxfId="42"/>
    <tableColumn id="8" xr3:uid="{1810D7F1-75C0-4692-B633-9344880F4391}" uniqueName="8" name="Station essence" queryTableFieldId="8" dataDxfId="41"/>
    <tableColumn id="9" xr3:uid="{B958E2B1-5DEB-4CEF-B30E-3537BD55A8E8}" uniqueName="9" name="Vehicule" queryTableFieldId="9" dataDxfId="40"/>
    <tableColumn id="10" xr3:uid="{7955E5A1-C834-43AD-B7C1-739EA1C9FB0B}" uniqueName="10" name="E85 station" queryTableFieldId="10" dataDxfId="39"/>
    <tableColumn id="11" xr3:uid="{168A26EB-A626-4924-B067-7D0EE30B248F}" uniqueName="11" name="SP98 station" queryTableFieldId="11" dataDxfId="38"/>
    <tableColumn id="12" xr3:uid="{18AADF40-972E-454B-9FD3-FD2D10CCF4B9}" uniqueName="12" name="SP95 station" queryTableFieldId="12" dataDxfId="37"/>
    <tableColumn id="13" xr3:uid="{A1195D38-1809-462B-9D20-AE18F43CBC4B}" uniqueName="13" name="E10 station" queryTableFieldId="13" dataDxfId="36"/>
    <tableColumn id="14" xr3:uid="{9F059A0B-5171-4FB9-8BF4-0CBD57021E52}" uniqueName="14" name="Gazole station" queryTableFieldId="14" dataDxfId="35"/>
    <tableColumn id="15" xr3:uid="{BE30AC6F-80E2-4B6C-B72A-506C9FC60853}" uniqueName="15" name="GPLc station" queryTableFieldId="15" dataDxfId="34"/>
    <tableColumn id="16" xr3:uid="{DD5EAF57-67B9-4006-88AF-5A82745A6E1D}" uniqueName="16" name="sync_id" queryTableFieldId="16" dataDxfId="3"/>
    <tableColumn id="7" xr3:uid="{217649AA-00FB-44C2-B916-78329111BFA4}" uniqueName="7" name="Modifie_local" queryTableFieldId="18" dataDxfId="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B306BAE-ED2E-4DA1-B6BE-E788528B7A73}" name="DonneesExternes_1" displayName="DonneesExternes_1" ref="A1:Y12" totalsRowShown="0">
  <autoFilter ref="A1:Y12" xr:uid="{3B306BAE-ED2E-4DA1-B6BE-E788528B7A73}"/>
  <tableColumns count="25">
    <tableColumn id="1" xr3:uid="{0D135947-9F9D-461C-87DF-25ECAF354015}" name="Horodatage" dataDxfId="1"/>
    <tableColumn id="2" xr3:uid="{08CB428E-95C6-40C4-A9CE-C2A84520866B}" name="Date" dataDxfId="0"/>
    <tableColumn id="3" xr3:uid="{5EBFAAC4-8E29-49E7-8624-98EB6037D765}" name="Type"/>
    <tableColumn id="4" xr3:uid="{D2C542E1-BF98-477D-8715-3B1EC616F637}" name="Km compteur"/>
    <tableColumn id="5" xr3:uid="{F13386D0-D9F7-4875-AFFB-B280EFB84512}" name="Nb. Litres"/>
    <tableColumn id="6" xr3:uid="{86C52F90-BD56-408C-8D3E-BF11FFAEE9BE}" name="Prix €/L"/>
    <tableColumn id="7" xr3:uid="{6B3E2D6E-D419-467B-8331-565B0135372C}" name="Station essence"/>
    <tableColumn id="8" xr3:uid="{642F4828-D33F-4540-B930-1362DB499BDB}" name="Véhicule"/>
    <tableColumn id="9" xr3:uid="{36ACAE59-8036-47F0-AAFF-8A4309A35F4E}" name="E85 station (€/L)"/>
    <tableColumn id="10" xr3:uid="{1E0A7BBF-26D9-4B37-9A7F-52483F7AF3CC}" name="SP98 station (€/L)"/>
    <tableColumn id="11" xr3:uid="{CAA50679-4BB8-4116-85E6-EADDE7255123}" name="SP95 station (€/L)"/>
    <tableColumn id="12" xr3:uid="{872F90B8-BAEF-4EA4-A4B5-145F61061688}" name="E10 station (€/L)"/>
    <tableColumn id="13" xr3:uid="{1FD191E4-D068-4879-AB54-20063E653A94}" name="Gazole station (€/L)"/>
    <tableColumn id="14" xr3:uid="{6EE48AFB-E3E8-468E-9EA0-24DB9CBBF885}" name="GPLc station (€/L)"/>
    <tableColumn id="15" xr3:uid="{BC7D2ADC-19A3-4887-AD00-E730388BA031}" name="sync_id"/>
    <tableColumn id="16" xr3:uid="{0213E802-AFA5-418A-B7C5-FDE0FFD99D21}" name="Photo ticket"/>
    <tableColumn id="17" xr3:uid="{F078ACF2-334D-499F-8394-37BE7A233920}" name="Colonne1"/>
    <tableColumn id="18" xr3:uid="{C7DA481F-3377-4327-9993-0BBAE4F6690E}" name="Colonne2"/>
    <tableColumn id="19" xr3:uid="{58F3B69A-45D9-4144-B267-8C286DCD1FCC}" name="Colonne3"/>
    <tableColumn id="20" xr3:uid="{13C58208-CDD1-4BE0-88D2-55E3825B35B2}" name="Colonne4"/>
    <tableColumn id="21" xr3:uid="{5F90BE1C-9A29-4172-A6BE-876DD37E9AD1}" name="Colonne5"/>
    <tableColumn id="22" xr3:uid="{549CF6D6-A41A-4BD7-A30F-0553D1104311}" name="Colonne6"/>
    <tableColumn id="23" xr3:uid="{88D696DB-6CAA-4EA3-B424-FD873C1817A3}" name="Colonne7"/>
    <tableColumn id="24" xr3:uid="{7D5A3AF0-EFDA-4141-836E-7E81881E921D}" name="Colonne8"/>
    <tableColumn id="25" xr3:uid="{DDDB32F0-636D-4765-8DFE-5CF7AC651345}" name="Colonne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5:O26" totalsRowShown="0" headerRowDxfId="32" dataDxfId="30" headerRowBorderDxfId="31" tableBorderDxfId="29" totalsRowBorderDxfId="28">
  <autoFilter ref="A15:O26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27">
      <calculatedColumnFormula>IF(B16="","",A15+1)</calculatedColumnFormula>
    </tableColumn>
    <tableColumn id="2" xr3:uid="{D9E9EBFF-BC9D-4E59-9822-91D7DEC1E7CE}" name="Date" dataDxfId="26"/>
    <tableColumn id="11" xr3:uid="{A77486BA-32D8-4661-BA23-1144AE2FD0EC}" name="Type" dataDxfId="25"/>
    <tableColumn id="3" xr3:uid="{6C87F133-7224-4AAB-ACB2-666E8B7315B5}" name="Km compteur" dataDxfId="24"/>
    <tableColumn id="15" xr3:uid="{E9E70181-907F-4D1A-BD9D-156B992A2880}" name="Nb. km" dataDxfId="23">
      <calculatedColumnFormula>IF(AND(ISNUMBER(D15),Tableau2[[#This Row],[Km compteur]]&lt;&gt;""),Tableau2[[#This Row],[Km compteur]]-D15,"")</calculatedColumnFormula>
    </tableColumn>
    <tableColumn id="4" xr3:uid="{3A0D4E50-8BA3-407C-9B3A-C5CAC40CCD2A}" name="Nb. Litres" dataDxfId="22"/>
    <tableColumn id="5" xr3:uid="{A61BA34E-E60B-4F70-A1D9-62090C37C449}" name="Prix €/L" dataDxfId="21"/>
    <tableColumn id="13" xr3:uid="{C796B9E8-7AC6-4345-B44F-194876D2515D}" name="Coût c€/km" dataDxfId="20">
      <calculatedColumnFormula>IF(OR(D16="",D15="",I16="",ISTEXT(D15)),"",F16/(D16-D15)*100)</calculatedColumnFormula>
    </tableColumn>
    <tableColumn id="6" xr3:uid="{7A10B093-08A0-4955-A678-47B342940366}" name="Coût Plein (€)" dataDxfId="19">
      <calculatedColumnFormula>IF(F16="","",F16*G16)</calculatedColumnFormula>
    </tableColumn>
    <tableColumn id="7" xr3:uid="{0D4F331E-E5DE-4D78-8EE4-6B964BF0DB88}" name="Conso. (L/100km)" dataDxfId="18">
      <calculatedColumnFormula>IF(OR(D16="",D15="",F16="",ISTEXT(D15)),"",F16/(D16-D15)*100)</calculatedColumnFormula>
    </tableColumn>
    <tableColumn id="8" xr3:uid="{8C4BCB7E-42BC-494E-A304-19A9848326C2}" name="Prix S98 jour (€/L)" dataDxfId="17">
      <calculatedColumnFormula>IF(Tableau2[[#This Row],[Type]]="Super 98",Tableau2[[#This Row],[Prix €/L]],"")</calculatedColumnFormula>
    </tableColumn>
    <tableColumn id="9" xr3:uid="{4EC10D81-8AEF-46AB-9708-2100131EA8C3}" name="Coût Plein équiv. S98 (€)" dataDxfId="16">
      <calculatedColumnFormula>IF(OR(Tableau2[[#This Row],[Type]]&lt;&gt;"SuperEthanol E85",Tableau2[[#This Row],[Nb. Litres]]="",Tableau2[[#This Row],[Prix S98 jour (€/L)]]=""),"",Tableau2[[#This Row],[Nb. Litres]]/(1+$J$7)*Tableau2[[#This Row],[Prix S98 jour (€/L)]])</calculatedColumnFormula>
    </tableColumn>
    <tableColumn id="12" xr3:uid="{53B007FA-86AC-415F-A27B-EC4741D27804}" name="Economie sur le plein" dataDxfId="15" dataCellStyle="Pourcentage">
      <calculatedColumnFormula>IF(Tableau2[[#This Row],[Type]]&lt;&gt;"SuperEthanol E85","",IF(Tableau2[[#This Row],[Coût Plein (€)]]="","",(Tableau2[[#This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14">
      <calculatedColumnFormula>IF(Tableau2[[#This Row],[Type]]&lt;&gt;"SuperEthanol E85","",IF(Tableau2[[#This Row],[Coût Plein (€)]]="","",IF(N15&lt;&gt;"",N15+(L16-Tableau2[[#This Row],[Coût Plein (€)]]),L16-Tableau2[[#This Row],[Coût Plein (€)]])))</calculatedColumnFormula>
    </tableColumn>
    <tableColumn id="14" xr3:uid="{CE918074-8635-46A0-A964-AE0193F8015F}" name="Station essence" dataDxfId="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12" dataDxfId="11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27" totalsRowShown="0" headerRowDxfId="9" dataDxfId="8">
  <autoFilter ref="D2:D27" xr:uid="{25AB3DD4-00E3-4CC0-B281-01FA80424A7F}">
    <filterColumn colId="0">
      <customFilters>
        <customFilter operator="notEqual" val=" "/>
      </customFilters>
    </filterColumn>
  </autoFilter>
  <sortState xmlns:xlrd2="http://schemas.microsoft.com/office/spreadsheetml/2017/richdata2" ref="D3:D27">
    <sortCondition ref="D2:D27"/>
  </sortState>
  <tableColumns count="1">
    <tableColumn id="1" xr3:uid="{15E89797-5AED-42ED-A3B9-120C7515903D}" name="Station essence utilisée" dataDxf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workbookViewId="0"/>
  </sheetViews>
  <sheetFormatPr baseColWidth="10" defaultRowHeight="15.75" x14ac:dyDescent="0.25"/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>
        <v>1</v>
      </c>
      <c r="B2" s="2">
        <v>46126</v>
      </c>
      <c r="C2" t="s">
        <v>28</v>
      </c>
      <c r="D2" t="s">
        <v>29</v>
      </c>
      <c r="E2" t="s">
        <v>30</v>
      </c>
      <c r="F2" t="s">
        <v>31</v>
      </c>
    </row>
    <row r="3" spans="1:6" x14ac:dyDescent="0.25">
      <c r="A3">
        <v>2</v>
      </c>
      <c r="B3" s="2">
        <v>46126</v>
      </c>
      <c r="C3" t="s">
        <v>32</v>
      </c>
      <c r="D3" t="s">
        <v>33</v>
      </c>
      <c r="E3" t="s">
        <v>34</v>
      </c>
      <c r="F3" t="s">
        <v>35</v>
      </c>
    </row>
    <row r="4" spans="1:6" x14ac:dyDescent="0.25">
      <c r="A4">
        <v>3</v>
      </c>
      <c r="B4" s="2">
        <v>46126</v>
      </c>
      <c r="C4" t="s">
        <v>36</v>
      </c>
      <c r="D4" t="s">
        <v>37</v>
      </c>
      <c r="E4" t="s">
        <v>38</v>
      </c>
      <c r="F4" t="s">
        <v>39</v>
      </c>
    </row>
    <row r="5" spans="1:6" x14ac:dyDescent="0.25">
      <c r="A5">
        <v>4</v>
      </c>
      <c r="B5" s="2">
        <v>46126</v>
      </c>
      <c r="C5" t="s">
        <v>43</v>
      </c>
      <c r="D5" t="s">
        <v>44</v>
      </c>
      <c r="E5" t="s">
        <v>45</v>
      </c>
      <c r="F5" t="s">
        <v>46</v>
      </c>
    </row>
    <row r="6" spans="1:6" x14ac:dyDescent="0.25">
      <c r="A6">
        <v>5</v>
      </c>
      <c r="B6" s="2">
        <v>46126</v>
      </c>
      <c r="C6" t="s">
        <v>47</v>
      </c>
      <c r="D6" t="s">
        <v>48</v>
      </c>
      <c r="E6" t="s">
        <v>49</v>
      </c>
      <c r="F6" t="s">
        <v>50</v>
      </c>
    </row>
    <row r="7" spans="1:6" x14ac:dyDescent="0.25">
      <c r="A7">
        <v>6</v>
      </c>
      <c r="B7" s="2">
        <v>46126</v>
      </c>
      <c r="C7" t="s">
        <v>51</v>
      </c>
      <c r="D7" t="s">
        <v>52</v>
      </c>
      <c r="E7" t="s">
        <v>53</v>
      </c>
      <c r="F7" t="s">
        <v>54</v>
      </c>
    </row>
    <row r="8" spans="1:6" x14ac:dyDescent="0.25">
      <c r="A8">
        <v>7</v>
      </c>
      <c r="B8" s="2">
        <v>46126</v>
      </c>
      <c r="C8" t="s">
        <v>62</v>
      </c>
      <c r="D8" t="s">
        <v>63</v>
      </c>
      <c r="E8" t="s">
        <v>64</v>
      </c>
      <c r="F8" t="s">
        <v>65</v>
      </c>
    </row>
    <row r="9" spans="1:6" x14ac:dyDescent="0.25">
      <c r="A9">
        <v>8</v>
      </c>
      <c r="B9" s="2">
        <v>46126</v>
      </c>
      <c r="C9" t="s">
        <v>68</v>
      </c>
      <c r="D9" t="s">
        <v>69</v>
      </c>
      <c r="E9" t="s">
        <v>70</v>
      </c>
      <c r="F9" t="s">
        <v>71</v>
      </c>
    </row>
    <row r="10" spans="1:6" x14ac:dyDescent="0.25">
      <c r="A10">
        <v>9</v>
      </c>
      <c r="B10" s="2">
        <v>46126</v>
      </c>
      <c r="C10" t="s">
        <v>73</v>
      </c>
      <c r="D10" t="s">
        <v>74</v>
      </c>
      <c r="E10" t="s">
        <v>75</v>
      </c>
      <c r="F10" t="s">
        <v>76</v>
      </c>
    </row>
    <row r="11" spans="1:6" x14ac:dyDescent="0.25">
      <c r="A11">
        <v>10</v>
      </c>
      <c r="B11" s="2">
        <v>46126</v>
      </c>
      <c r="C11" t="s">
        <v>77</v>
      </c>
      <c r="D11" t="s">
        <v>78</v>
      </c>
      <c r="E11" t="s">
        <v>79</v>
      </c>
      <c r="F11" t="s">
        <v>80</v>
      </c>
    </row>
    <row r="12" spans="1:6" x14ac:dyDescent="0.25">
      <c r="A12">
        <v>11</v>
      </c>
      <c r="B12" s="2">
        <v>46126</v>
      </c>
      <c r="C12" t="s">
        <v>83</v>
      </c>
      <c r="D12" t="s">
        <v>84</v>
      </c>
      <c r="E12" t="s">
        <v>85</v>
      </c>
      <c r="F12" t="s">
        <v>86</v>
      </c>
    </row>
    <row r="13" spans="1:6" x14ac:dyDescent="0.25">
      <c r="A13">
        <v>12</v>
      </c>
      <c r="B13" s="2">
        <v>46126</v>
      </c>
      <c r="C13" t="s">
        <v>87</v>
      </c>
      <c r="D13" t="s">
        <v>88</v>
      </c>
      <c r="E13" t="s">
        <v>89</v>
      </c>
      <c r="F13" t="s">
        <v>90</v>
      </c>
    </row>
    <row r="14" spans="1:6" x14ac:dyDescent="0.25">
      <c r="A14">
        <v>13</v>
      </c>
      <c r="B14" s="2">
        <v>46126</v>
      </c>
      <c r="C14" t="s">
        <v>91</v>
      </c>
      <c r="D14" t="s">
        <v>92</v>
      </c>
      <c r="E14" t="s">
        <v>93</v>
      </c>
      <c r="F14" t="s">
        <v>94</v>
      </c>
    </row>
    <row r="15" spans="1:6" x14ac:dyDescent="0.25">
      <c r="A15">
        <v>22</v>
      </c>
      <c r="B15" s="2">
        <v>46153</v>
      </c>
      <c r="C15" t="s">
        <v>131</v>
      </c>
      <c r="D15" t="s">
        <v>132</v>
      </c>
      <c r="E15" t="s">
        <v>133</v>
      </c>
      <c r="F15" t="s">
        <v>134</v>
      </c>
    </row>
    <row r="16" spans="1:6" x14ac:dyDescent="0.25">
      <c r="A16">
        <v>23</v>
      </c>
      <c r="B16" s="2">
        <v>46153</v>
      </c>
      <c r="C16" t="s">
        <v>137</v>
      </c>
      <c r="D16" t="s">
        <v>138</v>
      </c>
      <c r="E16" t="s">
        <v>139</v>
      </c>
      <c r="F16" t="s">
        <v>140</v>
      </c>
    </row>
    <row r="17" spans="1:6" x14ac:dyDescent="0.25">
      <c r="A17">
        <v>24</v>
      </c>
      <c r="B17" s="2">
        <v>46153</v>
      </c>
      <c r="C17" t="s">
        <v>141</v>
      </c>
      <c r="D17" t="s">
        <v>142</v>
      </c>
      <c r="E17" t="s">
        <v>143</v>
      </c>
      <c r="F17" t="s">
        <v>144</v>
      </c>
    </row>
    <row r="18" spans="1:6" x14ac:dyDescent="0.25">
      <c r="A18">
        <v>17</v>
      </c>
      <c r="B18" s="2">
        <v>46138</v>
      </c>
      <c r="C18" t="s">
        <v>95</v>
      </c>
      <c r="D18" t="s">
        <v>96</v>
      </c>
      <c r="E18" t="s">
        <v>97</v>
      </c>
      <c r="F18" t="s">
        <v>98</v>
      </c>
    </row>
    <row r="19" spans="1:6" x14ac:dyDescent="0.25">
      <c r="A19">
        <v>18</v>
      </c>
      <c r="B19" s="2">
        <v>46146</v>
      </c>
      <c r="C19" t="s">
        <v>110</v>
      </c>
      <c r="D19" t="s">
        <v>111</v>
      </c>
      <c r="E19" t="s">
        <v>112</v>
      </c>
      <c r="F19" t="s">
        <v>113</v>
      </c>
    </row>
    <row r="20" spans="1:6" x14ac:dyDescent="0.25">
      <c r="A20">
        <v>19</v>
      </c>
      <c r="B20" s="2">
        <v>46146</v>
      </c>
      <c r="C20" t="s">
        <v>115</v>
      </c>
      <c r="D20" t="s">
        <v>116</v>
      </c>
      <c r="E20" t="s">
        <v>117</v>
      </c>
      <c r="F20" t="s">
        <v>118</v>
      </c>
    </row>
    <row r="21" spans="1:6" x14ac:dyDescent="0.25">
      <c r="A21">
        <v>20</v>
      </c>
      <c r="B21" s="2">
        <v>46146</v>
      </c>
      <c r="C21" t="s">
        <v>121</v>
      </c>
      <c r="D21" t="s">
        <v>122</v>
      </c>
      <c r="E21" t="s">
        <v>123</v>
      </c>
      <c r="F21" t="s">
        <v>124</v>
      </c>
    </row>
    <row r="22" spans="1:6" x14ac:dyDescent="0.25">
      <c r="A22">
        <v>21</v>
      </c>
      <c r="B22" s="2">
        <v>46148</v>
      </c>
      <c r="C22" t="s">
        <v>127</v>
      </c>
      <c r="D22" t="s">
        <v>128</v>
      </c>
      <c r="E22" t="s">
        <v>129</v>
      </c>
      <c r="F22" t="s">
        <v>130</v>
      </c>
    </row>
    <row r="23" spans="1:6" x14ac:dyDescent="0.25">
      <c r="A23">
        <v>25</v>
      </c>
      <c r="B23" s="2">
        <v>46153</v>
      </c>
      <c r="C23" t="s">
        <v>145</v>
      </c>
      <c r="D23" t="s">
        <v>146</v>
      </c>
      <c r="E23" t="s">
        <v>147</v>
      </c>
      <c r="F23" t="s">
        <v>148</v>
      </c>
    </row>
    <row r="24" spans="1:6" x14ac:dyDescent="0.25">
      <c r="A24">
        <v>26</v>
      </c>
      <c r="B24" s="2">
        <v>46153</v>
      </c>
      <c r="C24" t="s">
        <v>150</v>
      </c>
      <c r="D24" t="s">
        <v>151</v>
      </c>
      <c r="E24" t="s">
        <v>152</v>
      </c>
      <c r="F24" t="s">
        <v>153</v>
      </c>
    </row>
    <row r="25" spans="1:6" x14ac:dyDescent="0.25">
      <c r="A25">
        <v>27</v>
      </c>
      <c r="B25" s="2">
        <v>46153</v>
      </c>
      <c r="C25" t="s">
        <v>154</v>
      </c>
      <c r="D25" t="s">
        <v>155</v>
      </c>
      <c r="E25" t="s">
        <v>156</v>
      </c>
      <c r="F25" t="s">
        <v>157</v>
      </c>
    </row>
    <row r="26" spans="1:6" x14ac:dyDescent="0.25">
      <c r="A26">
        <v>28</v>
      </c>
      <c r="B26" s="2">
        <v>46153</v>
      </c>
      <c r="C26" t="s">
        <v>158</v>
      </c>
      <c r="D26" t="s">
        <v>159</v>
      </c>
      <c r="E26" t="s">
        <v>160</v>
      </c>
      <c r="F26" t="s">
        <v>161</v>
      </c>
    </row>
    <row r="27" spans="1:6" x14ac:dyDescent="0.25">
      <c r="A27">
        <v>29</v>
      </c>
      <c r="B27" s="2">
        <v>46153</v>
      </c>
      <c r="C27" t="s">
        <v>162</v>
      </c>
      <c r="D27" t="s">
        <v>163</v>
      </c>
      <c r="E27" t="s">
        <v>164</v>
      </c>
      <c r="F27" t="s">
        <v>165</v>
      </c>
    </row>
    <row r="28" spans="1:6" x14ac:dyDescent="0.25">
      <c r="A28">
        <v>30</v>
      </c>
      <c r="B28" s="2">
        <v>46153</v>
      </c>
      <c r="C28" t="s">
        <v>166</v>
      </c>
      <c r="D28" t="s">
        <v>167</v>
      </c>
      <c r="E28" t="s">
        <v>168</v>
      </c>
      <c r="F28" t="s">
        <v>169</v>
      </c>
    </row>
    <row r="29" spans="1:6" x14ac:dyDescent="0.25">
      <c r="A29">
        <v>31</v>
      </c>
      <c r="B29" s="2">
        <v>46153</v>
      </c>
      <c r="C29" t="s">
        <v>170</v>
      </c>
      <c r="D29" t="s">
        <v>171</v>
      </c>
      <c r="E29" t="s">
        <v>172</v>
      </c>
      <c r="F29" t="s">
        <v>173</v>
      </c>
    </row>
    <row r="30" spans="1:6" x14ac:dyDescent="0.25">
      <c r="A30">
        <v>32</v>
      </c>
      <c r="B30" s="2">
        <v>46153</v>
      </c>
      <c r="C30" t="s">
        <v>174</v>
      </c>
      <c r="D30" t="s">
        <v>175</v>
      </c>
      <c r="E30" t="s">
        <v>176</v>
      </c>
      <c r="F30" t="s">
        <v>177</v>
      </c>
    </row>
    <row r="31" spans="1:6" x14ac:dyDescent="0.25">
      <c r="A31">
        <v>33</v>
      </c>
      <c r="B31" s="2">
        <v>46157</v>
      </c>
      <c r="C31" t="s">
        <v>178</v>
      </c>
      <c r="D31" t="s">
        <v>179</v>
      </c>
      <c r="E31" t="s">
        <v>180</v>
      </c>
      <c r="F31" t="s">
        <v>181</v>
      </c>
    </row>
    <row r="32" spans="1:6" x14ac:dyDescent="0.25">
      <c r="A32">
        <v>34</v>
      </c>
      <c r="B32" s="2">
        <v>46158</v>
      </c>
      <c r="C32" t="s">
        <v>187</v>
      </c>
      <c r="D32" t="s">
        <v>188</v>
      </c>
      <c r="E32" t="s">
        <v>189</v>
      </c>
      <c r="F32" t="s">
        <v>190</v>
      </c>
    </row>
    <row r="33" spans="1:6" x14ac:dyDescent="0.25">
      <c r="A33">
        <v>35</v>
      </c>
      <c r="B33" s="2">
        <v>46158</v>
      </c>
      <c r="C33" t="s">
        <v>192</v>
      </c>
      <c r="D33" t="s">
        <v>193</v>
      </c>
      <c r="E33" t="s">
        <v>194</v>
      </c>
      <c r="F33" t="s">
        <v>195</v>
      </c>
    </row>
    <row r="34" spans="1:6" x14ac:dyDescent="0.25">
      <c r="A34">
        <v>36</v>
      </c>
      <c r="B34" s="2">
        <v>46158</v>
      </c>
      <c r="C34" t="s">
        <v>197</v>
      </c>
      <c r="D34" t="s">
        <v>198</v>
      </c>
      <c r="E34" t="s">
        <v>199</v>
      </c>
      <c r="F34" t="s">
        <v>200</v>
      </c>
    </row>
    <row r="35" spans="1:6" x14ac:dyDescent="0.25">
      <c r="A35">
        <v>37</v>
      </c>
      <c r="B35" s="2">
        <v>46158</v>
      </c>
      <c r="C35" t="s">
        <v>201</v>
      </c>
      <c r="D35" t="s">
        <v>202</v>
      </c>
      <c r="E35" t="s">
        <v>203</v>
      </c>
      <c r="F35" t="s">
        <v>204</v>
      </c>
    </row>
    <row r="36" spans="1:6" x14ac:dyDescent="0.25">
      <c r="A36">
        <v>38</v>
      </c>
      <c r="B36" s="2">
        <v>46158</v>
      </c>
      <c r="C36" t="s">
        <v>205</v>
      </c>
      <c r="D36" t="s">
        <v>206</v>
      </c>
      <c r="E36" t="s">
        <v>207</v>
      </c>
      <c r="F36" t="s">
        <v>208</v>
      </c>
    </row>
    <row r="37" spans="1:6" x14ac:dyDescent="0.25">
      <c r="A37">
        <v>39</v>
      </c>
      <c r="B37" s="2">
        <v>46158</v>
      </c>
      <c r="C37" t="s">
        <v>209</v>
      </c>
      <c r="D37" t="s">
        <v>210</v>
      </c>
      <c r="E37" t="s">
        <v>211</v>
      </c>
      <c r="F37" t="s">
        <v>212</v>
      </c>
    </row>
    <row r="38" spans="1:6" x14ac:dyDescent="0.25">
      <c r="A38">
        <v>40</v>
      </c>
      <c r="B38" s="2">
        <v>46158</v>
      </c>
      <c r="C38" t="s">
        <v>213</v>
      </c>
      <c r="D38" t="s">
        <v>214</v>
      </c>
      <c r="E38" t="s">
        <v>215</v>
      </c>
      <c r="F38" t="s">
        <v>216</v>
      </c>
    </row>
    <row r="39" spans="1:6" x14ac:dyDescent="0.25">
      <c r="A39">
        <v>41</v>
      </c>
      <c r="B39" s="2">
        <v>46158</v>
      </c>
      <c r="C39" t="s">
        <v>217</v>
      </c>
      <c r="D39" t="s">
        <v>218</v>
      </c>
      <c r="E39" t="s">
        <v>219</v>
      </c>
      <c r="F39" t="s">
        <v>204</v>
      </c>
    </row>
    <row r="40" spans="1:6" x14ac:dyDescent="0.25">
      <c r="A40">
        <v>42</v>
      </c>
      <c r="B40" s="2">
        <v>46158</v>
      </c>
      <c r="C40" t="s">
        <v>220</v>
      </c>
      <c r="D40" t="s">
        <v>221</v>
      </c>
      <c r="E40" t="s">
        <v>222</v>
      </c>
      <c r="F40" t="s">
        <v>223</v>
      </c>
    </row>
    <row r="41" spans="1:6" x14ac:dyDescent="0.25">
      <c r="A41">
        <v>43</v>
      </c>
      <c r="B41" s="2">
        <v>46158</v>
      </c>
      <c r="C41" t="s">
        <v>224</v>
      </c>
      <c r="D41" t="s">
        <v>225</v>
      </c>
      <c r="E41" t="s">
        <v>226</v>
      </c>
      <c r="F41" t="s">
        <v>227</v>
      </c>
    </row>
    <row r="42" spans="1:6" x14ac:dyDescent="0.25">
      <c r="A42">
        <v>44</v>
      </c>
      <c r="B42" s="2">
        <v>46158</v>
      </c>
      <c r="C42" t="s">
        <v>228</v>
      </c>
      <c r="D42" t="s">
        <v>229</v>
      </c>
      <c r="E42" t="s">
        <v>230</v>
      </c>
      <c r="F42" t="s">
        <v>231</v>
      </c>
    </row>
    <row r="43" spans="1:6" x14ac:dyDescent="0.25">
      <c r="A43">
        <v>45</v>
      </c>
      <c r="B43" s="2">
        <v>46158</v>
      </c>
      <c r="C43" t="s">
        <v>232</v>
      </c>
      <c r="D43" t="s">
        <v>233</v>
      </c>
      <c r="E43" t="s">
        <v>234</v>
      </c>
      <c r="F43" t="s">
        <v>235</v>
      </c>
    </row>
    <row r="44" spans="1:6" x14ac:dyDescent="0.25">
      <c r="A44">
        <v>46</v>
      </c>
      <c r="B44" s="2">
        <v>46158</v>
      </c>
      <c r="C44" t="s">
        <v>236</v>
      </c>
      <c r="D44" t="s">
        <v>237</v>
      </c>
      <c r="E44" t="s">
        <v>238</v>
      </c>
      <c r="F44" t="s">
        <v>239</v>
      </c>
    </row>
    <row r="45" spans="1:6" x14ac:dyDescent="0.25">
      <c r="A45">
        <v>47</v>
      </c>
      <c r="B45" s="2">
        <v>46158</v>
      </c>
      <c r="C45" t="s">
        <v>240</v>
      </c>
      <c r="D45" t="s">
        <v>241</v>
      </c>
      <c r="E45" t="s">
        <v>242</v>
      </c>
      <c r="F45" t="s">
        <v>243</v>
      </c>
    </row>
    <row r="46" spans="1:6" x14ac:dyDescent="0.25">
      <c r="A46">
        <v>48</v>
      </c>
      <c r="B46" s="2">
        <v>46158</v>
      </c>
      <c r="C46" t="s">
        <v>244</v>
      </c>
      <c r="D46" t="s">
        <v>245</v>
      </c>
      <c r="E46" t="s">
        <v>246</v>
      </c>
      <c r="F46" t="s">
        <v>247</v>
      </c>
    </row>
    <row r="47" spans="1:6" x14ac:dyDescent="0.25">
      <c r="A47">
        <v>49</v>
      </c>
      <c r="B47" s="2">
        <v>46158</v>
      </c>
      <c r="C47" t="s">
        <v>248</v>
      </c>
      <c r="D47" t="s">
        <v>249</v>
      </c>
      <c r="E47" t="s">
        <v>250</v>
      </c>
      <c r="F47" t="s">
        <v>251</v>
      </c>
    </row>
    <row r="48" spans="1:6" x14ac:dyDescent="0.25">
      <c r="A48">
        <v>50</v>
      </c>
      <c r="B48" s="2">
        <v>46158</v>
      </c>
      <c r="C48" t="s">
        <v>252</v>
      </c>
      <c r="D48" t="s">
        <v>253</v>
      </c>
      <c r="E48" t="s">
        <v>254</v>
      </c>
      <c r="F48" t="s">
        <v>255</v>
      </c>
    </row>
    <row r="49" spans="1:6" x14ac:dyDescent="0.25">
      <c r="A49">
        <v>51</v>
      </c>
      <c r="B49" s="2">
        <v>46158</v>
      </c>
      <c r="C49" t="s">
        <v>256</v>
      </c>
      <c r="D49" t="s">
        <v>257</v>
      </c>
      <c r="E49" t="s">
        <v>258</v>
      </c>
      <c r="F49" t="s">
        <v>259</v>
      </c>
    </row>
    <row r="50" spans="1:6" x14ac:dyDescent="0.25">
      <c r="A50">
        <v>52</v>
      </c>
      <c r="B50" s="2">
        <v>46158</v>
      </c>
      <c r="C50" t="s">
        <v>260</v>
      </c>
      <c r="D50" t="s">
        <v>261</v>
      </c>
      <c r="E50" t="s">
        <v>262</v>
      </c>
      <c r="F50" t="s">
        <v>263</v>
      </c>
    </row>
    <row r="51" spans="1:6" x14ac:dyDescent="0.25">
      <c r="A51">
        <v>53</v>
      </c>
      <c r="B51" s="2">
        <v>46158</v>
      </c>
      <c r="C51" t="s">
        <v>264</v>
      </c>
      <c r="D51" t="s">
        <v>265</v>
      </c>
      <c r="E51" t="s">
        <v>266</v>
      </c>
      <c r="F51" t="s">
        <v>204</v>
      </c>
    </row>
    <row r="52" spans="1:6" x14ac:dyDescent="0.25">
      <c r="A52">
        <v>54</v>
      </c>
      <c r="B52" s="2">
        <v>46158</v>
      </c>
      <c r="C52" t="s">
        <v>267</v>
      </c>
      <c r="D52" t="s">
        <v>268</v>
      </c>
      <c r="E52" t="s">
        <v>269</v>
      </c>
      <c r="F52" t="s">
        <v>270</v>
      </c>
    </row>
    <row r="53" spans="1:6" x14ac:dyDescent="0.25">
      <c r="A53">
        <v>1</v>
      </c>
      <c r="B53" s="2">
        <v>46163</v>
      </c>
      <c r="C53" t="s">
        <v>278</v>
      </c>
      <c r="D53" t="s">
        <v>279</v>
      </c>
      <c r="E53" t="s">
        <v>280</v>
      </c>
      <c r="F53" t="s">
        <v>281</v>
      </c>
    </row>
    <row r="54" spans="1:6" x14ac:dyDescent="0.25">
      <c r="A54">
        <v>55</v>
      </c>
      <c r="B54" s="2">
        <v>46163</v>
      </c>
      <c r="C54" t="s">
        <v>282</v>
      </c>
      <c r="D54" t="s">
        <v>283</v>
      </c>
      <c r="E54" t="s">
        <v>284</v>
      </c>
      <c r="F54" t="s">
        <v>285</v>
      </c>
    </row>
    <row r="55" spans="1:6" x14ac:dyDescent="0.25">
      <c r="A55">
        <v>56</v>
      </c>
      <c r="B55" s="2">
        <v>46163</v>
      </c>
      <c r="C55" t="s">
        <v>286</v>
      </c>
      <c r="D55" t="s">
        <v>287</v>
      </c>
      <c r="E55" t="s">
        <v>288</v>
      </c>
      <c r="F55" t="s">
        <v>289</v>
      </c>
    </row>
    <row r="56" spans="1:6" x14ac:dyDescent="0.25">
      <c r="A56">
        <v>57</v>
      </c>
      <c r="B56" s="2">
        <v>46163</v>
      </c>
      <c r="C56" t="s">
        <v>290</v>
      </c>
      <c r="D56" t="s">
        <v>291</v>
      </c>
      <c r="E56" t="s">
        <v>292</v>
      </c>
      <c r="F56" t="s">
        <v>293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001D3-7ED7-4B30-BEBF-CFEF77C5A473}">
  <sheetPr codeName="Feuil7"/>
  <dimension ref="A1:B14"/>
  <sheetViews>
    <sheetView showGridLines="0" showRowColHeaders="0" workbookViewId="0">
      <selection sqref="A1:B1"/>
    </sheetView>
  </sheetViews>
  <sheetFormatPr baseColWidth="10" defaultRowHeight="15.75" x14ac:dyDescent="0.25"/>
  <cols>
    <col min="1" max="1" width="42.625" customWidth="1"/>
    <col min="2" max="2" width="24.625" customWidth="1"/>
  </cols>
  <sheetData>
    <row r="1" spans="1:2" ht="38.1" customHeight="1" x14ac:dyDescent="0.35">
      <c r="A1" s="126" t="s">
        <v>347</v>
      </c>
      <c r="B1" s="127"/>
    </row>
    <row r="2" spans="1:2" x14ac:dyDescent="0.25">
      <c r="A2" s="128" t="s">
        <v>348</v>
      </c>
      <c r="B2" s="127"/>
    </row>
    <row r="3" spans="1:2" ht="3.75" customHeight="1" x14ac:dyDescent="0.25"/>
    <row r="4" spans="1:2" ht="26.1" customHeight="1" x14ac:dyDescent="0.25">
      <c r="A4" s="102" t="s">
        <v>349</v>
      </c>
      <c r="B4" s="102" t="s">
        <v>350</v>
      </c>
    </row>
    <row r="5" spans="1:2" ht="26.1" customHeight="1" x14ac:dyDescent="0.3">
      <c r="A5" s="103" t="s">
        <v>351</v>
      </c>
      <c r="B5" s="104">
        <f>IFERROR(SUM(GS_Pleins[Litres])/(MAX(GS_Pleins[Km])-MIN(GS_Pleins[Km]))*100,0)</f>
        <v>6.7528039479587258</v>
      </c>
    </row>
    <row r="6" spans="1:2" ht="26.1" customHeight="1" x14ac:dyDescent="0.3">
      <c r="A6" s="106" t="s">
        <v>352</v>
      </c>
      <c r="B6" s="107">
        <f>IFERROR(SUMPRODUCT(GS_Pleins[Litres],GS_Pleins[PrixL])/(MAX(GS_Pleins[Km])-MIN(GS_Pleins[Km])),0)</f>
        <v>7.4760829968595774E-2</v>
      </c>
    </row>
    <row r="7" spans="1:2" ht="26.1" customHeight="1" x14ac:dyDescent="0.3">
      <c r="A7" s="106" t="s">
        <v>353</v>
      </c>
      <c r="B7" s="108">
        <f ca="1">SUMPRODUCT((YEAR(GS_Pleins[Date])=YEAR(TODAY()))*GS_Pleins[Litres]*GS_Pleins[PrixL])</f>
        <v>166.64188999999999</v>
      </c>
    </row>
    <row r="8" spans="1:2" ht="26.1" customHeight="1" x14ac:dyDescent="0.3">
      <c r="A8" s="106" t="s">
        <v>354</v>
      </c>
      <c r="B8" s="109">
        <f ca="1">SUMPRODUCT((YEAR(GS_Pleins[Date])=YEAR(TODAY()))*1)</f>
        <v>11</v>
      </c>
    </row>
    <row r="9" spans="1:2" ht="26.1" customHeight="1" x14ac:dyDescent="0.3">
      <c r="A9" s="106" t="s">
        <v>355</v>
      </c>
      <c r="B9" s="110">
        <f>IFERROR(COUNTIF(GS_Pleins[Type],"*E85*")/COUNTA(GS_Pleins[Type]),0)</f>
        <v>0.72727272727272729</v>
      </c>
    </row>
    <row r="10" spans="1:2" ht="26.1" customHeight="1" x14ac:dyDescent="0.3">
      <c r="A10" s="106" t="s">
        <v>356</v>
      </c>
      <c r="B10" s="111">
        <f>IFERROR(SUMIF(GS_Pleins[Type],"*E85*",GS_Pleins[Litres])*(AVERAGEIFS(GS_Pleins[SP98 station],GS_Pleins[SP98 station],"&gt;0")-AVERAGEIF(GS_Pleins[Type],"*E85*",GS_Pleins[PrixL])),0)</f>
        <v>140.74416249999999</v>
      </c>
    </row>
    <row r="11" spans="1:2" ht="26.1" customHeight="1" x14ac:dyDescent="0.3">
      <c r="A11" s="106" t="s">
        <v>357</v>
      </c>
      <c r="B11" s="112">
        <f ca="1">IFERROR(AVERAGEIFS(GS_Pleins[PrixL],GS_Pleins[Type],"*E85*",GS_Pleins[Date],"&gt;="&amp;TODAY()-30),0)</f>
        <v>0.78875000000000006</v>
      </c>
    </row>
    <row r="12" spans="1:2" ht="26.1" customHeight="1" x14ac:dyDescent="0.3">
      <c r="A12" s="106" t="s">
        <v>358</v>
      </c>
      <c r="B12" s="113">
        <f>IFERROR(MAX(GS_Pleins[Horodatage]),"")</f>
        <v>46171.162939814814</v>
      </c>
    </row>
    <row r="13" spans="1:2" ht="26.1" customHeight="1" x14ac:dyDescent="0.3">
      <c r="A13" s="106" t="s">
        <v>359</v>
      </c>
      <c r="B13" s="114">
        <f>SUM(GS_Pleins[Litres])</f>
        <v>150.52000000000001</v>
      </c>
    </row>
    <row r="14" spans="1:2" ht="26.1" customHeight="1" x14ac:dyDescent="0.3">
      <c r="A14" s="105" t="s">
        <v>360</v>
      </c>
      <c r="B14" s="115">
        <f>IFERROR(MAX(GS_Pleins[Km])-MIN(GS_Pleins[Km]),0)</f>
        <v>2229</v>
      </c>
    </row>
  </sheetData>
  <mergeCells count="2">
    <mergeCell ref="A1:B1"/>
    <mergeCell ref="A2:B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P21"/>
  <sheetViews>
    <sheetView zoomScale="70" zoomScaleNormal="70" workbookViewId="0">
      <selection activeCell="H22" sqref="H22"/>
    </sheetView>
  </sheetViews>
  <sheetFormatPr baseColWidth="10" defaultRowHeight="15.75" x14ac:dyDescent="0.25"/>
  <cols>
    <col min="1" max="1" width="25.25" style="98" customWidth="1"/>
    <col min="2" max="2" width="15.375" style="98" customWidth="1"/>
    <col min="3" max="3" width="29.25" style="98" customWidth="1"/>
    <col min="4" max="4" width="9.625" style="98" customWidth="1"/>
    <col min="5" max="5" width="11.5" style="98" bestFit="1" customWidth="1"/>
    <col min="6" max="6" width="11" style="98" bestFit="1" customWidth="1"/>
    <col min="7" max="7" width="45.5" style="98" bestFit="1" customWidth="1"/>
    <col min="8" max="8" width="14.375" style="98" bestFit="1" customWidth="1"/>
    <col min="9" max="9" width="16" style="98" bestFit="1" customWidth="1"/>
    <col min="10" max="11" width="17.125" style="98" bestFit="1" customWidth="1"/>
    <col min="12" max="12" width="16" style="98" bestFit="1" customWidth="1"/>
    <col min="13" max="13" width="18.5" style="98" bestFit="1" customWidth="1"/>
    <col min="14" max="14" width="17.125" style="98" bestFit="1" customWidth="1"/>
    <col min="15" max="15" width="40.875" style="98" customWidth="1"/>
    <col min="16" max="16" width="11" style="125"/>
    <col min="17" max="16384" width="11" style="98"/>
  </cols>
  <sheetData>
    <row r="1" spans="1:16" x14ac:dyDescent="0.25">
      <c r="A1" s="81" t="s">
        <v>294</v>
      </c>
      <c r="B1" s="81" t="s">
        <v>1</v>
      </c>
      <c r="C1" s="81" t="s">
        <v>55</v>
      </c>
      <c r="D1" s="81" t="s">
        <v>305</v>
      </c>
      <c r="E1" s="81" t="s">
        <v>306</v>
      </c>
      <c r="F1" s="81" t="s">
        <v>307</v>
      </c>
      <c r="G1" s="81" t="s">
        <v>271</v>
      </c>
      <c r="H1" s="81" t="s">
        <v>308</v>
      </c>
      <c r="I1" s="81" t="s">
        <v>309</v>
      </c>
      <c r="J1" s="81" t="s">
        <v>310</v>
      </c>
      <c r="K1" s="81" t="s">
        <v>311</v>
      </c>
      <c r="L1" s="81" t="s">
        <v>312</v>
      </c>
      <c r="M1" s="81" t="s">
        <v>313</v>
      </c>
      <c r="N1" s="81" t="s">
        <v>314</v>
      </c>
      <c r="O1" s="81" t="s">
        <v>333</v>
      </c>
      <c r="P1" s="124" t="s">
        <v>366</v>
      </c>
    </row>
    <row r="2" spans="1:16" x14ac:dyDescent="0.25">
      <c r="A2" s="101">
        <v>46164.921076388891</v>
      </c>
      <c r="B2" s="136">
        <v>46131.083333333336</v>
      </c>
      <c r="C2" s="99" t="s">
        <v>81</v>
      </c>
      <c r="D2" s="99">
        <v>9812</v>
      </c>
      <c r="E2" s="99">
        <v>11.4</v>
      </c>
      <c r="F2" s="99">
        <v>1.9730000000000001</v>
      </c>
      <c r="G2" s="99" t="s">
        <v>345</v>
      </c>
      <c r="H2" s="99" t="s">
        <v>315</v>
      </c>
      <c r="I2" s="99"/>
      <c r="J2" s="99">
        <v>1.9730000000000001</v>
      </c>
      <c r="K2" s="99"/>
      <c r="L2" s="99"/>
      <c r="M2" s="99"/>
      <c r="N2" s="99"/>
      <c r="O2" s="99" t="s">
        <v>336</v>
      </c>
      <c r="P2" s="101"/>
    </row>
    <row r="3" spans="1:16" x14ac:dyDescent="0.25">
      <c r="A3" s="101">
        <v>46154</v>
      </c>
      <c r="B3" s="136">
        <v>46135.083333333336</v>
      </c>
      <c r="C3" s="99" t="s">
        <v>81</v>
      </c>
      <c r="D3" s="99">
        <v>10094</v>
      </c>
      <c r="E3" s="99">
        <v>15.22</v>
      </c>
      <c r="F3" s="99">
        <v>1.9259999999999999</v>
      </c>
      <c r="G3" s="99" t="s">
        <v>345</v>
      </c>
      <c r="H3" s="99" t="s">
        <v>315</v>
      </c>
      <c r="I3" s="99"/>
      <c r="J3" s="99">
        <v>1.9259999999999999</v>
      </c>
      <c r="K3" s="99"/>
      <c r="L3" s="99"/>
      <c r="M3" s="99"/>
      <c r="N3" s="99"/>
      <c r="O3" s="99" t="s">
        <v>337</v>
      </c>
      <c r="P3" s="101"/>
    </row>
    <row r="4" spans="1:16" x14ac:dyDescent="0.25">
      <c r="A4" s="101">
        <v>46131</v>
      </c>
      <c r="B4" s="136">
        <v>46140.083333333336</v>
      </c>
      <c r="C4" s="99" t="s">
        <v>81</v>
      </c>
      <c r="D4" s="99">
        <v>10349</v>
      </c>
      <c r="E4" s="99">
        <v>13.75</v>
      </c>
      <c r="F4" s="99">
        <v>2.0310000000000001</v>
      </c>
      <c r="G4" s="99" t="s">
        <v>346</v>
      </c>
      <c r="H4" s="99" t="s">
        <v>315</v>
      </c>
      <c r="I4" s="99"/>
      <c r="J4" s="99">
        <v>2.0310000000000001</v>
      </c>
      <c r="K4" s="99"/>
      <c r="L4" s="99"/>
      <c r="M4" s="99"/>
      <c r="N4" s="99"/>
      <c r="O4" s="99" t="s">
        <v>338</v>
      </c>
      <c r="P4" s="101"/>
    </row>
    <row r="5" spans="1:16" x14ac:dyDescent="0.25">
      <c r="A5" s="101">
        <v>46135</v>
      </c>
      <c r="B5" s="136">
        <v>46146.083333333336</v>
      </c>
      <c r="C5" s="99" t="s">
        <v>100</v>
      </c>
      <c r="D5" s="99">
        <v>10553</v>
      </c>
      <c r="E5" s="99">
        <v>11.47</v>
      </c>
      <c r="F5" s="99">
        <v>0.80900000000000005</v>
      </c>
      <c r="G5" s="99" t="s">
        <v>335</v>
      </c>
      <c r="H5" s="99" t="s">
        <v>315</v>
      </c>
      <c r="I5" s="99">
        <v>0.80900000000000005</v>
      </c>
      <c r="J5" s="99">
        <v>2.0790000000000002</v>
      </c>
      <c r="K5" s="99"/>
      <c r="L5" s="99"/>
      <c r="M5" s="99"/>
      <c r="N5" s="99"/>
      <c r="O5" s="99" t="s">
        <v>339</v>
      </c>
      <c r="P5" s="101"/>
    </row>
    <row r="6" spans="1:16" x14ac:dyDescent="0.25">
      <c r="A6" s="101">
        <v>46146</v>
      </c>
      <c r="B6" s="136">
        <v>46148.083333333336</v>
      </c>
      <c r="C6" s="99" t="s">
        <v>100</v>
      </c>
      <c r="D6" s="99">
        <v>10749</v>
      </c>
      <c r="E6" s="99">
        <v>11.71</v>
      </c>
      <c r="F6" s="99">
        <v>0.747</v>
      </c>
      <c r="G6" s="99" t="s">
        <v>335</v>
      </c>
      <c r="H6" s="99" t="s">
        <v>315</v>
      </c>
      <c r="I6" s="99">
        <v>0.747</v>
      </c>
      <c r="J6" s="99">
        <v>2.0979999999999999</v>
      </c>
      <c r="K6" s="99"/>
      <c r="L6" s="99"/>
      <c r="M6" s="99"/>
      <c r="N6" s="99"/>
      <c r="O6" s="99" t="s">
        <v>340</v>
      </c>
      <c r="P6" s="101"/>
    </row>
    <row r="7" spans="1:16" x14ac:dyDescent="0.25">
      <c r="A7" s="101">
        <v>46148</v>
      </c>
      <c r="B7" s="136">
        <v>46151.083333333336</v>
      </c>
      <c r="C7" s="99" t="s">
        <v>100</v>
      </c>
      <c r="D7" s="99">
        <v>10975</v>
      </c>
      <c r="E7" s="99">
        <v>15.28</v>
      </c>
      <c r="F7" s="99">
        <v>0.75700000000000001</v>
      </c>
      <c r="G7" s="99" t="s">
        <v>335</v>
      </c>
      <c r="H7" s="99" t="s">
        <v>315</v>
      </c>
      <c r="I7" s="99">
        <v>0.75700000000000001</v>
      </c>
      <c r="J7" s="99">
        <v>2.0979999999999999</v>
      </c>
      <c r="K7" s="99"/>
      <c r="L7" s="99"/>
      <c r="M7" s="99"/>
      <c r="N7" s="99"/>
      <c r="O7" s="99" t="s">
        <v>341</v>
      </c>
      <c r="P7" s="101"/>
    </row>
    <row r="8" spans="1:16" x14ac:dyDescent="0.25">
      <c r="A8" s="101">
        <v>46151</v>
      </c>
      <c r="B8" s="136">
        <v>46154.083333333336</v>
      </c>
      <c r="C8" s="99" t="s">
        <v>100</v>
      </c>
      <c r="D8" s="99">
        <v>11173</v>
      </c>
      <c r="E8" s="99">
        <v>13.94</v>
      </c>
      <c r="F8" s="99">
        <v>0.83499999999999996</v>
      </c>
      <c r="G8" s="99" t="s">
        <v>335</v>
      </c>
      <c r="H8" s="99" t="s">
        <v>315</v>
      </c>
      <c r="I8" s="99">
        <v>0.83499999999999996</v>
      </c>
      <c r="J8" s="99">
        <v>2.0950000000000002</v>
      </c>
      <c r="K8" s="99"/>
      <c r="L8" s="99"/>
      <c r="M8" s="99"/>
      <c r="N8" s="99"/>
      <c r="O8" s="99" t="s">
        <v>342</v>
      </c>
      <c r="P8" s="101"/>
    </row>
    <row r="9" spans="1:16" x14ac:dyDescent="0.25">
      <c r="A9" s="101">
        <v>46140</v>
      </c>
      <c r="B9" s="136">
        <v>46157.083333333336</v>
      </c>
      <c r="C9" s="99" t="s">
        <v>100</v>
      </c>
      <c r="D9" s="99">
        <v>11376</v>
      </c>
      <c r="E9" s="99">
        <v>13.37</v>
      </c>
      <c r="F9" s="99">
        <v>0.71699999999999997</v>
      </c>
      <c r="G9" s="99" t="s">
        <v>335</v>
      </c>
      <c r="H9" s="99" t="s">
        <v>315</v>
      </c>
      <c r="I9" s="99">
        <v>0.71699999999999997</v>
      </c>
      <c r="J9" s="99">
        <v>2.0950000000000002</v>
      </c>
      <c r="K9" s="99"/>
      <c r="L9" s="99"/>
      <c r="M9" s="99"/>
      <c r="N9" s="99"/>
      <c r="O9" s="99" t="s">
        <v>343</v>
      </c>
      <c r="P9" s="101"/>
    </row>
    <row r="10" spans="1:16" x14ac:dyDescent="0.25">
      <c r="A10" s="101">
        <v>46157</v>
      </c>
      <c r="B10" s="136">
        <v>46161.083333333336</v>
      </c>
      <c r="C10" s="99" t="s">
        <v>100</v>
      </c>
      <c r="D10" s="99">
        <v>11596</v>
      </c>
      <c r="E10" s="99">
        <v>14.9</v>
      </c>
      <c r="F10" s="99">
        <v>0.79800000000000004</v>
      </c>
      <c r="G10" s="99" t="s">
        <v>335</v>
      </c>
      <c r="H10" s="99" t="s">
        <v>315</v>
      </c>
      <c r="I10" s="99">
        <v>0.79800000000000004</v>
      </c>
      <c r="J10" s="99">
        <v>2.0910000000000002</v>
      </c>
      <c r="K10" s="99"/>
      <c r="L10" s="99"/>
      <c r="M10" s="99"/>
      <c r="N10" s="99"/>
      <c r="O10" s="99" t="s">
        <v>344</v>
      </c>
      <c r="P10" s="101"/>
    </row>
    <row r="11" spans="1:16" x14ac:dyDescent="0.25">
      <c r="A11" s="101">
        <v>46161</v>
      </c>
      <c r="B11" s="136">
        <v>46164.083333333336</v>
      </c>
      <c r="C11" s="99" t="s">
        <v>100</v>
      </c>
      <c r="D11" s="99">
        <v>11831</v>
      </c>
      <c r="E11" s="99">
        <v>16.25</v>
      </c>
      <c r="F11" s="99">
        <v>0.79800000000000004</v>
      </c>
      <c r="G11" s="99" t="s">
        <v>335</v>
      </c>
      <c r="H11" s="99" t="s">
        <v>315</v>
      </c>
      <c r="I11" s="99">
        <v>0.79800000000000004</v>
      </c>
      <c r="J11" s="99"/>
      <c r="K11" s="99"/>
      <c r="L11" s="99"/>
      <c r="M11" s="99"/>
      <c r="N11" s="99"/>
      <c r="O11" s="99" t="s">
        <v>334</v>
      </c>
      <c r="P11" s="101"/>
    </row>
    <row r="12" spans="1:16" x14ac:dyDescent="0.25">
      <c r="A12" s="101">
        <v>46171.162939814814</v>
      </c>
      <c r="B12" s="136">
        <v>46170.083333333336</v>
      </c>
      <c r="C12" s="99" t="s">
        <v>100</v>
      </c>
      <c r="D12" s="99">
        <v>12041</v>
      </c>
      <c r="E12" s="99">
        <v>13.23</v>
      </c>
      <c r="F12" s="99">
        <v>0.84899999999999998</v>
      </c>
      <c r="G12" s="99" t="s">
        <v>345</v>
      </c>
      <c r="H12" s="99" t="s">
        <v>315</v>
      </c>
      <c r="I12" s="99">
        <v>0.84899999999999998</v>
      </c>
      <c r="J12" s="99">
        <v>2.1789999999999998</v>
      </c>
      <c r="K12" s="99">
        <v>2.089</v>
      </c>
      <c r="L12" s="99">
        <v>2.0390000000000001</v>
      </c>
      <c r="M12" s="99">
        <v>2.0990000000000002</v>
      </c>
      <c r="N12" s="99">
        <v>0.96899999999999997</v>
      </c>
      <c r="O12" s="99" t="s">
        <v>367</v>
      </c>
      <c r="P12" s="101"/>
    </row>
    <row r="21" spans="8:8" x14ac:dyDescent="0.25">
      <c r="H21" s="98">
        <f>IFERROR(AVERAGEIF(GS_Pleins[Station essence],"Carrefour - Flers",GS_Pleins[E85 station]),"")</f>
        <v>0.84899999999999998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306D3-939D-40A4-89F3-A79DDC407BB2}">
  <sheetPr codeName="Feuil8"/>
  <dimension ref="A1:J15"/>
  <sheetViews>
    <sheetView tabSelected="1" workbookViewId="0">
      <pane ySplit="4" topLeftCell="A5" activePane="bottomLeft" state="frozenSplit"/>
      <selection pane="bottomLeft" activeCell="A5" sqref="A5"/>
    </sheetView>
  </sheetViews>
  <sheetFormatPr baseColWidth="10" defaultRowHeight="15.75" x14ac:dyDescent="0.25"/>
  <cols>
    <col min="1" max="1" width="12.625" customWidth="1"/>
    <col min="2" max="2" width="15" bestFit="1" customWidth="1"/>
    <col min="3" max="3" width="8.125" bestFit="1" customWidth="1"/>
    <col min="4" max="4" width="12.5" bestFit="1" customWidth="1"/>
    <col min="5" max="5" width="6.5" bestFit="1" customWidth="1"/>
    <col min="6" max="6" width="9" bestFit="1" customWidth="1"/>
    <col min="7" max="7" width="7.375" bestFit="1" customWidth="1"/>
    <col min="8" max="8" width="12.375" bestFit="1" customWidth="1"/>
    <col min="9" max="9" width="8.75" bestFit="1" customWidth="1"/>
    <col min="10" max="10" width="24.625" customWidth="1"/>
  </cols>
  <sheetData>
    <row r="1" spans="1:10" ht="30" customHeight="1" x14ac:dyDescent="0.3">
      <c r="A1" s="137" t="s">
        <v>370</v>
      </c>
      <c r="B1" s="137"/>
      <c r="C1" s="137"/>
      <c r="D1" s="137"/>
      <c r="E1" s="137"/>
      <c r="F1" s="137"/>
      <c r="G1" s="137"/>
      <c r="H1" s="137"/>
      <c r="I1" s="137"/>
      <c r="J1" s="137"/>
    </row>
    <row r="2" spans="1:10" ht="23.25" customHeight="1" x14ac:dyDescent="0.25">
      <c r="A2" s="138" t="s">
        <v>371</v>
      </c>
      <c r="B2" s="138"/>
      <c r="C2" s="138"/>
      <c r="D2" s="138"/>
      <c r="E2" s="138"/>
      <c r="F2" s="138"/>
      <c r="G2" s="138"/>
      <c r="H2" s="138"/>
      <c r="I2" s="138"/>
      <c r="J2" s="138"/>
    </row>
    <row r="3" spans="1:10" ht="6" customHeight="1" x14ac:dyDescent="0.25"/>
    <row r="4" spans="1:10" ht="24" customHeight="1" x14ac:dyDescent="0.25">
      <c r="A4" s="139" t="s">
        <v>1</v>
      </c>
      <c r="B4" s="139" t="s">
        <v>55</v>
      </c>
      <c r="C4" s="139" t="s">
        <v>308</v>
      </c>
      <c r="D4" s="139" t="s">
        <v>12</v>
      </c>
      <c r="E4" s="139" t="s">
        <v>372</v>
      </c>
      <c r="F4" s="139" t="s">
        <v>56</v>
      </c>
      <c r="G4" s="139" t="s">
        <v>57</v>
      </c>
      <c r="H4" s="139" t="s">
        <v>373</v>
      </c>
      <c r="I4" s="139" t="s">
        <v>365</v>
      </c>
      <c r="J4" s="139" t="s">
        <v>271</v>
      </c>
    </row>
    <row r="5" spans="1:10" x14ac:dyDescent="0.25">
      <c r="A5" s="140">
        <f>IFERROR(INDEX(GS_Pleins[Date],1),"")</f>
        <v>46131.083333333336</v>
      </c>
      <c r="B5" s="141" t="str">
        <f>IFERROR(INDEX(GS_Pleins[Type],1),"")</f>
        <v>Super 98</v>
      </c>
      <c r="C5" s="141" t="str">
        <f>IFERROR(INDEX(GS_Pleins[Vehicule],1),"")</f>
        <v>Z900</v>
      </c>
      <c r="D5" s="142">
        <f>IFERROR(INDEX(GS_Pleins[Km],1),"")</f>
        <v>9812</v>
      </c>
      <c r="E5" s="142"/>
      <c r="F5" s="143">
        <f>IFERROR(INDEX(GS_Pleins[Litres],1),"")</f>
        <v>11.4</v>
      </c>
      <c r="G5" s="144">
        <f>IFERROR(INDEX(GS_Pleins[PrixL],1),"")</f>
        <v>1.9730000000000001</v>
      </c>
      <c r="H5" s="143">
        <f>IFERROR($F5*$G5,"")</f>
        <v>22.4922</v>
      </c>
      <c r="I5" s="143" t="str">
        <f>IFERROR(IF(AND(ISNUMBER($E5),$E5&gt;0),$F5/$E5*100,""),"")</f>
        <v/>
      </c>
      <c r="J5" s="141" t="str">
        <f>IFERROR(INDEX(GS_Pleins[Station essence],1),"")</f>
        <v>Carrefour - Flers</v>
      </c>
    </row>
    <row r="6" spans="1:10" x14ac:dyDescent="0.25">
      <c r="A6" s="140">
        <f>IFERROR(INDEX(GS_Pleins[Date],2),"")</f>
        <v>46135.083333333336</v>
      </c>
      <c r="B6" s="141" t="str">
        <f>IFERROR(INDEX(GS_Pleins[Type],2),"")</f>
        <v>Super 98</v>
      </c>
      <c r="C6" s="141" t="str">
        <f>IFERROR(INDEX(GS_Pleins[Vehicule],2),"")</f>
        <v>Z900</v>
      </c>
      <c r="D6" s="142">
        <f>IFERROR(INDEX(GS_Pleins[Km],2),"")</f>
        <v>10094</v>
      </c>
      <c r="E6" s="142">
        <f>IFERROR(IF($C6=$C5,$D6-$D5,""),"")</f>
        <v>282</v>
      </c>
      <c r="F6" s="143">
        <f>IFERROR(INDEX(GS_Pleins[Litres],2),"")</f>
        <v>15.22</v>
      </c>
      <c r="G6" s="144">
        <f>IFERROR(INDEX(GS_Pleins[PrixL],2),"")</f>
        <v>1.9259999999999999</v>
      </c>
      <c r="H6" s="143">
        <f>IFERROR($F6*$G6,"")</f>
        <v>29.31372</v>
      </c>
      <c r="I6" s="143">
        <f>IFERROR(IF(AND(ISNUMBER($E6),$E6&gt;0),$F6/$E6*100,""),"")</f>
        <v>5.3971631205673765</v>
      </c>
      <c r="J6" s="141" t="str">
        <f>IFERROR(INDEX(GS_Pleins[Station essence],2),"")</f>
        <v>Carrefour - Flers</v>
      </c>
    </row>
    <row r="7" spans="1:10" x14ac:dyDescent="0.25">
      <c r="A7" s="140">
        <f>IFERROR(INDEX(GS_Pleins[Date],3),"")</f>
        <v>46140.083333333336</v>
      </c>
      <c r="B7" s="141" t="str">
        <f>IFERROR(INDEX(GS_Pleins[Type],3),"")</f>
        <v>Super 98</v>
      </c>
      <c r="C7" s="141" t="str">
        <f>IFERROR(INDEX(GS_Pleins[Vehicule],3),"")</f>
        <v>Z900</v>
      </c>
      <c r="D7" s="142">
        <f>IFERROR(INDEX(GS_Pleins[Km],3),"")</f>
        <v>10349</v>
      </c>
      <c r="E7" s="142">
        <f>IFERROR(IF($C7=$C6,$D7-$D6,""),"")</f>
        <v>255</v>
      </c>
      <c r="F7" s="143">
        <f>IFERROR(INDEX(GS_Pleins[Litres],3),"")</f>
        <v>13.75</v>
      </c>
      <c r="G7" s="144">
        <f>IFERROR(INDEX(GS_Pleins[PrixL],3),"")</f>
        <v>2.0310000000000001</v>
      </c>
      <c r="H7" s="143">
        <f>IFERROR($F7*$G7,"")</f>
        <v>27.926250000000003</v>
      </c>
      <c r="I7" s="143">
        <f>IFERROR(IF(AND(ISNUMBER($E7),$E7&gt;0),$F7/$E7*100,""),"")</f>
        <v>5.3921568627450984</v>
      </c>
      <c r="J7" s="141" t="str">
        <f>IFERROR(INDEX(GS_Pleins[Station essence],3),"")</f>
        <v>Leclerc - Douai</v>
      </c>
    </row>
    <row r="8" spans="1:10" x14ac:dyDescent="0.25">
      <c r="A8" s="140">
        <f>IFERROR(INDEX(GS_Pleins[Date],4),"")</f>
        <v>46146.083333333336</v>
      </c>
      <c r="B8" s="141" t="str">
        <f>IFERROR(INDEX(GS_Pleins[Type],4),"")</f>
        <v>SuperEthanol E85</v>
      </c>
      <c r="C8" s="141" t="str">
        <f>IFERROR(INDEX(GS_Pleins[Vehicule],4),"")</f>
        <v>Z900</v>
      </c>
      <c r="D8" s="142">
        <f>IFERROR(INDEX(GS_Pleins[Km],4),"")</f>
        <v>10553</v>
      </c>
      <c r="E8" s="142">
        <f>IFERROR(IF($C8=$C7,$D8-$D7,""),"")</f>
        <v>204</v>
      </c>
      <c r="F8" s="143">
        <f>IFERROR(INDEX(GS_Pleins[Litres],4),"")</f>
        <v>11.47</v>
      </c>
      <c r="G8" s="144">
        <f>IFERROR(INDEX(GS_Pleins[PrixL],4),"")</f>
        <v>0.80900000000000005</v>
      </c>
      <c r="H8" s="143">
        <f>IFERROR($F8*$G8,"")</f>
        <v>9.2792300000000019</v>
      </c>
      <c r="I8" s="143">
        <f>IFERROR(IF(AND(ISNUMBER($E8),$E8&gt;0),$F8/$E8*100,""),"")</f>
        <v>5.6225490196078436</v>
      </c>
      <c r="J8" s="141" t="str">
        <f>IFERROR(INDEX(GS_Pleins[Station essence],4),"")</f>
        <v>E.Leclerc - Beuvry</v>
      </c>
    </row>
    <row r="9" spans="1:10" x14ac:dyDescent="0.25">
      <c r="A9" s="140">
        <f>IFERROR(INDEX(GS_Pleins[Date],5),"")</f>
        <v>46148.083333333336</v>
      </c>
      <c r="B9" s="141" t="str">
        <f>IFERROR(INDEX(GS_Pleins[Type],5),"")</f>
        <v>SuperEthanol E85</v>
      </c>
      <c r="C9" s="141" t="str">
        <f>IFERROR(INDEX(GS_Pleins[Vehicule],5),"")</f>
        <v>Z900</v>
      </c>
      <c r="D9" s="142">
        <f>IFERROR(INDEX(GS_Pleins[Km],5),"")</f>
        <v>10749</v>
      </c>
      <c r="E9" s="142">
        <f>IFERROR(IF($C9=$C8,$D9-$D8,""),"")</f>
        <v>196</v>
      </c>
      <c r="F9" s="143">
        <f>IFERROR(INDEX(GS_Pleins[Litres],5),"")</f>
        <v>11.71</v>
      </c>
      <c r="G9" s="144">
        <f>IFERROR(INDEX(GS_Pleins[PrixL],5),"")</f>
        <v>0.747</v>
      </c>
      <c r="H9" s="143">
        <f>IFERROR($F9*$G9,"")</f>
        <v>8.7473700000000001</v>
      </c>
      <c r="I9" s="143">
        <f>IFERROR(IF(AND(ISNUMBER($E9),$E9&gt;0),$F9/$E9*100,""),"")</f>
        <v>5.9744897959183678</v>
      </c>
      <c r="J9" s="141" t="str">
        <f>IFERROR(INDEX(GS_Pleins[Station essence],5),"")</f>
        <v>E.Leclerc - Beuvry</v>
      </c>
    </row>
    <row r="10" spans="1:10" x14ac:dyDescent="0.25">
      <c r="A10" s="140">
        <f>IFERROR(INDEX(GS_Pleins[Date],6),"")</f>
        <v>46151.083333333336</v>
      </c>
      <c r="B10" s="141" t="str">
        <f>IFERROR(INDEX(GS_Pleins[Type],6),"")</f>
        <v>SuperEthanol E85</v>
      </c>
      <c r="C10" s="141" t="str">
        <f>IFERROR(INDEX(GS_Pleins[Vehicule],6),"")</f>
        <v>Z900</v>
      </c>
      <c r="D10" s="142">
        <f>IFERROR(INDEX(GS_Pleins[Km],6),"")</f>
        <v>10975</v>
      </c>
      <c r="E10" s="142">
        <f>IFERROR(IF($C10=$C9,$D10-$D9,""),"")</f>
        <v>226</v>
      </c>
      <c r="F10" s="143">
        <f>IFERROR(INDEX(GS_Pleins[Litres],6),"")</f>
        <v>15.28</v>
      </c>
      <c r="G10" s="144">
        <f>IFERROR(INDEX(GS_Pleins[PrixL],6),"")</f>
        <v>0.75700000000000001</v>
      </c>
      <c r="H10" s="143">
        <f>IFERROR($F10*$G10,"")</f>
        <v>11.56696</v>
      </c>
      <c r="I10" s="143">
        <f>IFERROR(IF(AND(ISNUMBER($E10),$E10&gt;0),$F10/$E10*100,""),"")</f>
        <v>6.7610619469026547</v>
      </c>
      <c r="J10" s="141" t="str">
        <f>IFERROR(INDEX(GS_Pleins[Station essence],6),"")</f>
        <v>E.Leclerc - Beuvry</v>
      </c>
    </row>
    <row r="11" spans="1:10" x14ac:dyDescent="0.25">
      <c r="A11" s="140">
        <f>IFERROR(INDEX(GS_Pleins[Date],7),"")</f>
        <v>46154.083333333336</v>
      </c>
      <c r="B11" s="141" t="str">
        <f>IFERROR(INDEX(GS_Pleins[Type],7),"")</f>
        <v>SuperEthanol E85</v>
      </c>
      <c r="C11" s="141" t="str">
        <f>IFERROR(INDEX(GS_Pleins[Vehicule],7),"")</f>
        <v>Z900</v>
      </c>
      <c r="D11" s="142">
        <f>IFERROR(INDEX(GS_Pleins[Km],7),"")</f>
        <v>11173</v>
      </c>
      <c r="E11" s="142">
        <f>IFERROR(IF($C11=$C10,$D11-$D10,""),"")</f>
        <v>198</v>
      </c>
      <c r="F11" s="143">
        <f>IFERROR(INDEX(GS_Pleins[Litres],7),"")</f>
        <v>13.94</v>
      </c>
      <c r="G11" s="144">
        <f>IFERROR(INDEX(GS_Pleins[PrixL],7),"")</f>
        <v>0.83499999999999996</v>
      </c>
      <c r="H11" s="143">
        <f>IFERROR($F11*$G11,"")</f>
        <v>11.639899999999999</v>
      </c>
      <c r="I11" s="143">
        <f>IFERROR(IF(AND(ISNUMBER($E11),$E11&gt;0),$F11/$E11*100,""),"")</f>
        <v>7.0404040404040398</v>
      </c>
      <c r="J11" s="141" t="str">
        <f>IFERROR(INDEX(GS_Pleins[Station essence],7),"")</f>
        <v>E.Leclerc - Beuvry</v>
      </c>
    </row>
    <row r="12" spans="1:10" x14ac:dyDescent="0.25">
      <c r="A12" s="140">
        <f>IFERROR(INDEX(GS_Pleins[Date],8),"")</f>
        <v>46157.083333333336</v>
      </c>
      <c r="B12" s="141" t="str">
        <f>IFERROR(INDEX(GS_Pleins[Type],8),"")</f>
        <v>SuperEthanol E85</v>
      </c>
      <c r="C12" s="141" t="str">
        <f>IFERROR(INDEX(GS_Pleins[Vehicule],8),"")</f>
        <v>Z900</v>
      </c>
      <c r="D12" s="142">
        <f>IFERROR(INDEX(GS_Pleins[Km],8),"")</f>
        <v>11376</v>
      </c>
      <c r="E12" s="142">
        <f>IFERROR(IF($C12=$C11,$D12-$D11,""),"")</f>
        <v>203</v>
      </c>
      <c r="F12" s="143">
        <f>IFERROR(INDEX(GS_Pleins[Litres],8),"")</f>
        <v>13.37</v>
      </c>
      <c r="G12" s="144">
        <f>IFERROR(INDEX(GS_Pleins[PrixL],8),"")</f>
        <v>0.71699999999999997</v>
      </c>
      <c r="H12" s="143">
        <f>IFERROR($F12*$G12,"")</f>
        <v>9.5862899999999982</v>
      </c>
      <c r="I12" s="143">
        <f>IFERROR(IF(AND(ISNUMBER($E12),$E12&gt;0),$F12/$E12*100,""),"")</f>
        <v>6.5862068965517233</v>
      </c>
      <c r="J12" s="141" t="str">
        <f>IFERROR(INDEX(GS_Pleins[Station essence],8),"")</f>
        <v>E.Leclerc - Beuvry</v>
      </c>
    </row>
    <row r="13" spans="1:10" x14ac:dyDescent="0.25">
      <c r="A13" s="140">
        <f>IFERROR(INDEX(GS_Pleins[Date],9),"")</f>
        <v>46161.083333333336</v>
      </c>
      <c r="B13" s="141" t="str">
        <f>IFERROR(INDEX(GS_Pleins[Type],9),"")</f>
        <v>SuperEthanol E85</v>
      </c>
      <c r="C13" s="141" t="str">
        <f>IFERROR(INDEX(GS_Pleins[Vehicule],9),"")</f>
        <v>Z900</v>
      </c>
      <c r="D13" s="142">
        <f>IFERROR(INDEX(GS_Pleins[Km],9),"")</f>
        <v>11596</v>
      </c>
      <c r="E13" s="142">
        <f>IFERROR(IF($C13=$C12,$D13-$D12,""),"")</f>
        <v>220</v>
      </c>
      <c r="F13" s="143">
        <f>IFERROR(INDEX(GS_Pleins[Litres],9),"")</f>
        <v>14.9</v>
      </c>
      <c r="G13" s="144">
        <f>IFERROR(INDEX(GS_Pleins[PrixL],9),"")</f>
        <v>0.79800000000000004</v>
      </c>
      <c r="H13" s="143">
        <f>IFERROR($F13*$G13,"")</f>
        <v>11.8902</v>
      </c>
      <c r="I13" s="143">
        <f>IFERROR(IF(AND(ISNUMBER($E13),$E13&gt;0),$F13/$E13*100,""),"")</f>
        <v>6.7727272727272734</v>
      </c>
      <c r="J13" s="141" t="str">
        <f>IFERROR(INDEX(GS_Pleins[Station essence],9),"")</f>
        <v>E.Leclerc - Beuvry</v>
      </c>
    </row>
    <row r="14" spans="1:10" x14ac:dyDescent="0.25">
      <c r="A14" s="140">
        <f>IFERROR(INDEX(GS_Pleins[Date],10),"")</f>
        <v>46164.083333333336</v>
      </c>
      <c r="B14" s="141" t="str">
        <f>IFERROR(INDEX(GS_Pleins[Type],10),"")</f>
        <v>SuperEthanol E85</v>
      </c>
      <c r="C14" s="141" t="str">
        <f>IFERROR(INDEX(GS_Pleins[Vehicule],10),"")</f>
        <v>Z900</v>
      </c>
      <c r="D14" s="142">
        <f>IFERROR(INDEX(GS_Pleins[Km],10),"")</f>
        <v>11831</v>
      </c>
      <c r="E14" s="142">
        <f>IFERROR(IF($C14=$C13,$D14-$D13,""),"")</f>
        <v>235</v>
      </c>
      <c r="F14" s="143">
        <f>IFERROR(INDEX(GS_Pleins[Litres],10),"")</f>
        <v>16.25</v>
      </c>
      <c r="G14" s="144">
        <f>IFERROR(INDEX(GS_Pleins[PrixL],10),"")</f>
        <v>0.79800000000000004</v>
      </c>
      <c r="H14" s="143">
        <f>IFERROR($F14*$G14,"")</f>
        <v>12.967500000000001</v>
      </c>
      <c r="I14" s="143">
        <f>IFERROR(IF(AND(ISNUMBER($E14),$E14&gt;0),$F14/$E14*100,""),"")</f>
        <v>6.9148936170212769</v>
      </c>
      <c r="J14" s="141" t="str">
        <f>IFERROR(INDEX(GS_Pleins[Station essence],10),"")</f>
        <v>E.Leclerc - Beuvry</v>
      </c>
    </row>
    <row r="15" spans="1:10" x14ac:dyDescent="0.25">
      <c r="A15" s="140">
        <f>IFERROR(INDEX(GS_Pleins[Date],11),"")</f>
        <v>46170.083333333336</v>
      </c>
      <c r="B15" s="141" t="str">
        <f>IFERROR(INDEX(GS_Pleins[Type],11),"")</f>
        <v>SuperEthanol E85</v>
      </c>
      <c r="C15" s="141" t="str">
        <f>IFERROR(INDEX(GS_Pleins[Vehicule],11),"")</f>
        <v>Z900</v>
      </c>
      <c r="D15" s="142">
        <f>IFERROR(INDEX(GS_Pleins[Km],11),"")</f>
        <v>12041</v>
      </c>
      <c r="E15" s="142">
        <f>IFERROR(IF($C15=$C14,$D15-$D14,""),"")</f>
        <v>210</v>
      </c>
      <c r="F15" s="143">
        <f>IFERROR(INDEX(GS_Pleins[Litres],11),"")</f>
        <v>13.23</v>
      </c>
      <c r="G15" s="144">
        <f>IFERROR(INDEX(GS_Pleins[PrixL],11),"")</f>
        <v>0.84899999999999998</v>
      </c>
      <c r="H15" s="143">
        <f>IFERROR($F15*$G15,"")</f>
        <v>11.23227</v>
      </c>
      <c r="I15" s="143">
        <f>IFERROR(IF(AND(ISNUMBER($E15),$E15&gt;0),$F15/$E15*100,""),"")</f>
        <v>6.3</v>
      </c>
      <c r="J15" s="141" t="str">
        <f>IFERROR(INDEX(GS_Pleins[Station essence],11),"")</f>
        <v>Carrefour - Flers</v>
      </c>
    </row>
  </sheetData>
  <mergeCells count="2">
    <mergeCell ref="A1:J1"/>
    <mergeCell ref="A2:J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Y12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9" max="9" width="16.75" customWidth="1"/>
    <col min="10" max="12" width="17.875" customWidth="1"/>
    <col min="13" max="14" width="19.375" customWidth="1"/>
    <col min="15" max="15" width="17.875" customWidth="1"/>
    <col min="16" max="16" width="13.375" customWidth="1"/>
    <col min="25" max="26" width="11.75" customWidth="1"/>
  </cols>
  <sheetData>
    <row r="1" spans="1:25" x14ac:dyDescent="0.25">
      <c r="A1" t="s">
        <v>294</v>
      </c>
      <c r="B1" t="s">
        <v>1</v>
      </c>
      <c r="C1" t="s">
        <v>55</v>
      </c>
      <c r="D1" t="s">
        <v>12</v>
      </c>
      <c r="E1" t="s">
        <v>56</v>
      </c>
      <c r="F1" t="s">
        <v>57</v>
      </c>
      <c r="G1" t="s">
        <v>271</v>
      </c>
      <c r="H1" t="s">
        <v>317</v>
      </c>
      <c r="I1" t="s">
        <v>318</v>
      </c>
      <c r="J1" t="s">
        <v>319</v>
      </c>
      <c r="K1" t="s">
        <v>320</v>
      </c>
      <c r="L1" t="s">
        <v>321</v>
      </c>
      <c r="M1" t="s">
        <v>322</v>
      </c>
      <c r="N1" t="s">
        <v>323</v>
      </c>
      <c r="O1" t="s">
        <v>333</v>
      </c>
      <c r="P1" t="s">
        <v>368</v>
      </c>
      <c r="Q1" t="s">
        <v>324</v>
      </c>
      <c r="R1" t="s">
        <v>325</v>
      </c>
      <c r="S1" t="s">
        <v>326</v>
      </c>
      <c r="T1" t="s">
        <v>327</v>
      </c>
      <c r="U1" t="s">
        <v>328</v>
      </c>
      <c r="V1" t="s">
        <v>329</v>
      </c>
      <c r="W1" t="s">
        <v>330</v>
      </c>
      <c r="X1" t="s">
        <v>331</v>
      </c>
      <c r="Y1" t="s">
        <v>332</v>
      </c>
    </row>
    <row r="2" spans="1:25" x14ac:dyDescent="0.25">
      <c r="A2" s="100">
        <v>46164.921076388891</v>
      </c>
      <c r="B2" s="100">
        <v>46164.083333333336</v>
      </c>
      <c r="C2" t="s">
        <v>100</v>
      </c>
      <c r="D2">
        <v>11831</v>
      </c>
      <c r="E2">
        <v>16.25</v>
      </c>
      <c r="F2">
        <v>0.79800000000000004</v>
      </c>
      <c r="G2" t="s">
        <v>335</v>
      </c>
      <c r="H2" t="s">
        <v>315</v>
      </c>
      <c r="I2">
        <v>0.79800000000000004</v>
      </c>
      <c r="O2" t="s">
        <v>334</v>
      </c>
    </row>
    <row r="3" spans="1:25" x14ac:dyDescent="0.25">
      <c r="A3" s="119">
        <v>46131</v>
      </c>
      <c r="B3" s="100">
        <v>46131.083333333336</v>
      </c>
      <c r="C3" t="s">
        <v>81</v>
      </c>
      <c r="D3">
        <v>9812</v>
      </c>
      <c r="E3">
        <v>11.4</v>
      </c>
      <c r="F3">
        <v>1.9730000000000001</v>
      </c>
      <c r="G3" t="s">
        <v>345</v>
      </c>
      <c r="H3" t="s">
        <v>315</v>
      </c>
      <c r="J3">
        <v>1.9730000000000001</v>
      </c>
      <c r="O3" t="s">
        <v>336</v>
      </c>
    </row>
    <row r="4" spans="1:25" x14ac:dyDescent="0.25">
      <c r="A4" s="119">
        <v>46135</v>
      </c>
      <c r="B4" s="100">
        <v>46135.083333333336</v>
      </c>
      <c r="C4" t="s">
        <v>81</v>
      </c>
      <c r="D4">
        <v>10094</v>
      </c>
      <c r="E4">
        <v>15.22</v>
      </c>
      <c r="F4">
        <v>1.9259999999999999</v>
      </c>
      <c r="G4" t="s">
        <v>345</v>
      </c>
      <c r="H4" t="s">
        <v>315</v>
      </c>
      <c r="J4">
        <v>1.9259999999999999</v>
      </c>
      <c r="O4" t="s">
        <v>337</v>
      </c>
    </row>
    <row r="5" spans="1:25" x14ac:dyDescent="0.25">
      <c r="A5" s="119">
        <v>46140</v>
      </c>
      <c r="B5" s="100">
        <v>46140.083333333336</v>
      </c>
      <c r="C5" t="s">
        <v>81</v>
      </c>
      <c r="D5">
        <v>10349</v>
      </c>
      <c r="E5">
        <v>13.75</v>
      </c>
      <c r="F5">
        <v>2.0310000000000001</v>
      </c>
      <c r="G5" t="s">
        <v>346</v>
      </c>
      <c r="H5" t="s">
        <v>315</v>
      </c>
      <c r="J5">
        <v>2.0310000000000001</v>
      </c>
      <c r="O5" t="s">
        <v>338</v>
      </c>
    </row>
    <row r="6" spans="1:25" x14ac:dyDescent="0.25">
      <c r="A6" s="119">
        <v>46146</v>
      </c>
      <c r="B6" s="100">
        <v>46146.083333333336</v>
      </c>
      <c r="C6" t="s">
        <v>100</v>
      </c>
      <c r="D6">
        <v>10553</v>
      </c>
      <c r="E6">
        <v>11.47</v>
      </c>
      <c r="F6">
        <v>0.80900000000000005</v>
      </c>
      <c r="G6" t="s">
        <v>335</v>
      </c>
      <c r="H6" t="s">
        <v>315</v>
      </c>
      <c r="I6">
        <v>0.80900000000000005</v>
      </c>
      <c r="J6">
        <v>2.0790000000000002</v>
      </c>
      <c r="O6" t="s">
        <v>339</v>
      </c>
    </row>
    <row r="7" spans="1:25" x14ac:dyDescent="0.25">
      <c r="A7" s="119">
        <v>46148</v>
      </c>
      <c r="B7" s="100">
        <v>46148.083333333336</v>
      </c>
      <c r="C7" t="s">
        <v>100</v>
      </c>
      <c r="D7">
        <v>10749</v>
      </c>
      <c r="E7">
        <v>11.71</v>
      </c>
      <c r="F7">
        <v>0.747</v>
      </c>
      <c r="G7" t="s">
        <v>335</v>
      </c>
      <c r="H7" t="s">
        <v>315</v>
      </c>
      <c r="I7">
        <v>0.747</v>
      </c>
      <c r="J7">
        <v>2.0979999999999999</v>
      </c>
      <c r="O7" t="s">
        <v>340</v>
      </c>
    </row>
    <row r="8" spans="1:25" x14ac:dyDescent="0.25">
      <c r="A8" s="119">
        <v>46151</v>
      </c>
      <c r="B8" s="100">
        <v>46151.083333333336</v>
      </c>
      <c r="C8" t="s">
        <v>100</v>
      </c>
      <c r="D8">
        <v>10975</v>
      </c>
      <c r="E8">
        <v>15.28</v>
      </c>
      <c r="F8">
        <v>0.75700000000000001</v>
      </c>
      <c r="G8" t="s">
        <v>335</v>
      </c>
      <c r="H8" t="s">
        <v>315</v>
      </c>
      <c r="I8">
        <v>0.75700000000000001</v>
      </c>
      <c r="J8">
        <v>2.0979999999999999</v>
      </c>
      <c r="O8" t="s">
        <v>341</v>
      </c>
    </row>
    <row r="9" spans="1:25" x14ac:dyDescent="0.25">
      <c r="A9" s="119">
        <v>46154</v>
      </c>
      <c r="B9" s="100">
        <v>46154.083333333336</v>
      </c>
      <c r="C9" t="s">
        <v>100</v>
      </c>
      <c r="D9">
        <v>11173</v>
      </c>
      <c r="E9">
        <v>13.94</v>
      </c>
      <c r="F9">
        <v>0.83499999999999996</v>
      </c>
      <c r="G9" t="s">
        <v>335</v>
      </c>
      <c r="H9" t="s">
        <v>315</v>
      </c>
      <c r="I9">
        <v>0.83499999999999996</v>
      </c>
      <c r="J9">
        <v>2.0950000000000002</v>
      </c>
      <c r="O9" t="s">
        <v>342</v>
      </c>
    </row>
    <row r="10" spans="1:25" x14ac:dyDescent="0.25">
      <c r="A10" s="119">
        <v>46157</v>
      </c>
      <c r="B10" s="100">
        <v>46157.083333333336</v>
      </c>
      <c r="C10" t="s">
        <v>100</v>
      </c>
      <c r="D10">
        <v>11376</v>
      </c>
      <c r="E10">
        <v>13.37</v>
      </c>
      <c r="F10">
        <v>0.71699999999999997</v>
      </c>
      <c r="G10" t="s">
        <v>335</v>
      </c>
      <c r="H10" t="s">
        <v>315</v>
      </c>
      <c r="I10">
        <v>0.71699999999999997</v>
      </c>
      <c r="J10">
        <v>2.0950000000000002</v>
      </c>
      <c r="O10" t="s">
        <v>343</v>
      </c>
    </row>
    <row r="11" spans="1:25" x14ac:dyDescent="0.25">
      <c r="A11" s="119">
        <v>46161</v>
      </c>
      <c r="B11" s="100">
        <v>46161.083333333336</v>
      </c>
      <c r="C11" t="s">
        <v>100</v>
      </c>
      <c r="D11">
        <v>11596</v>
      </c>
      <c r="E11">
        <v>14.9</v>
      </c>
      <c r="F11">
        <v>0.79800000000000004</v>
      </c>
      <c r="G11" t="s">
        <v>335</v>
      </c>
      <c r="H11" t="s">
        <v>315</v>
      </c>
      <c r="I11">
        <v>0.79800000000000004</v>
      </c>
      <c r="J11">
        <v>2.0910000000000002</v>
      </c>
      <c r="O11" t="s">
        <v>344</v>
      </c>
    </row>
    <row r="12" spans="1:25" x14ac:dyDescent="0.25">
      <c r="A12" s="100">
        <v>46171.162939814814</v>
      </c>
      <c r="B12" s="100">
        <v>46170.083333333336</v>
      </c>
      <c r="C12" t="s">
        <v>100</v>
      </c>
      <c r="D12">
        <v>12041</v>
      </c>
      <c r="E12">
        <v>13.23</v>
      </c>
      <c r="F12">
        <v>0.84899999999999998</v>
      </c>
      <c r="G12" t="s">
        <v>345</v>
      </c>
      <c r="H12" t="s">
        <v>315</v>
      </c>
      <c r="I12">
        <v>0.84899999999999998</v>
      </c>
      <c r="J12">
        <v>2.1789999999999998</v>
      </c>
      <c r="K12">
        <v>2.089</v>
      </c>
      <c r="L12">
        <v>2.0390000000000001</v>
      </c>
      <c r="M12">
        <v>2.0990000000000002</v>
      </c>
      <c r="N12">
        <v>0.96899999999999997</v>
      </c>
      <c r="O12" t="s">
        <v>367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A39"/>
  <sheetViews>
    <sheetView zoomScale="70" zoomScaleNormal="70" workbookViewId="0">
      <pane xSplit="1" ySplit="2" topLeftCell="B9" activePane="bottomRight" state="frozen"/>
      <selection pane="topRight" activeCell="B1" sqref="B1"/>
      <selection pane="bottomLeft" activeCell="A3" sqref="A3"/>
      <selection pane="bottomRight" activeCell="O31" sqref="O31"/>
    </sheetView>
  </sheetViews>
  <sheetFormatPr baseColWidth="10" defaultRowHeight="15.75" outlineLevelCol="1" x14ac:dyDescent="0.25"/>
  <cols>
    <col min="1" max="1" width="32" style="3" customWidth="1"/>
    <col min="2" max="2" width="18.375" style="3" customWidth="1"/>
    <col min="3" max="3" width="18.5" style="3" customWidth="1"/>
    <col min="4" max="4" width="14.25" style="3" customWidth="1"/>
    <col min="5" max="5" width="10.875" style="3" customWidth="1"/>
    <col min="6" max="6" width="12.125" style="3" customWidth="1"/>
    <col min="7" max="7" width="12.75" style="3" customWidth="1"/>
    <col min="8" max="8" width="14.5" style="3" customWidth="1"/>
    <col min="9" max="9" width="14.375" style="3" customWidth="1"/>
    <col min="10" max="10" width="16.875" style="3" customWidth="1"/>
    <col min="11" max="11" width="18.75" style="3" customWidth="1"/>
    <col min="12" max="12" width="21.5" style="3" customWidth="1"/>
    <col min="13" max="13" width="20" style="3" customWidth="1"/>
    <col min="14" max="14" width="20.25" style="3" customWidth="1"/>
    <col min="15" max="15" width="53.375" style="3" customWidth="1"/>
    <col min="16" max="16" width="1.625" style="3" hidden="1" customWidth="1"/>
    <col min="17" max="17" width="11.125" style="3" hidden="1" customWidth="1" outlineLevel="1"/>
    <col min="18" max="18" width="20.125" style="3" hidden="1" customWidth="1" outlineLevel="1"/>
    <col min="19" max="19" width="13.25" style="3" hidden="1" customWidth="1" outlineLevel="1"/>
    <col min="20" max="20" width="11" style="3" collapsed="1"/>
    <col min="21" max="25" width="11" style="3"/>
    <col min="26" max="26" width="19.25" style="3" bestFit="1" customWidth="1"/>
    <col min="27" max="27" width="19.5" style="3" bestFit="1" customWidth="1"/>
    <col min="28" max="16384" width="11" style="3"/>
  </cols>
  <sheetData>
    <row r="1" spans="1:27" ht="50.1" customHeight="1" x14ac:dyDescent="0.25">
      <c r="A1" s="130" t="s">
        <v>72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Z1" s="77">
        <v>46361</v>
      </c>
      <c r="AA1" s="77">
        <v>2</v>
      </c>
    </row>
    <row r="2" spans="1:27" ht="3.95" customHeight="1" x14ac:dyDescent="0.2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</row>
    <row r="3" spans="1:27" ht="14.25" customHeight="1" x14ac:dyDescent="0.25">
      <c r="A3" s="27"/>
      <c r="B3" s="27"/>
      <c r="C3" s="27"/>
      <c r="D3" s="27"/>
      <c r="E3" s="27"/>
      <c r="F3" s="27"/>
      <c r="G3" s="27"/>
      <c r="H3" s="27"/>
      <c r="I3" s="27"/>
      <c r="J3"/>
      <c r="K3"/>
      <c r="L3"/>
      <c r="M3"/>
    </row>
    <row r="4" spans="1:27" x14ac:dyDescent="0.25">
      <c r="A4" s="5" t="s">
        <v>6</v>
      </c>
      <c r="B4" s="28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</row>
    <row r="5" spans="1:27" x14ac:dyDescent="0.25">
      <c r="A5" s="7" t="s">
        <v>7</v>
      </c>
      <c r="B5" s="40">
        <v>514.54</v>
      </c>
      <c r="C5" s="8" t="s">
        <v>8</v>
      </c>
      <c r="D5" s="4"/>
      <c r="E5" s="4"/>
      <c r="F5" s="4"/>
      <c r="G5" s="7" t="s">
        <v>125</v>
      </c>
      <c r="H5" s="7"/>
      <c r="I5" s="7"/>
      <c r="J5" s="44">
        <f>IFERROR(AVERAGEIFS(Tableau2[Conso. (L/100km)],Tableau2[Type],"SuperEthanol E85"),"")</f>
        <v>6.4965415736416467</v>
      </c>
      <c r="K5" s="25" t="s">
        <v>126</v>
      </c>
      <c r="L5" s="4"/>
      <c r="M5" s="4"/>
    </row>
    <row r="6" spans="1:27" x14ac:dyDescent="0.25">
      <c r="A6" s="7" t="s">
        <v>41</v>
      </c>
      <c r="B6" s="44">
        <f>IFERROR(AVERAGEIFS(Tableau2[Conso. (L/100km)],Tableau2[Type],"Super 98"),"")</f>
        <v>5.394659991656237</v>
      </c>
      <c r="C6" s="25" t="s">
        <v>59</v>
      </c>
      <c r="D6" s="4"/>
      <c r="E6" s="4"/>
      <c r="F6" s="4"/>
      <c r="G6" s="7" t="s">
        <v>191</v>
      </c>
      <c r="H6" s="7"/>
      <c r="I6" s="7"/>
      <c r="J6" s="76" cm="1">
        <f t="array" ref="J6">IFERROR(AVERAGE(IF((Tableau2[Type]="SuperEthanol E85")*(Tableau2[Nb. km]&lt;&gt;"")*(Tableau2[Nb. Litres]&lt;&gt;""),Tableau2[Nb. km]/Tableau2[Nb. Litres])),"")</f>
        <v>15.475070705564583</v>
      </c>
      <c r="K6" s="25" t="s">
        <v>126</v>
      </c>
      <c r="L6" s="4"/>
      <c r="M6" s="4"/>
    </row>
    <row r="7" spans="1:27" x14ac:dyDescent="0.25">
      <c r="A7" s="7" t="s">
        <v>186</v>
      </c>
      <c r="B7" s="76" cm="1">
        <f t="array" ref="B7">IFERROR(AVERAGE(IF((Tableau2[Type]="Super 98")*(Tableau2[Nb. km]&lt;&gt;"")*(Tableau2[Nb. Litres]&lt;&gt;""),Tableau2[Nb. km]/Tableau2[Nb. Litres])),"")</f>
        <v>18.536853422530164</v>
      </c>
      <c r="C7" s="25" t="s">
        <v>59</v>
      </c>
      <c r="D7" s="4"/>
      <c r="E7" s="4"/>
      <c r="F7" s="4"/>
      <c r="G7" s="59" t="s">
        <v>9</v>
      </c>
      <c r="H7" s="59"/>
      <c r="I7" s="59"/>
      <c r="J7" s="41">
        <f>IF(OR(B6="",B6=0,COUNTIF(Tableau2[Type],"SuperEthanol E85")=0),0.2,AVERAGEIFS(Tableau2[Conso. (L/100km)],Tableau2[Type],"SuperEthanol E85")/B6-1)</f>
        <v>0.20425412976715074</v>
      </c>
      <c r="K7" s="8" t="s">
        <v>42</v>
      </c>
      <c r="L7" s="4"/>
      <c r="M7" s="4"/>
    </row>
    <row r="8" spans="1:27" ht="7.5" customHeight="1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</row>
    <row r="9" spans="1:27" x14ac:dyDescent="0.25">
      <c r="A9" s="35" t="s">
        <v>102</v>
      </c>
      <c r="B9" s="30"/>
      <c r="C9" s="31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</row>
    <row r="10" spans="1:27" x14ac:dyDescent="0.25">
      <c r="A10" s="7" t="s">
        <v>103</v>
      </c>
      <c r="B10" s="42">
        <f>IFERROR(LOOKUP(9.99999999999999E+307,Tableau2[Économie cumulée (€)]),0)</f>
        <v>105.7995381736649</v>
      </c>
      <c r="C10" s="8" t="s">
        <v>104</v>
      </c>
      <c r="D10" s="4"/>
      <c r="E10" s="4"/>
      <c r="F10" s="4"/>
      <c r="G10" s="129" t="s">
        <v>107</v>
      </c>
      <c r="H10" s="129"/>
      <c r="I10" s="43"/>
      <c r="J10" s="39">
        <f>IFERROR(IF(B11=0,LOOKUP(9.99999999999999E+307,Tableau2[Date]),LOOKUP(9.99999999999999E+307,Tableau2[Date])+(J11-LOOKUP(9.99999999999999E+307,Tableau2[Km compteur]))/((LOOKUP(9.99999999999999E+307,Tableau2[Km compteur])-INDEX(Tableau2[Km compteur],1))/(LOOKUP(9.99999999999999E+307,Tableau2[Date])-INDEX(Tableau2[Date],1)))),"En attente de plus de pleins")</f>
        <v>46284.371747443773</v>
      </c>
      <c r="K10" s="36" t="s">
        <v>108</v>
      </c>
      <c r="L10" s="36"/>
      <c r="M10" s="36"/>
      <c r="N10" s="4"/>
    </row>
    <row r="11" spans="1:27" x14ac:dyDescent="0.25">
      <c r="A11" s="7" t="s">
        <v>105</v>
      </c>
      <c r="B11" s="42">
        <f>MAX(0,B5-B10)</f>
        <v>408.74046182633504</v>
      </c>
      <c r="C11" s="8" t="s">
        <v>106</v>
      </c>
      <c r="D11" s="4"/>
      <c r="E11" s="4"/>
      <c r="F11" s="4"/>
      <c r="G11" s="7" t="s">
        <v>114</v>
      </c>
      <c r="H11" s="7"/>
      <c r="I11" s="7"/>
      <c r="J11" s="38">
        <f>IFERROR(IF(B11=0,LOOKUP(9.99999999999999E+307,Tableau2[Km compteur]),IF(OR(B12="-",B12=0),"En attente d'un plein E85",LOOKUP(9.99999999999999E+307,Tableau2[Km compteur])+B11/B12)),"En attente d'un plein E85")</f>
        <v>18577.785257747993</v>
      </c>
      <c r="K11" s="36" t="s">
        <v>196</v>
      </c>
      <c r="L11" s="36"/>
      <c r="M11" s="36"/>
      <c r="N11" s="4"/>
      <c r="O11" s="4"/>
      <c r="P11" s="4"/>
    </row>
    <row r="12" spans="1:27" x14ac:dyDescent="0.25">
      <c r="A12" s="7" t="s">
        <v>109</v>
      </c>
      <c r="B12" s="45" cm="1">
        <f t="array" ref="B12">IFERROR(IF(COUNTIF(Tableau2[Type],"SuperEthanol E85")=0,"-",B10/(LOOKUP(9.99999999999999E+307,IF(Tableau2[Type]="SuperEthanol E85",Tableau2[Km compteur]))-INDEX(Tableau2[Km compteur],MATCH("SuperEthanol E85",Tableau2[Type],0)-1))),"-")</f>
        <v>6.2529277880416609E-2</v>
      </c>
      <c r="C12" s="33"/>
      <c r="D12" s="33"/>
      <c r="E12" s="4"/>
      <c r="F12" s="4"/>
      <c r="G12" s="7" t="s">
        <v>119</v>
      </c>
      <c r="H12" s="7"/>
      <c r="I12" s="7"/>
      <c r="J12" s="37">
        <f>IFERROR(MIN(B10/B5,1),0)</f>
        <v>0.20561965672963212</v>
      </c>
      <c r="K12" s="36" t="s">
        <v>120</v>
      </c>
      <c r="L12" s="36"/>
      <c r="M12" s="36"/>
      <c r="N12" s="4"/>
      <c r="O12" s="4"/>
      <c r="P12" s="4"/>
    </row>
    <row r="13" spans="1:27" ht="11.25" customHeight="1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</row>
    <row r="14" spans="1:27" x14ac:dyDescent="0.25">
      <c r="A14" s="29" t="s">
        <v>10</v>
      </c>
      <c r="B14" s="34"/>
      <c r="C14" s="32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</row>
    <row r="15" spans="1:27" ht="37.5" customHeight="1" x14ac:dyDescent="0.25">
      <c r="A15" s="94" t="s">
        <v>11</v>
      </c>
      <c r="B15" s="95" t="s">
        <v>1</v>
      </c>
      <c r="C15" s="95" t="s">
        <v>55</v>
      </c>
      <c r="D15" s="95" t="s">
        <v>12</v>
      </c>
      <c r="E15" s="95" t="s">
        <v>185</v>
      </c>
      <c r="F15" s="95" t="s">
        <v>56</v>
      </c>
      <c r="G15" s="95" t="s">
        <v>57</v>
      </c>
      <c r="H15" s="95" t="s">
        <v>99</v>
      </c>
      <c r="I15" s="96" t="s">
        <v>58</v>
      </c>
      <c r="J15" s="96" t="s">
        <v>13</v>
      </c>
      <c r="K15" s="95" t="s">
        <v>135</v>
      </c>
      <c r="L15" s="96" t="s">
        <v>82</v>
      </c>
      <c r="M15" s="97" t="s">
        <v>101</v>
      </c>
      <c r="N15" s="97" t="s">
        <v>14</v>
      </c>
      <c r="O15" s="96" t="s">
        <v>271</v>
      </c>
      <c r="Q15" s="46" t="s">
        <v>149</v>
      </c>
      <c r="R15" s="46" t="s">
        <v>14</v>
      </c>
      <c r="S15" s="46" t="s">
        <v>136</v>
      </c>
    </row>
    <row r="16" spans="1:27" x14ac:dyDescent="0.25">
      <c r="A16" s="47">
        <v>1</v>
      </c>
      <c r="B16" s="48">
        <v>46131</v>
      </c>
      <c r="C16" s="49" t="s">
        <v>81</v>
      </c>
      <c r="D16" s="50">
        <v>9812</v>
      </c>
      <c r="E16" s="65" t="str">
        <f>IF(AND(ISNUMBER(D15),Tableau2[[#This Row],[Km compteur]]&lt;&gt;""),Tableau2[[#This Row],[Km compteur]]-D15,"")</f>
        <v/>
      </c>
      <c r="F16" s="51">
        <v>11.4</v>
      </c>
      <c r="G16" s="52">
        <v>1.9730000000000001</v>
      </c>
      <c r="H16" s="53" t="str">
        <f t="shared" ref="H16:H23" si="0">IF(OR(D16="",D15="",I16="",ISTEXT(D15)),"",F16/(D16-D15)*100)</f>
        <v/>
      </c>
      <c r="I16" s="54">
        <f t="shared" ref="I16:I23" si="1">IF(F16="","",F16*G16)</f>
        <v>22.4922</v>
      </c>
      <c r="J16" s="55" t="str">
        <f t="shared" ref="J16:J23" si="2">IF(OR(D16="",D15="",F16="",ISTEXT(D15)),"",F16/(D16-D15)*100)</f>
        <v/>
      </c>
      <c r="K16" s="56">
        <f>IF(Tableau2[[#This Row],[Type]]="Super 98",Tableau2[[#This Row],[Prix €/L]],"")</f>
        <v>1.9730000000000001</v>
      </c>
      <c r="L16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6" s="57"/>
      <c r="N16" s="58" t="str">
        <f>IF(Tableau2[[#This Row],[Type]]&lt;&gt;"SuperEthanol E85","",IF(Tableau2[[#This Row],[Coût Plein (€)]]="","",IF(N15&lt;&gt;"",N15+(L16-Tableau2[[#This Row],[Coût Plein (€)]]),L16-Tableau2[[#This Row],[Coût Plein (€)]])))</f>
        <v/>
      </c>
      <c r="O16" s="80" t="s">
        <v>345</v>
      </c>
      <c r="Q16" s="3">
        <v>0</v>
      </c>
      <c r="R16" s="3">
        <v>0</v>
      </c>
      <c r="S16" s="3">
        <f>$B$5</f>
        <v>514.54</v>
      </c>
    </row>
    <row r="17" spans="1:19" x14ac:dyDescent="0.25">
      <c r="A17" s="47">
        <f t="shared" ref="A17:A23" si="3">IF(B17="","",A16+1)</f>
        <v>2</v>
      </c>
      <c r="B17" s="48">
        <v>46135</v>
      </c>
      <c r="C17" s="49" t="s">
        <v>81</v>
      </c>
      <c r="D17" s="50">
        <v>10094</v>
      </c>
      <c r="E17" s="65">
        <f>IF(AND(ISNUMBER(D16),Tableau2[[#This Row],[Km compteur]]&lt;&gt;""),Tableau2[[#This Row],[Km compteur]]-D16,"")</f>
        <v>282</v>
      </c>
      <c r="F17" s="51">
        <v>15.22</v>
      </c>
      <c r="G17" s="52">
        <v>1.9259999999999999</v>
      </c>
      <c r="H17" s="53">
        <f t="shared" si="0"/>
        <v>5.3971631205673765</v>
      </c>
      <c r="I17" s="54">
        <f>IF(F17="","",F17*G17)</f>
        <v>29.31372</v>
      </c>
      <c r="J17" s="55">
        <f t="shared" si="2"/>
        <v>5.3971631205673765</v>
      </c>
      <c r="K17" s="56">
        <f>IF(Tableau2[[#This Row],[Type]]="Super 98",Tableau2[[#This Row],[Prix €/L]],"")</f>
        <v>1.9259999999999999</v>
      </c>
      <c r="L17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7" s="57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7" s="58" t="str">
        <f>IF(Tableau2[[#This Row],[Type]]&lt;&gt;"SuperEthanol E85","",IF(Tableau2[[#This Row],[Coût Plein (€)]]="","",IF(N16&lt;&gt;"",N16+(L17-Tableau2[[#This Row],[Coût Plein (€)]]),L17-Tableau2[[#This Row],[Coût Plein (€)]])))</f>
        <v/>
      </c>
      <c r="O17" s="80" t="s">
        <v>345</v>
      </c>
      <c r="Q17" s="3" cm="1">
        <f t="array" ref="Q17">IFERROR(IF(SMALL(IF((Tableau2[Type]="SuperEthanol E85")*(Tableau2[Économie cumulée (€)]&lt;&gt;""),ROW(Tableau2[Type])),1)&gt;0,1,NA()),NA())</f>
        <v>1</v>
      </c>
      <c r="R17" s="3" cm="1">
        <f t="array" ref="R17">IFERROR(INDEX(Tableau2[Économie cumulée (€)],SMALL(IF((Tableau2[Type]="SuperEthanol E85")*(Tableau2[Économie cumulée (€)]&lt;&gt;""),ROW(Tableau2[Type])-ROW(Tableau2[#Headers])),1)),NA())</f>
        <v>10.522346270791598</v>
      </c>
      <c r="S17" s="3">
        <f t="shared" ref="R17:S32" si="4">IF(ISNA(Q17),NA(),$B$5)</f>
        <v>514.54</v>
      </c>
    </row>
    <row r="18" spans="1:19" x14ac:dyDescent="0.25">
      <c r="A18" s="47">
        <f t="shared" si="3"/>
        <v>3</v>
      </c>
      <c r="B18" s="48">
        <v>46140</v>
      </c>
      <c r="C18" s="49" t="s">
        <v>81</v>
      </c>
      <c r="D18" s="50">
        <v>10349</v>
      </c>
      <c r="E18" s="65">
        <f>IF(AND(ISNUMBER(D17),Tableau2[[#This Row],[Km compteur]]&lt;&gt;""),Tableau2[[#This Row],[Km compteur]]-D17,"")</f>
        <v>255</v>
      </c>
      <c r="F18" s="51">
        <v>13.75</v>
      </c>
      <c r="G18" s="52">
        <v>2.0310000000000001</v>
      </c>
      <c r="H18" s="53">
        <f t="shared" si="0"/>
        <v>5.3921568627450984</v>
      </c>
      <c r="I18" s="54">
        <f t="shared" si="1"/>
        <v>27.926250000000003</v>
      </c>
      <c r="J18" s="55">
        <f t="shared" si="2"/>
        <v>5.3921568627450984</v>
      </c>
      <c r="K18" s="56">
        <f>IF(Tableau2[[#This Row],[Type]]="Super 98",Tableau2[[#This Row],[Prix €/L]],"")</f>
        <v>2.0310000000000001</v>
      </c>
      <c r="L18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8" s="57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8" s="58" t="str">
        <f>IF(Tableau2[[#This Row],[Type]]&lt;&gt;"SuperEthanol E85","",IF(Tableau2[[#This Row],[Coût Plein (€)]]="","",IF(N17&lt;&gt;"",N17+(L18-Tableau2[[#This Row],[Coût Plein (€)]]),L18-Tableau2[[#This Row],[Coût Plein (€)]])))</f>
        <v/>
      </c>
      <c r="O18" s="80" t="s">
        <v>346</v>
      </c>
      <c r="Q18" s="3" cm="1">
        <f t="array" ref="Q18">IFERROR(IF(SMALL(IF((Tableau2[Type]="SuperEthanol E85")*(Tableau2[Économie cumulée (€)]&lt;&gt;""),ROW(Tableau2[Type])),2)&gt;0,2,NA()),NA())</f>
        <v>2</v>
      </c>
      <c r="R18" s="3" cm="1">
        <f t="array" ref="R18">IFERROR(INDEX(Tableau2[Économie cumulée (€)],SMALL(IF((Tableau2[Type]="SuperEthanol E85")*(Tableau2[Économie cumulée (€)]&lt;&gt;""),ROW(Tableau2[Type])-ROW(Tableau2[#Headers])),2)),NA())</f>
        <v>22.175637055530014</v>
      </c>
      <c r="S18" s="3">
        <f t="shared" si="4"/>
        <v>514.54</v>
      </c>
    </row>
    <row r="19" spans="1:19" x14ac:dyDescent="0.25">
      <c r="A19" s="47">
        <f t="shared" si="3"/>
        <v>4</v>
      </c>
      <c r="B19" s="48">
        <v>46146</v>
      </c>
      <c r="C19" s="49" t="s">
        <v>100</v>
      </c>
      <c r="D19" s="50">
        <v>10553</v>
      </c>
      <c r="E19" s="65">
        <f>IF(AND(ISNUMBER(D18),Tableau2[[#This Row],[Km compteur]]&lt;&gt;""),Tableau2[[#This Row],[Km compteur]]-D18,"")</f>
        <v>204</v>
      </c>
      <c r="F19" s="51">
        <v>11.47</v>
      </c>
      <c r="G19" s="52">
        <v>0.80900000000000005</v>
      </c>
      <c r="H19" s="53">
        <f t="shared" si="0"/>
        <v>5.6225490196078436</v>
      </c>
      <c r="I19" s="54">
        <f t="shared" si="1"/>
        <v>9.2792300000000019</v>
      </c>
      <c r="J19" s="55">
        <f t="shared" si="2"/>
        <v>5.6225490196078436</v>
      </c>
      <c r="K19" s="56">
        <v>2.0790000000000002</v>
      </c>
      <c r="L19" s="54">
        <f>IF(OR(Tableau2[[#This Row],[Type]]&lt;&gt;"SuperEthanol E85",Tableau2[[#This Row],[Nb. Litres]]="",Tableau2[[#This Row],[Prix S98 jour (€/L)]]=""),"",Tableau2[[#This Row],[Nb. Litres]]/(1+$J$7)*Tableau2[[#This Row],[Prix S98 jour (€/L)]])</f>
        <v>19.8015762707916</v>
      </c>
      <c r="M19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0.53138932612716439</v>
      </c>
      <c r="N19" s="58">
        <f>IF(Tableau2[[#This Row],[Type]]&lt;&gt;"SuperEthanol E85","",IF(Tableau2[[#This Row],[Coût Plein (€)]]="","",IF(N18&lt;&gt;"",N18+(L19-Tableau2[[#This Row],[Coût Plein (€)]]),L19-Tableau2[[#This Row],[Coût Plein (€)]])))</f>
        <v>10.522346270791598</v>
      </c>
      <c r="O19" s="80" t="s">
        <v>335</v>
      </c>
      <c r="Q19" s="3" cm="1">
        <f t="array" ref="Q19">IFERROR(IF(SMALL(IF((Tableau2[Type]="SuperEthanol E85")*(Tableau2[Économie cumulée (€)]&lt;&gt;""),ROW(Tableau2[Type])),3)&gt;0,3,NA()),NA())</f>
        <v>3</v>
      </c>
      <c r="R19" s="3" cm="1">
        <f t="array" ref="R19">IFERROR(INDEX(Tableau2[Économie cumulée (€)],SMALL(IF((Tableau2[Type]="SuperEthanol E85")*(Tableau2[Économie cumulée (€)]&lt;&gt;""),ROW(Tableau2[Type])-ROW(Tableau2[#Headers])),3)),NA())</f>
        <v>37.22883903595725</v>
      </c>
      <c r="S19" s="3">
        <f t="shared" si="4"/>
        <v>514.54</v>
      </c>
    </row>
    <row r="20" spans="1:19" x14ac:dyDescent="0.25">
      <c r="A20" s="47">
        <f t="shared" si="3"/>
        <v>5</v>
      </c>
      <c r="B20" s="48">
        <v>46148</v>
      </c>
      <c r="C20" s="49" t="s">
        <v>100</v>
      </c>
      <c r="D20" s="50">
        <v>10749</v>
      </c>
      <c r="E20" s="65">
        <f>IF(AND(ISNUMBER(D19),Tableau2[[#This Row],[Km compteur]]&lt;&gt;""),Tableau2[[#This Row],[Km compteur]]-D19,"")</f>
        <v>196</v>
      </c>
      <c r="F20" s="51">
        <v>11.71</v>
      </c>
      <c r="G20" s="52">
        <v>0.747</v>
      </c>
      <c r="H20" s="53">
        <f t="shared" si="0"/>
        <v>5.9744897959183678</v>
      </c>
      <c r="I20" s="54">
        <f t="shared" si="1"/>
        <v>8.7473700000000001</v>
      </c>
      <c r="J20" s="55">
        <f t="shared" si="2"/>
        <v>5.9744897959183678</v>
      </c>
      <c r="K20" s="56">
        <v>2.0979999999999999</v>
      </c>
      <c r="L20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20.400660784738417</v>
      </c>
      <c r="M20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0.57122124168919852</v>
      </c>
      <c r="N20" s="58">
        <f>IF(Tableau2[[#This Row],[Type]]&lt;&gt;"SuperEthanol E85","",IF(Tableau2[[#This Row],[Coût Plein (€)]]="","",IF(N19&lt;&gt;"",N19+(L20-Tableau2[[#This Row],[Coût Plein (€)]]),L20-Tableau2[[#This Row],[Coût Plein (€)]])))</f>
        <v>22.175637055530014</v>
      </c>
      <c r="O20" s="80" t="s">
        <v>335</v>
      </c>
      <c r="Q20" s="3" cm="1">
        <f t="array" ref="Q20">IFERROR(IF(SMALL(IF((Tableau2[Type]="SuperEthanol E85")*(Tableau2[Économie cumulée (€)]&lt;&gt;""),ROW(Tableau2[Type])),4)&gt;0,4,NA()),NA())</f>
        <v>4</v>
      </c>
      <c r="R20" s="3" cm="1">
        <f t="array" ref="R20">IFERROR(INDEX(Tableau2[Économie cumulée (€)],SMALL(IF((Tableau2[Type]="SuperEthanol E85")*(Tableau2[Économie cumulée (€)]&lt;&gt;""),ROW(Tableau2[Type])-ROW(Tableau2[#Headers])),4)),NA())</f>
        <v>49.839883482082435</v>
      </c>
      <c r="S20" s="3">
        <f t="shared" si="4"/>
        <v>514.54</v>
      </c>
    </row>
    <row r="21" spans="1:19" x14ac:dyDescent="0.25">
      <c r="A21" s="47">
        <f t="shared" si="3"/>
        <v>6</v>
      </c>
      <c r="B21" s="48">
        <v>46151</v>
      </c>
      <c r="C21" s="49" t="s">
        <v>100</v>
      </c>
      <c r="D21" s="50">
        <v>10975</v>
      </c>
      <c r="E21" s="65">
        <f>IF(AND(ISNUMBER(D20),Tableau2[[#This Row],[Km compteur]]&lt;&gt;""),Tableau2[[#This Row],[Km compteur]]-D20,"")</f>
        <v>226</v>
      </c>
      <c r="F21" s="51">
        <v>15.28</v>
      </c>
      <c r="G21" s="52">
        <v>0.75700000000000001</v>
      </c>
      <c r="H21" s="53">
        <f t="shared" si="0"/>
        <v>6.7610619469026547</v>
      </c>
      <c r="I21" s="54">
        <f t="shared" si="1"/>
        <v>11.56696</v>
      </c>
      <c r="J21" s="55">
        <f t="shared" si="2"/>
        <v>6.7610619469026547</v>
      </c>
      <c r="K21" s="56">
        <v>2.0979999999999999</v>
      </c>
      <c r="L21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26.620161980427238</v>
      </c>
      <c r="M21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0.56548123153778207</v>
      </c>
      <c r="N21" s="58">
        <f>IF(Tableau2[[#This Row],[Type]]&lt;&gt;"SuperEthanol E85","",IF(Tableau2[[#This Row],[Coût Plein (€)]]="","",IF(N20&lt;&gt;"",N20+(L21-Tableau2[[#This Row],[Coût Plein (€)]]),L21-Tableau2[[#This Row],[Coût Plein (€)]])))</f>
        <v>37.22883903595725</v>
      </c>
      <c r="O21" s="80" t="s">
        <v>335</v>
      </c>
      <c r="Q21" s="3" cm="1">
        <f t="array" ref="Q21">IFERROR(IF(SMALL(IF((Tableau2[Type]="SuperEthanol E85")*(Tableau2[Économie cumulée (€)]&lt;&gt;""),ROW(Tableau2[Type])),5)&gt;0,5,NA()),NA())</f>
        <v>5</v>
      </c>
      <c r="R21" s="3" cm="1">
        <f t="array" ref="R21">IFERROR(INDEX(Tableau2[Économie cumulée (€)],SMALL(IF((Tableau2[Type]="SuperEthanol E85")*(Tableau2[Économie cumulée (€)]&lt;&gt;""),ROW(Tableau2[Type])-ROW(Tableau2[#Headers])),5)),NA())</f>
        <v>63.512928291601355</v>
      </c>
      <c r="S21" s="3">
        <f t="shared" si="4"/>
        <v>514.54</v>
      </c>
    </row>
    <row r="22" spans="1:19" x14ac:dyDescent="0.25">
      <c r="A22" s="47">
        <f t="shared" si="3"/>
        <v>7</v>
      </c>
      <c r="B22" s="48">
        <v>46154</v>
      </c>
      <c r="C22" s="64" t="s">
        <v>100</v>
      </c>
      <c r="D22" s="65">
        <v>11173</v>
      </c>
      <c r="E22" s="65">
        <f>IF(AND(ISNUMBER(D21),Tableau2[[#This Row],[Km compteur]]&lt;&gt;""),Tableau2[[#This Row],[Km compteur]]-D21,"")</f>
        <v>198</v>
      </c>
      <c r="F22" s="66">
        <v>13.94</v>
      </c>
      <c r="G22" s="67">
        <v>0.83499999999999996</v>
      </c>
      <c r="H22" s="53">
        <f t="shared" si="0"/>
        <v>7.0404040404040398</v>
      </c>
      <c r="I22" s="54">
        <f>IF(F22="","",F22*G22)</f>
        <v>11.639899999999999</v>
      </c>
      <c r="J22" s="55">
        <f t="shared" si="2"/>
        <v>7.0404040404040398</v>
      </c>
      <c r="K22" s="68">
        <v>2.0950000000000002</v>
      </c>
      <c r="L22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24.250944446125185</v>
      </c>
      <c r="M22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0.5200228170140474</v>
      </c>
      <c r="N22" s="58">
        <f>IF(Tableau2[[#This Row],[Type]]&lt;&gt;"SuperEthanol E85","",IF(Tableau2[[#This Row],[Coût Plein (€)]]="","",IF(N21&lt;&gt;"",N21+(L22-Tableau2[[#This Row],[Coût Plein (€)]]),L22-Tableau2[[#This Row],[Coût Plein (€)]])))</f>
        <v>49.839883482082435</v>
      </c>
      <c r="O22" s="80" t="s">
        <v>335</v>
      </c>
      <c r="Q22" s="3" cm="1">
        <f t="array" ref="Q22">IFERROR(IF(SMALL(IF((Tableau2[Type]="SuperEthanol E85")*(Tableau2[Économie cumulée (€)]&lt;&gt;""),ROW(Tableau2[Type])),6)&gt;0,6,NA()),NA())</f>
        <v>6</v>
      </c>
      <c r="R22" s="3" cm="1">
        <f t="array" ref="R22">IFERROR(INDEX(Tableau2[Économie cumulée (€)],SMALL(IF((Tableau2[Type]="SuperEthanol E85")*(Tableau2[Économie cumulée (€)]&lt;&gt;""),ROW(Tableau2[Type])-ROW(Tableau2[#Headers])),6)),NA())</f>
        <v>77.494260910737296</v>
      </c>
      <c r="S22" s="3">
        <f t="shared" si="4"/>
        <v>514.54</v>
      </c>
    </row>
    <row r="23" spans="1:19" x14ac:dyDescent="0.25">
      <c r="A23" s="47">
        <f t="shared" si="3"/>
        <v>8</v>
      </c>
      <c r="B23" s="48">
        <v>46157</v>
      </c>
      <c r="C23" s="49" t="s">
        <v>100</v>
      </c>
      <c r="D23" s="50">
        <v>11376</v>
      </c>
      <c r="E23" s="65">
        <f>IF(AND(ISNUMBER(D22),Tableau2[[#This Row],[Km compteur]]&lt;&gt;""),Tableau2[[#This Row],[Km compteur]]-D22,"")</f>
        <v>203</v>
      </c>
      <c r="F23" s="51">
        <v>13.37</v>
      </c>
      <c r="G23" s="52">
        <v>0.71699999999999997</v>
      </c>
      <c r="H23" s="53">
        <f t="shared" si="0"/>
        <v>6.5862068965517233</v>
      </c>
      <c r="I23" s="54">
        <f t="shared" si="1"/>
        <v>9.5862899999999982</v>
      </c>
      <c r="J23" s="55">
        <f t="shared" si="2"/>
        <v>6.5862068965517233</v>
      </c>
      <c r="K23" s="56">
        <v>2.0950000000000002</v>
      </c>
      <c r="L23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23.259334809518919</v>
      </c>
      <c r="M23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0.58785192790308027</v>
      </c>
      <c r="N23" s="58">
        <f>IF(Tableau2[[#This Row],[Type]]&lt;&gt;"SuperEthanol E85","",IF(Tableau2[[#This Row],[Coût Plein (€)]]="","",IF(N22&lt;&gt;"",N22+(L23-Tableau2[[#This Row],[Coût Plein (€)]]),L23-Tableau2[[#This Row],[Coût Plein (€)]])))</f>
        <v>63.512928291601355</v>
      </c>
      <c r="O23" s="80" t="s">
        <v>335</v>
      </c>
      <c r="Q23" s="3" cm="1">
        <f t="array" ref="Q23">IFERROR(IF(SMALL(IF((Tableau2[Type]="SuperEthanol E85")*(Tableau2[Économie cumulée (€)]&lt;&gt;""),ROW(Tableau2[Type])),7)&gt;0,7,NA()),NA())</f>
        <v>7</v>
      </c>
      <c r="R23" s="3" cm="1">
        <f t="array" ref="R23">IFERROR(INDEX(Tableau2[Économie cumulée (€)],SMALL(IF((Tableau2[Type]="SuperEthanol E85")*(Tableau2[Économie cumulée (€)]&lt;&gt;""),ROW(Tableau2[Type])-ROW(Tableau2[#Headers])),7)),NA())</f>
        <v>93.093198134956467</v>
      </c>
      <c r="S23" s="3">
        <f t="shared" si="4"/>
        <v>514.54</v>
      </c>
    </row>
    <row r="24" spans="1:19" x14ac:dyDescent="0.25">
      <c r="A24" s="79">
        <f>IF(B24="","",A23+1)</f>
        <v>9</v>
      </c>
      <c r="B24" s="48">
        <v>46161</v>
      </c>
      <c r="C24" s="64" t="s">
        <v>100</v>
      </c>
      <c r="D24" s="65">
        <v>11596</v>
      </c>
      <c r="E24" s="65">
        <f>IF(AND(ISNUMBER(D23),Tableau2[[#This Row],[Km compteur]]&lt;&gt;""),Tableau2[[#This Row],[Km compteur]]-D23,"")</f>
        <v>220</v>
      </c>
      <c r="F24" s="66">
        <v>14.9</v>
      </c>
      <c r="G24" s="67">
        <v>0.79800000000000004</v>
      </c>
      <c r="H24" s="78">
        <f>IF(OR(D24="",D23="",I24="",ISTEXT(D23)),"",F24/(D24-D23)*100)</f>
        <v>6.7727272727272734</v>
      </c>
      <c r="I24" s="54">
        <f>IF(F24="","",F24*G24)</f>
        <v>11.8902</v>
      </c>
      <c r="J24" s="55">
        <f>IF(OR(D24="",D23="",F24="",ISTEXT(D23)),"",F24/(D24-D23)*100)</f>
        <v>6.7727272727272734</v>
      </c>
      <c r="K24" s="68">
        <v>2.0910000000000002</v>
      </c>
      <c r="L24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25.871532619135941</v>
      </c>
      <c r="M24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0.54041377544037006</v>
      </c>
      <c r="N24" s="58">
        <f>IF(Tableau2[[#This Row],[Type]]&lt;&gt;"SuperEthanol E85","",IF(Tableau2[[#This Row],[Coût Plein (€)]]="","",IF(N23&lt;&gt;"",N23+(L24-Tableau2[[#This Row],[Coût Plein (€)]]),L24-Tableau2[[#This Row],[Coût Plein (€)]])))</f>
        <v>77.494260910737296</v>
      </c>
      <c r="O24" s="80" t="s">
        <v>335</v>
      </c>
      <c r="Q24" s="3" t="e" cm="1">
        <f t="array" ref="Q24">IFERROR(IF(SMALL(IF((Tableau2[Type]="SuperEthanol E85")*(Tableau2[Économie cumulée (€)]&lt;&gt;""),ROW(Tableau2[Type])),11)&gt;0,11,NA()),NA())</f>
        <v>#N/A</v>
      </c>
      <c r="R24" s="3" t="e" cm="1">
        <f t="array" ref="R24">IFERROR(INDEX(Tableau2[Économie cumulée (€)],SMALL(IF((Tableau2[Type]="SuperEthanol E85")*(Tableau2[Économie cumulée (€)]&lt;&gt;""),ROW(Tableau2[Type])-ROW(Tableau2[#Headers])),11)),NA())</f>
        <v>#N/A</v>
      </c>
      <c r="S24" s="3" t="e">
        <f t="shared" si="4"/>
        <v>#N/A</v>
      </c>
    </row>
    <row r="25" spans="1:19" x14ac:dyDescent="0.25">
      <c r="A25" s="79">
        <f>IF(B25="","",A24+1)</f>
        <v>10</v>
      </c>
      <c r="B25" s="48">
        <v>46164</v>
      </c>
      <c r="C25" s="64" t="s">
        <v>100</v>
      </c>
      <c r="D25" s="65">
        <v>11831</v>
      </c>
      <c r="E25" s="65">
        <f>IF(AND(ISNUMBER(D24),Tableau2[[#This Row],[Km compteur]]&lt;&gt;""),Tableau2[[#This Row],[Km compteur]]-D24,"")</f>
        <v>235</v>
      </c>
      <c r="F25" s="66">
        <v>16.25</v>
      </c>
      <c r="G25" s="67">
        <v>0.79800000000000004</v>
      </c>
      <c r="H25" s="78">
        <f>IF(OR(D25="",D24="",I25="",ISTEXT(D24)),"",F25/(D25-D24)*100)</f>
        <v>6.9148936170212769</v>
      </c>
      <c r="I25" s="54">
        <f>IF(F25="","",F25*G25)</f>
        <v>12.967500000000001</v>
      </c>
      <c r="J25" s="55">
        <f>IF(OR(D25="",D24="",F25="",ISTEXT(D24)),"",F25/(D25-D24)*100)</f>
        <v>6.9148936170212769</v>
      </c>
      <c r="K25" s="68">
        <v>2.117</v>
      </c>
      <c r="L25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28.566437224219172</v>
      </c>
      <c r="M25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0.54605819765980801</v>
      </c>
      <c r="N25" s="54">
        <f>IF(Tableau2[[#This Row],[Type]]&lt;&gt;"SuperEthanol E85","",IF(Tableau2[[#This Row],[Coût Plein (€)]]="","",IF(N24&lt;&gt;"",N24+(L25-Tableau2[[#This Row],[Coût Plein (€)]]),L25-Tableau2[[#This Row],[Coût Plein (€)]])))</f>
        <v>93.093198134956467</v>
      </c>
      <c r="O25" s="80" t="s">
        <v>345</v>
      </c>
      <c r="Q25" s="3" t="e" cm="1">
        <f t="array" ref="Q25">IFERROR(IF(SMALL(IF((Tableau2[Type]="SuperEthanol E85")*(Tableau2[Économie cumulée (€)]&lt;&gt;""),ROW(Tableau2[Type])),14)&gt;0,14,NA()),NA())</f>
        <v>#N/A</v>
      </c>
      <c r="R25" s="3" t="e" cm="1">
        <f t="array" ref="R25">IFERROR(INDEX(Tableau2[Économie cumulée (€)],SMALL(IF((Tableau2[Type]="SuperEthanol E85")*(Tableau2[Économie cumulée (€)]&lt;&gt;""),ROW(Tableau2[Type])-ROW(Tableau2[#Headers])),14)),NA())</f>
        <v>#N/A</v>
      </c>
      <c r="S25" s="3" t="e">
        <f t="shared" si="4"/>
        <v>#N/A</v>
      </c>
    </row>
    <row r="26" spans="1:19" x14ac:dyDescent="0.25">
      <c r="A26" s="79">
        <f>IF(B26="","",A25+1)</f>
        <v>11</v>
      </c>
      <c r="B26" s="48">
        <v>46170</v>
      </c>
      <c r="C26" s="64" t="s">
        <v>100</v>
      </c>
      <c r="D26" s="65">
        <v>12041</v>
      </c>
      <c r="E26" s="65">
        <f>IF(AND(ISNUMBER(D25),Tableau2[[#This Row],[Km compteur]]&lt;&gt;""),Tableau2[[#This Row],[Km compteur]]-D25,"")</f>
        <v>210</v>
      </c>
      <c r="F26" s="66">
        <v>13.23</v>
      </c>
      <c r="G26" s="67">
        <v>0.84899999999999998</v>
      </c>
      <c r="H26" s="78">
        <f>IF(OR(D26="",D25="",I26="",ISTEXT(D25)),"",F26/(D26-D25)*100)</f>
        <v>6.3</v>
      </c>
      <c r="I26" s="54">
        <f>IF(F26="","",F26*G26)</f>
        <v>11.23227</v>
      </c>
      <c r="J26" s="55">
        <f>IF(OR(D26="",D25="",F26="",ISTEXT(D25)),"",F26/(D26-D25)*100)</f>
        <v>6.3</v>
      </c>
      <c r="K26" s="68">
        <v>2.1789999999999998</v>
      </c>
      <c r="L26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23.938610038708429</v>
      </c>
      <c r="M26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0.53078854696084854</v>
      </c>
      <c r="N26" s="54">
        <f>IF(Tableau2[[#This Row],[Type]]&lt;&gt;"SuperEthanol E85","",IF(Tableau2[[#This Row],[Coût Plein (€)]]="","",IF(N25&lt;&gt;"",N25+(L26-Tableau2[[#This Row],[Coût Plein (€)]]),L26-Tableau2[[#This Row],[Coût Plein (€)]])))</f>
        <v>105.7995381736649</v>
      </c>
      <c r="O26" s="80" t="s">
        <v>345</v>
      </c>
      <c r="Q26" s="3" t="e" cm="1">
        <f t="array" ref="Q26">IFERROR(IF(SMALL(IF((Tableau2[Type]="SuperEthanol E85")*(Tableau2[Économie cumulée (€)]&lt;&gt;""),ROW(Tableau2[Type])),15)&gt;0,15,NA()),NA())</f>
        <v>#N/A</v>
      </c>
      <c r="R26" s="3" t="e" cm="1">
        <f t="array" ref="R26">IFERROR(INDEX(Tableau2[Économie cumulée (€)],SMALL(IF((Tableau2[Type]="SuperEthanol E85")*(Tableau2[Économie cumulée (€)]&lt;&gt;""),ROW(Tableau2[Type])-ROW(Tableau2[#Headers])),15)),NA())</f>
        <v>#N/A</v>
      </c>
      <c r="S26" s="3" t="e">
        <f t="shared" si="4"/>
        <v>#N/A</v>
      </c>
    </row>
    <row r="27" spans="1:19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Q27" s="3" t="e" cm="1">
        <f t="array" ref="Q27">IFERROR(IF(SMALL(IF((Tableau2[Type]="SuperEthanol E85")*(Tableau2[Économie cumulée (€)]&lt;&gt;""),ROW(Tableau2[Type])),16)&gt;0,16,NA()),NA())</f>
        <v>#N/A</v>
      </c>
      <c r="R27" s="3" t="e" cm="1">
        <f t="array" ref="R27">IFERROR(INDEX(Tableau2[Économie cumulée (€)],SMALL(IF((Tableau2[Type]="SuperEthanol E85")*(Tableau2[Économie cumulée (€)]&lt;&gt;""),ROW(Tableau2[Type])-ROW(Tableau2[#Headers])),16)),NA())</f>
        <v>#N/A</v>
      </c>
      <c r="S27" s="3" t="e">
        <f t="shared" si="4"/>
        <v>#N/A</v>
      </c>
    </row>
    <row r="28" spans="1:19" x14ac:dyDescent="0.25">
      <c r="A28" s="5" t="s">
        <v>15</v>
      </c>
      <c r="B28" s="6"/>
      <c r="C28" s="6"/>
      <c r="D28" s="6"/>
      <c r="E28" s="6"/>
      <c r="F28" s="4"/>
      <c r="G28" s="16" t="s">
        <v>19</v>
      </c>
      <c r="H28" s="17"/>
      <c r="I28" s="17"/>
      <c r="J28" s="17"/>
      <c r="K28" s="17"/>
      <c r="L28" s="17"/>
      <c r="M28" s="4"/>
      <c r="Q28" s="3" t="e" cm="1">
        <f t="array" ref="Q28">IFERROR(IF(SMALL(IF((Tableau2[Type]="SuperEthanol E85")*(Tableau2[Économie cumulée (€)]&lt;&gt;""),ROW(Tableau2[Type])),17)&gt;0,17,NA()),NA())</f>
        <v>#N/A</v>
      </c>
      <c r="R28" s="3" t="e" cm="1">
        <f t="array" ref="R28">IFERROR(INDEX(Tableau2[Économie cumulée (€)],SMALL(IF((Tableau2[Type]="SuperEthanol E85")*(Tableau2[Économie cumulée (€)]&lt;&gt;""),ROW(Tableau2[Type])-ROW(Tableau2[#Headers])),17)),NA())</f>
        <v>#N/A</v>
      </c>
      <c r="S28" s="3" t="e">
        <f t="shared" si="4"/>
        <v>#N/A</v>
      </c>
    </row>
    <row r="29" spans="1:19" x14ac:dyDescent="0.25">
      <c r="A29" s="7" t="s">
        <v>67</v>
      </c>
      <c r="B29" s="9">
        <f>COUNTIF(C16:C26,"SuperEthanol E85")</f>
        <v>8</v>
      </c>
      <c r="C29" s="9"/>
      <c r="D29" s="9"/>
      <c r="E29" s="9"/>
      <c r="F29" s="4"/>
      <c r="G29" s="18" t="s">
        <v>20</v>
      </c>
      <c r="H29" s="18"/>
      <c r="I29" s="18"/>
      <c r="J29" s="69">
        <f>SUM(L16:L26)</f>
        <v>192.70925817366492</v>
      </c>
      <c r="K29" s="18"/>
      <c r="L29" s="18"/>
      <c r="M29" s="8" t="s">
        <v>21</v>
      </c>
      <c r="Q29" s="3" t="e" cm="1">
        <f t="array" ref="Q29">IFERROR(IF(SMALL(IF((Tableau2[Type]="SuperEthanol E85")*(Tableau2[Économie cumulée (€)]&lt;&gt;""),ROW(Tableau2[Type])),18)&gt;0,18,NA()),NA())</f>
        <v>#N/A</v>
      </c>
      <c r="R29" s="3" t="e" cm="1">
        <f t="array" ref="R29">IFERROR(INDEX(Tableau2[Économie cumulée (€)],SMALL(IF((Tableau2[Type]="SuperEthanol E85")*(Tableau2[Économie cumulée (€)]&lt;&gt;""),ROW(Tableau2[Type])-ROW(Tableau2[#Headers])),18)),NA())</f>
        <v>#N/A</v>
      </c>
      <c r="S29" s="3" t="e">
        <f t="shared" si="4"/>
        <v>#N/A</v>
      </c>
    </row>
    <row r="30" spans="1:19" x14ac:dyDescent="0.25">
      <c r="A30" s="10" t="s">
        <v>66</v>
      </c>
      <c r="B30" s="21">
        <f>COUNTIF(C16:C26,"Super 98")</f>
        <v>3</v>
      </c>
      <c r="C30" s="11"/>
      <c r="D30" s="11"/>
      <c r="E30" s="11"/>
      <c r="F30" s="4"/>
      <c r="G30" s="19" t="s">
        <v>22</v>
      </c>
      <c r="H30" s="19"/>
      <c r="I30" s="19"/>
      <c r="J30" s="70">
        <f>IF(J29=0,"",J29-B35)</f>
        <v>105.79953817366493</v>
      </c>
      <c r="K30" s="19"/>
      <c r="L30" s="19"/>
      <c r="M30" s="8" t="s">
        <v>23</v>
      </c>
      <c r="Q30" s="3" t="e" cm="1">
        <f t="array" ref="Q30">IFERROR(IF(SMALL(IF((Tableau2[Type]="SuperEthanol E85")*(Tableau2[Économie cumulée (€)]&lt;&gt;""),ROW(Tableau2[Type])),19)&gt;0,19,NA()),NA())</f>
        <v>#N/A</v>
      </c>
      <c r="R30" s="3" t="e" cm="1">
        <f t="array" ref="R30">IFERROR(INDEX(Tableau2[Économie cumulée (€)],SMALL(IF((Tableau2[Type]="SuperEthanol E85")*(Tableau2[Économie cumulée (€)]&lt;&gt;""),ROW(Tableau2[Type])-ROW(Tableau2[#Headers])),19)),NA())</f>
        <v>#N/A</v>
      </c>
      <c r="S30" s="3" t="e">
        <f t="shared" si="4"/>
        <v>#N/A</v>
      </c>
    </row>
    <row r="31" spans="1:19" x14ac:dyDescent="0.25">
      <c r="A31" s="7" t="s">
        <v>16</v>
      </c>
      <c r="B31" s="22">
        <f>IF(COUNTA(D16:D26)&lt;2,"",MAX(D16:D26)-MIN(D16:D26))</f>
        <v>2229</v>
      </c>
      <c r="C31" s="12"/>
      <c r="D31" s="12"/>
      <c r="E31" s="12"/>
      <c r="F31" s="4"/>
      <c r="G31" s="20" t="s">
        <v>24</v>
      </c>
      <c r="H31" s="18"/>
      <c r="I31" s="18"/>
      <c r="J31" s="71">
        <f>IF(J30="","",J30-B5)</f>
        <v>-408.74046182633504</v>
      </c>
      <c r="K31" s="18"/>
      <c r="L31" s="18"/>
      <c r="M31" s="8" t="s">
        <v>25</v>
      </c>
      <c r="P31" s="3" t="e" cm="1">
        <f t="array" ref="P31">IFERROR(IF(SMALL(IF((Tableau2[Type]="SuperEthanol E85")*(Tableau2[Économie cumulée (€)]&lt;&gt;""),ROW(Tableau2[Type])),20)&gt;0,20,NA()),NA())</f>
        <v>#N/A</v>
      </c>
      <c r="Q31" s="3" t="e" cm="1">
        <f t="array" ref="Q31">IFERROR(INDEX(Tableau2[Économie cumulée (€)],SMALL(IF((Tableau2[Type]="SuperEthanol E85")*(Tableau2[Économie cumulée (€)]&lt;&gt;""),ROW(Tableau2[Type])-ROW(Tableau2[#Headers])),20)),NA())</f>
        <v>#N/A</v>
      </c>
      <c r="R31" s="3" t="e">
        <f t="shared" si="4"/>
        <v>#N/A</v>
      </c>
    </row>
    <row r="32" spans="1:19" x14ac:dyDescent="0.25">
      <c r="A32" s="61" t="s">
        <v>182</v>
      </c>
      <c r="B32" s="62">
        <f>IFERROR((LOOKUP(9.99999999999999E+307,Tableau2[Km compteur])-INDEX(Tableau2[Km compteur],1))/(LOOKUP(9.99999999999999E+307,Tableau2[Date])-INDEX(Tableau2[Date],1))*7,"-")</f>
        <v>400.07692307692309</v>
      </c>
      <c r="C32" s="11"/>
      <c r="D32" s="11"/>
      <c r="E32" s="11"/>
      <c r="F32" s="4"/>
      <c r="G32" s="19" t="s">
        <v>26</v>
      </c>
      <c r="H32" s="19"/>
      <c r="I32" s="19"/>
      <c r="J32" s="72">
        <f>IF(OR(B5="",B5=0,J30=""),"",MIN(J30/B5,1))</f>
        <v>0.20561965672963217</v>
      </c>
      <c r="K32" s="19"/>
      <c r="L32" s="19"/>
      <c r="M32" s="4"/>
      <c r="P32" s="3" t="e" cm="1">
        <f t="array" ref="P32">IFERROR(IF(SMALL(IF((Tableau2[Type]="SuperEthanol E85")*(Tableau2[Économie cumulée (€)]&lt;&gt;""),ROW(Tableau2[Type])),21)&gt;0,21,NA()),NA())</f>
        <v>#N/A</v>
      </c>
      <c r="Q32" s="3" t="e" cm="1">
        <f t="array" ref="Q32">IFERROR(INDEX(Tableau2[Économie cumulée (€)],SMALL(IF((Tableau2[Type]="SuperEthanol E85")*(Tableau2[Économie cumulée (€)]&lt;&gt;""),ROW(Tableau2[Type])-ROW(Tableau2[#Headers])),21)),NA())</f>
        <v>#N/A</v>
      </c>
      <c r="R32" s="3" t="e">
        <f t="shared" si="4"/>
        <v>#N/A</v>
      </c>
    </row>
    <row r="33" spans="1:27" x14ac:dyDescent="0.25">
      <c r="A33" s="7" t="s">
        <v>183</v>
      </c>
      <c r="B33" s="60">
        <f>IFERROR((LOOKUP(9.99999999999999E+307,Tableau2[Km compteur])-INDEX(Tableau2[Km compteur],1))/(LOOKUP(9.99999999999999E+307,Tableau2[Date])-INDEX(Tableau2[Date],1))*30.4375,"-")</f>
        <v>1739.6201923076924</v>
      </c>
      <c r="C33" s="12"/>
      <c r="D33" s="12"/>
      <c r="E33" s="12"/>
      <c r="F33" s="4"/>
      <c r="G33" s="18" t="s">
        <v>27</v>
      </c>
      <c r="H33" s="18"/>
      <c r="I33" s="18"/>
      <c r="J33" s="18" t="str">
        <f>IF(J31="","",IF(J31&gt;=0,"✅ OUI ! Rentabilisé !","❌ Pas encore... Encore "&amp;TEXT(ABS(J31),"#,##")&amp;" € à économiser"))</f>
        <v>❌ Pas encore... Encore 408,74 € à économiser</v>
      </c>
      <c r="K33" s="18"/>
      <c r="L33" s="18"/>
      <c r="M33" s="4"/>
    </row>
    <row r="34" spans="1:27" x14ac:dyDescent="0.25">
      <c r="A34" s="10" t="s">
        <v>17</v>
      </c>
      <c r="B34" s="23">
        <f>SUMIF(C16:C26,"SuperEthanol E85",F16:F26)</f>
        <v>110.15</v>
      </c>
      <c r="C34" s="13"/>
      <c r="D34" s="13"/>
      <c r="E34" s="13"/>
      <c r="F34" s="4"/>
      <c r="G34" s="73"/>
      <c r="H34" s="73"/>
      <c r="I34" s="73"/>
      <c r="J34" s="73"/>
      <c r="K34" s="73"/>
      <c r="L34" s="73"/>
      <c r="M34" s="4"/>
    </row>
    <row r="35" spans="1:27" x14ac:dyDescent="0.25">
      <c r="A35" s="7" t="s">
        <v>18</v>
      </c>
      <c r="B35" s="24">
        <f>SUMIF(C16:C26,"SuperEthanol E85",I16:I26)</f>
        <v>86.909719999999993</v>
      </c>
      <c r="C35" s="12"/>
      <c r="D35" s="12"/>
      <c r="E35" s="12"/>
      <c r="F35" s="4"/>
      <c r="G35" s="18" t="s">
        <v>40</v>
      </c>
      <c r="H35" s="18"/>
      <c r="I35" s="18"/>
      <c r="J35" s="75">
        <f>IF(OR(J30="",B31="",B31=0),"",J30/B31*100)</f>
        <v>4.7465023855390278</v>
      </c>
      <c r="K35" s="18"/>
      <c r="L35" s="18"/>
      <c r="M35" s="4"/>
    </row>
    <row r="36" spans="1:27" x14ac:dyDescent="0.25">
      <c r="A36" s="10" t="s">
        <v>60</v>
      </c>
      <c r="B36" s="23">
        <f>IFERROR(AVERAGEIFS(J16:J26,C16:C26,"SuperEthanol E85"),"")</f>
        <v>6.4965415736416467</v>
      </c>
      <c r="C36" s="14"/>
      <c r="D36" s="14"/>
      <c r="E36" s="14"/>
      <c r="F36" s="4"/>
      <c r="G36" s="19" t="s">
        <v>184</v>
      </c>
      <c r="H36" s="19"/>
      <c r="I36" s="19"/>
      <c r="J36" s="74">
        <f>IF(OR(J35="",J35&lt;=0,J31=""),"",IF(J31&gt;=0,0,ROUNDUP(ABS(J31)/J35*100,0)))</f>
        <v>8612</v>
      </c>
      <c r="K36" s="19"/>
      <c r="L36" s="19"/>
      <c r="M36" s="4"/>
    </row>
    <row r="37" spans="1:27" x14ac:dyDescent="0.25">
      <c r="A37" s="7" t="s">
        <v>61</v>
      </c>
      <c r="B37" s="12">
        <f>IFERROR(AVERAGEIFS(J16:J26,C16:C26,"Super 98"),"")</f>
        <v>5.394659991656237</v>
      </c>
      <c r="C37" s="15"/>
      <c r="D37" s="15"/>
      <c r="E37" s="15"/>
      <c r="F37" s="4"/>
      <c r="G37" s="4"/>
      <c r="H37" s="4"/>
      <c r="I37" s="4"/>
      <c r="J37" s="4"/>
      <c r="K37" s="4"/>
      <c r="L37" s="4"/>
    </row>
    <row r="38" spans="1:27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</row>
    <row r="39" spans="1:27" x14ac:dyDescent="0.25">
      <c r="AA39"/>
    </row>
  </sheetData>
  <sheetProtection selectLockedCells="1"/>
  <mergeCells count="2">
    <mergeCell ref="G10:H10"/>
    <mergeCell ref="A1:O1"/>
  </mergeCells>
  <phoneticPr fontId="15" type="noConversion"/>
  <conditionalFormatting sqref="K16:K26">
    <cfRule type="expression" dxfId="33" priority="2">
      <formula>AND($C16="SuperEthanol E85",$K16="")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6:C26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6:O26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B1:I20"/>
  <sheetViews>
    <sheetView workbookViewId="0">
      <selection activeCell="F9" sqref="F9"/>
    </sheetView>
  </sheetViews>
  <sheetFormatPr baseColWidth="10" defaultColWidth="9" defaultRowHeight="15.75" x14ac:dyDescent="0.25"/>
  <cols>
    <col min="1" max="1" width="3" style="83" customWidth="1"/>
    <col min="2" max="2" width="43.125" style="83" customWidth="1"/>
    <col min="3" max="6" width="16" style="83" customWidth="1"/>
    <col min="7" max="9" width="13" style="83" customWidth="1"/>
    <col min="10" max="16384" width="9" style="83"/>
  </cols>
  <sheetData>
    <row r="1" spans="2:9" ht="8.1" customHeight="1" x14ac:dyDescent="0.25">
      <c r="B1" s="82"/>
      <c r="C1" s="82"/>
      <c r="D1" s="82"/>
      <c r="E1" s="82"/>
      <c r="F1" s="82"/>
      <c r="G1" s="82"/>
    </row>
    <row r="2" spans="2:9" ht="36" customHeight="1" x14ac:dyDescent="0.25">
      <c r="B2" s="131" t="s">
        <v>296</v>
      </c>
      <c r="C2" s="132"/>
      <c r="D2" s="132"/>
      <c r="E2" s="132"/>
      <c r="F2" s="132"/>
      <c r="G2" s="132"/>
    </row>
    <row r="3" spans="2:9" ht="6" customHeight="1" x14ac:dyDescent="0.25">
      <c r="B3" s="84"/>
      <c r="C3" s="84"/>
      <c r="D3" s="84"/>
      <c r="E3" s="84"/>
      <c r="F3" s="84"/>
      <c r="G3" s="84"/>
    </row>
    <row r="4" spans="2:9" ht="27.95" customHeight="1" x14ac:dyDescent="0.25">
      <c r="B4" s="133" t="s">
        <v>316</v>
      </c>
      <c r="C4" s="132"/>
      <c r="D4" s="132"/>
      <c r="E4" s="132"/>
      <c r="F4" s="132"/>
      <c r="G4" s="132"/>
    </row>
    <row r="5" spans="2:9" ht="32.1" customHeight="1" x14ac:dyDescent="0.25">
      <c r="B5" s="85" t="s">
        <v>276</v>
      </c>
      <c r="C5" s="86" t="s">
        <v>297</v>
      </c>
      <c r="D5" s="86" t="s">
        <v>298</v>
      </c>
      <c r="E5" s="86" t="s">
        <v>299</v>
      </c>
      <c r="F5" s="86" t="s">
        <v>300</v>
      </c>
      <c r="G5" s="86" t="s">
        <v>301</v>
      </c>
      <c r="H5" s="86" t="s">
        <v>302</v>
      </c>
      <c r="I5" s="85" t="s">
        <v>303</v>
      </c>
    </row>
    <row r="6" spans="2:9" ht="21.95" customHeight="1" x14ac:dyDescent="0.25">
      <c r="B6" s="88" t="str">
        <f>IF(Notes!$D$3="","",Notes!$D$3)</f>
        <v>Carrefour - Flers</v>
      </c>
      <c r="C6" s="89">
        <f>IFERROR(AVERAGEIF(GS_Pleins[Station essence],$B6,GS_Pleins[E85 station]),"")</f>
        <v>0.84899999999999998</v>
      </c>
      <c r="D6" s="89">
        <f>IFERROR(AVERAGEIF(GS_Pleins[Station essence],$B6,GS_Pleins[SP98 station]),"")</f>
        <v>2.0259999999999998</v>
      </c>
      <c r="E6" s="89">
        <f>IFERROR(AVERAGEIF(GS_Pleins[Station essence],$B6,GS_Pleins[SP95 station]),"")</f>
        <v>2.089</v>
      </c>
      <c r="F6" s="89">
        <f>IFERROR(AVERAGEIF(GS_Pleins[Station essence],$B6,GS_Pleins[E10 station]),"")</f>
        <v>2.0390000000000001</v>
      </c>
      <c r="G6" s="89">
        <f>IFERROR(AVERAGEIF(GS_Pleins[Station essence],$B6,GS_Pleins[Gazole station]),"")</f>
        <v>2.0990000000000002</v>
      </c>
      <c r="H6" s="89">
        <f>IFERROR(AVERAGEIF(GS_Pleins[Station essence],$B6,GS_Pleins[GPLc station]),"")</f>
        <v>0.96899999999999997</v>
      </c>
      <c r="I6" s="90">
        <f>IF(Notes!$D3="","",COUNTIF(GS_Pleins!$G:$G,B6))</f>
        <v>3</v>
      </c>
    </row>
    <row r="7" spans="2:9" ht="21.95" customHeight="1" x14ac:dyDescent="0.25">
      <c r="B7" s="87" t="str">
        <f>IF(Notes!$D$4="","",Notes!$D$4)</f>
        <v>E.Leclerc - Beuvry</v>
      </c>
      <c r="C7" s="89">
        <f>IFERROR(AVERAGEIF(GS_Pleins[Station essence],$B7,GS_Pleins[E85 station]),"")</f>
        <v>0.78014285714285714</v>
      </c>
      <c r="D7" s="89">
        <f>IFERROR(AVERAGEIF(GS_Pleins[Station essence],$B7,GS_Pleins[SP98 station]),"")</f>
        <v>2.0926666666666667</v>
      </c>
      <c r="E7" s="89" t="str">
        <f>IFERROR(AVERAGEIF(GS_Pleins[Station essence],$B7,GS_Pleins[SP95 station]),"")</f>
        <v/>
      </c>
      <c r="F7" s="89" t="str">
        <f>IFERROR(AVERAGEIF(GS_Pleins[Station essence],$B7,GS_Pleins[E10 station]),"")</f>
        <v/>
      </c>
      <c r="G7" s="89" t="str">
        <f>IFERROR(AVERAGEIF(GS_Pleins[Station essence],$B7,GS_Pleins[Gazole station]),"")</f>
        <v/>
      </c>
      <c r="H7" s="89" t="str">
        <f>IFERROR(AVERAGEIF(GS_Pleins[Station essence],$B7,GS_Pleins[GPLc station]),"")</f>
        <v/>
      </c>
      <c r="I7" s="90">
        <f>IF(Notes!$D4="","",COUNTIF(GS_Pleins!$G:$G,B7))</f>
        <v>7</v>
      </c>
    </row>
    <row r="8" spans="2:9" ht="21.95" customHeight="1" x14ac:dyDescent="0.25">
      <c r="B8" s="88" t="str">
        <f>IF(Notes!$D$5="","",Notes!$D$5)</f>
        <v>Leclerc - Douai</v>
      </c>
      <c r="C8" s="89" t="str">
        <f>IFERROR(AVERAGEIF(GS_Pleins[Station essence],$B8,GS_Pleins[E85 station]),"")</f>
        <v/>
      </c>
      <c r="D8" s="89">
        <f>IFERROR(AVERAGEIF(GS_Pleins[Station essence],$B8,GS_Pleins[SP98 station]),"")</f>
        <v>2.0310000000000001</v>
      </c>
      <c r="E8" s="89" t="str">
        <f>IFERROR(AVERAGEIF(GS_Pleins[Station essence],$B8,GS_Pleins[SP95 station]),"")</f>
        <v/>
      </c>
      <c r="F8" s="89" t="str">
        <f>IFERROR(AVERAGEIF(GS_Pleins[Station essence],$B8,GS_Pleins[E10 station]),"")</f>
        <v/>
      </c>
      <c r="G8" s="89" t="str">
        <f>IFERROR(AVERAGEIF(GS_Pleins[Station essence],$B8,GS_Pleins[Gazole station]),"")</f>
        <v/>
      </c>
      <c r="H8" s="89" t="str">
        <f>IFERROR(AVERAGEIF(GS_Pleins[Station essence],$B8,GS_Pleins[GPLc station]),"")</f>
        <v/>
      </c>
      <c r="I8" s="90">
        <f>IF(Notes!$D5="","",COUNTIF(GS_Pleins!$G:$G,B8))</f>
        <v>1</v>
      </c>
    </row>
    <row r="9" spans="2:9" ht="21.95" customHeight="1" x14ac:dyDescent="0.25">
      <c r="B9" s="87" t="str">
        <f>IF(Notes!$D$6="","",Notes!$D$6)</f>
        <v>Total Access</v>
      </c>
      <c r="C9" s="89" t="str">
        <f>IFERROR(AVERAGEIF(GS_Pleins[Station essence],$B9,GS_Pleins[E85 station]),"")</f>
        <v/>
      </c>
      <c r="D9" s="89" t="str">
        <f>IFERROR(AVERAGEIF(GS_Pleins[Station essence],$B9,GS_Pleins[SP98 station]),"")</f>
        <v/>
      </c>
      <c r="E9" s="89" t="str">
        <f>IFERROR(AVERAGEIF(GS_Pleins[Station essence],$B9,GS_Pleins[SP95 station]),"")</f>
        <v/>
      </c>
      <c r="F9" s="89" t="str">
        <f>IFERROR(AVERAGEIF(GS_Pleins[Station essence],$B9,GS_Pleins[E10 station]),"")</f>
        <v/>
      </c>
      <c r="G9" s="89" t="str">
        <f>IFERROR(AVERAGEIF(GS_Pleins[Station essence],$B9,GS_Pleins[Gazole station]),"")</f>
        <v/>
      </c>
      <c r="H9" s="89" t="str">
        <f>IFERROR(AVERAGEIF(GS_Pleins[Station essence],$B9,GS_Pleins[GPLc station]),"")</f>
        <v/>
      </c>
      <c r="I9" s="90">
        <f>IF(Notes!$D6="","",COUNTIF(GS_Pleins!$G:$G,B9))</f>
        <v>0</v>
      </c>
    </row>
    <row r="10" spans="2:9" ht="21.95" customHeight="1" x14ac:dyDescent="0.25">
      <c r="B10" s="88" t="str">
        <f>IF(Notes!$D$7="","",Notes!$D$7)</f>
        <v>Total - Waziers</v>
      </c>
      <c r="C10" s="89" t="str">
        <f>IFERROR(AVERAGEIF(GS_Pleins[Station essence],$B10,GS_Pleins[E85 station]),"")</f>
        <v/>
      </c>
      <c r="D10" s="89" t="str">
        <f>IFERROR(AVERAGEIF(GS_Pleins[Station essence],$B10,GS_Pleins[SP98 station]),"")</f>
        <v/>
      </c>
      <c r="E10" s="89" t="str">
        <f>IFERROR(AVERAGEIF(GS_Pleins[Station essence],$B10,GS_Pleins[SP95 station]),"")</f>
        <v/>
      </c>
      <c r="F10" s="89" t="str">
        <f>IFERROR(AVERAGEIF(GS_Pleins[Station essence],$B10,GS_Pleins[E10 station]),"")</f>
        <v/>
      </c>
      <c r="G10" s="89" t="str">
        <f>IFERROR(AVERAGEIF(GS_Pleins[Station essence],$B10,GS_Pleins[Gazole station]),"")</f>
        <v/>
      </c>
      <c r="H10" s="89" t="str">
        <f>IFERROR(AVERAGEIF(GS_Pleins[Station essence],$B10,GS_Pleins[GPLc station]),"")</f>
        <v/>
      </c>
      <c r="I10" s="90">
        <f>IF(Notes!$D7="","",COUNTIF(GS_Pleins!$G:$G,B10))</f>
        <v>0</v>
      </c>
    </row>
    <row r="11" spans="2:9" ht="21.95" customHeight="1" x14ac:dyDescent="0.25">
      <c r="B11" s="87" t="str">
        <f>IF(Notes!$D$8="","",Notes!$D$8)</f>
        <v/>
      </c>
      <c r="C11" s="89" t="str">
        <f>IFERROR(AVERAGEIF(GS_Pleins[Station essence],$B11,GS_Pleins[E85 station]),"")</f>
        <v/>
      </c>
      <c r="D11" s="89" t="str">
        <f>IFERROR(AVERAGEIF(GS_Pleins[Station essence],$B11,GS_Pleins[SP98 station]),"")</f>
        <v/>
      </c>
      <c r="E11" s="89" t="str">
        <f>IFERROR(AVERAGEIF(GS_Pleins[Station essence],$B11,GS_Pleins[SP95 station]),"")</f>
        <v/>
      </c>
      <c r="F11" s="89" t="str">
        <f>IFERROR(AVERAGEIF(GS_Pleins[Station essence],$B11,GS_Pleins[E10 station]),"")</f>
        <v/>
      </c>
      <c r="G11" s="89" t="str">
        <f>IFERROR(AVERAGEIF(GS_Pleins[Station essence],$B11,GS_Pleins[Gazole station]),"")</f>
        <v/>
      </c>
      <c r="H11" s="89" t="str">
        <f>IFERROR(AVERAGEIF(GS_Pleins[Station essence],$B11,GS_Pleins[GPLc station]),"")</f>
        <v/>
      </c>
      <c r="I11" s="90" t="str">
        <f>IF(Notes!$D8="","",COUNTIF(GS_Pleins!$G:$G,B11))</f>
        <v/>
      </c>
    </row>
    <row r="12" spans="2:9" ht="21.95" customHeight="1" x14ac:dyDescent="0.25">
      <c r="B12" s="88" t="str">
        <f>IF(Notes!$D$9="","",Notes!$D$9)</f>
        <v/>
      </c>
      <c r="C12" s="89" t="str">
        <f>IFERROR(AVERAGEIF(GS_Pleins[Station essence],$B12,GS_Pleins[E85 station]),"")</f>
        <v/>
      </c>
      <c r="D12" s="89" t="str">
        <f>IFERROR(AVERAGEIF(GS_Pleins[Station essence],$B12,GS_Pleins[SP98 station]),"")</f>
        <v/>
      </c>
      <c r="E12" s="89" t="str">
        <f>IFERROR(AVERAGEIF(GS_Pleins[Station essence],$B12,GS_Pleins[SP95 station]),"")</f>
        <v/>
      </c>
      <c r="F12" s="89" t="str">
        <f>IFERROR(AVERAGEIF(GS_Pleins[Station essence],$B12,GS_Pleins[E10 station]),"")</f>
        <v/>
      </c>
      <c r="G12" s="89" t="str">
        <f>IFERROR(AVERAGEIF(GS_Pleins[Station essence],$B12,GS_Pleins[Gazole station]),"")</f>
        <v/>
      </c>
      <c r="H12" s="89" t="str">
        <f>IFERROR(AVERAGEIF(GS_Pleins[Station essence],$B12,GS_Pleins[GPLc station]),"")</f>
        <v/>
      </c>
      <c r="I12" s="90" t="str">
        <f>IF(Notes!$D9="","",COUNTIF(GS_Pleins!$G:$G,B12))</f>
        <v/>
      </c>
    </row>
    <row r="13" spans="2:9" ht="21.95" customHeight="1" x14ac:dyDescent="0.25">
      <c r="B13" s="87" t="str">
        <f>IF(Notes!$D$10="","",Notes!$D$10)</f>
        <v/>
      </c>
      <c r="C13" s="89" t="str">
        <f>IFERROR(AVERAGEIF(GS_Pleins[Station essence],$B13,GS_Pleins[E85 station]),"")</f>
        <v/>
      </c>
      <c r="D13" s="89" t="str">
        <f>IFERROR(AVERAGEIF(GS_Pleins[Station essence],$B13,GS_Pleins[SP98 station]),"")</f>
        <v/>
      </c>
      <c r="E13" s="89" t="str">
        <f>IFERROR(AVERAGEIF(GS_Pleins[Station essence],$B13,GS_Pleins[SP95 station]),"")</f>
        <v/>
      </c>
      <c r="F13" s="89" t="str">
        <f>IFERROR(AVERAGEIF(GS_Pleins[Station essence],$B13,GS_Pleins[E10 station]),"")</f>
        <v/>
      </c>
      <c r="G13" s="89" t="str">
        <f>IFERROR(AVERAGEIF(GS_Pleins[Station essence],$B13,GS_Pleins[Gazole station]),"")</f>
        <v/>
      </c>
      <c r="H13" s="89" t="str">
        <f>IFERROR(AVERAGEIF(GS_Pleins[Station essence],$B13,GS_Pleins[GPLc station]),"")</f>
        <v/>
      </c>
      <c r="I13" s="90" t="str">
        <f>IF(Notes!$D10="","",COUNTIF(GS_Pleins!$G:$G,B13))</f>
        <v/>
      </c>
    </row>
    <row r="14" spans="2:9" ht="21.95" customHeight="1" x14ac:dyDescent="0.25">
      <c r="B14" s="88" t="str">
        <f>IF(Notes!$D$11="","",Notes!$D$11)</f>
        <v/>
      </c>
      <c r="C14" s="89" t="str">
        <f>IFERROR(AVERAGEIF(GS_Pleins[Station essence],$B14,GS_Pleins[E85 station]),"")</f>
        <v/>
      </c>
      <c r="D14" s="89" t="str">
        <f>IFERROR(AVERAGEIF(GS_Pleins[Station essence],$B14,GS_Pleins[SP98 station]),"")</f>
        <v/>
      </c>
      <c r="E14" s="89" t="str">
        <f>IFERROR(AVERAGEIF(GS_Pleins[Station essence],$B14,GS_Pleins[SP95 station]),"")</f>
        <v/>
      </c>
      <c r="F14" s="89" t="str">
        <f>IFERROR(AVERAGEIF(GS_Pleins[Station essence],$B14,GS_Pleins[E10 station]),"")</f>
        <v/>
      </c>
      <c r="G14" s="89" t="str">
        <f>IFERROR(AVERAGEIF(GS_Pleins[Station essence],$B14,GS_Pleins[Gazole station]),"")</f>
        <v/>
      </c>
      <c r="H14" s="89" t="str">
        <f>IFERROR(AVERAGEIF(GS_Pleins[Station essence],$B14,GS_Pleins[GPLc station]),"")</f>
        <v/>
      </c>
      <c r="I14" s="90" t="str">
        <f>IF(Notes!$D11="","",COUNTIF(GS_Pleins!$G:$G,B14))</f>
        <v/>
      </c>
    </row>
    <row r="15" spans="2:9" ht="21.95" customHeight="1" x14ac:dyDescent="0.25">
      <c r="B15" s="87" t="str">
        <f>IF(Notes!$D$12="","",Notes!$D$12)</f>
        <v/>
      </c>
      <c r="C15" s="89" t="str">
        <f>IFERROR(AVERAGEIF(GS_Pleins[Station essence],$B15,GS_Pleins[E85 station]),"")</f>
        <v/>
      </c>
      <c r="D15" s="89" t="str">
        <f>IFERROR(AVERAGEIF(GS_Pleins[Station essence],$B15,GS_Pleins[SP98 station]),"")</f>
        <v/>
      </c>
      <c r="E15" s="89" t="str">
        <f>IFERROR(AVERAGEIF(GS_Pleins[Station essence],$B15,GS_Pleins[SP95 station]),"")</f>
        <v/>
      </c>
      <c r="F15" s="89" t="str">
        <f>IFERROR(AVERAGEIF(GS_Pleins[Station essence],$B15,GS_Pleins[E10 station]),"")</f>
        <v/>
      </c>
      <c r="G15" s="89" t="str">
        <f>IFERROR(AVERAGEIF(GS_Pleins[Station essence],$B15,GS_Pleins[Gazole station]),"")</f>
        <v/>
      </c>
      <c r="H15" s="89" t="str">
        <f>IFERROR(AVERAGEIF(GS_Pleins[Station essence],$B15,GS_Pleins[GPLc station]),"")</f>
        <v/>
      </c>
      <c r="I15" s="90" t="str">
        <f>IF(Notes!$D12="","",COUNTIF(GS_Pleins!$G:$G,B15))</f>
        <v/>
      </c>
    </row>
    <row r="16" spans="2:9" ht="21.95" customHeight="1" x14ac:dyDescent="0.25">
      <c r="B16" s="88" t="str">
        <f>IF(Notes!$D$13="","",Notes!$D$13)</f>
        <v/>
      </c>
      <c r="C16" s="89" t="str">
        <f>IFERROR(AVERAGEIF(GS_Pleins[Station essence],$B16,GS_Pleins[E85 station]),"")</f>
        <v/>
      </c>
      <c r="D16" s="89" t="str">
        <f>IFERROR(AVERAGEIF(GS_Pleins[Station essence],$B16,GS_Pleins[SP98 station]),"")</f>
        <v/>
      </c>
      <c r="E16" s="89" t="str">
        <f>IFERROR(AVERAGEIF(GS_Pleins[Station essence],$B16,GS_Pleins[SP95 station]),"")</f>
        <v/>
      </c>
      <c r="F16" s="89" t="str">
        <f>IFERROR(AVERAGEIF(GS_Pleins[Station essence],$B16,GS_Pleins[E10 station]),"")</f>
        <v/>
      </c>
      <c r="G16" s="89" t="str">
        <f>IFERROR(AVERAGEIF(GS_Pleins[Station essence],$B16,GS_Pleins[Gazole station]),"")</f>
        <v/>
      </c>
      <c r="H16" s="89" t="str">
        <f>IFERROR(AVERAGEIF(GS_Pleins[Station essence],$B16,GS_Pleins[GPLc station]),"")</f>
        <v/>
      </c>
      <c r="I16" s="90" t="str">
        <f>IF(Notes!$D13="","",COUNTIF(GS_Pleins!$G:$G,B16))</f>
        <v/>
      </c>
    </row>
    <row r="17" spans="2:9" ht="26.1" customHeight="1" x14ac:dyDescent="0.25">
      <c r="B17" s="91" t="s">
        <v>277</v>
      </c>
      <c r="C17" s="92" t="str">
        <f>IFERROR(AVERAGEIF(#REF!,"&gt;"&amp;0),"")</f>
        <v/>
      </c>
      <c r="D17" s="92" t="str">
        <f>IFERROR(AVERAGEIF(#REF!,"&gt;"&amp;0),"")</f>
        <v/>
      </c>
      <c r="E17" s="92" t="str">
        <f>IFERROR(AVERAGEIF(#REF!,"&gt;"&amp;0),"")</f>
        <v/>
      </c>
      <c r="F17" s="92" t="str">
        <f>IFERROR(AVERAGEIF(#REF!,"&gt;"&amp;0),"")</f>
        <v/>
      </c>
      <c r="G17" s="92" t="str">
        <f>IFERROR(AVERAGEIF(#REF!,"&gt;"&amp;0),"")</f>
        <v/>
      </c>
      <c r="H17" s="92" t="str">
        <f>IFERROR(AVERAGEIF(#REF!,"&gt;"&amp;0),"")</f>
        <v/>
      </c>
      <c r="I17" s="93"/>
    </row>
    <row r="18" spans="2:9" ht="6.75" customHeight="1" x14ac:dyDescent="0.25"/>
    <row r="19" spans="2:9" ht="20.100000000000001" customHeight="1" x14ac:dyDescent="0.25">
      <c r="B19" s="134" t="s">
        <v>304</v>
      </c>
      <c r="C19" s="135"/>
      <c r="D19" s="135"/>
      <c r="E19" s="135"/>
      <c r="F19" s="135"/>
      <c r="G19" s="135"/>
    </row>
    <row r="20" spans="2:9" ht="18" customHeight="1" x14ac:dyDescent="0.25">
      <c r="B20" s="134"/>
      <c r="C20" s="135"/>
      <c r="D20" s="135"/>
      <c r="E20" s="135"/>
      <c r="F20" s="135"/>
      <c r="G20" s="135"/>
    </row>
  </sheetData>
  <mergeCells count="3">
    <mergeCell ref="B2:G2"/>
    <mergeCell ref="B4:G4"/>
    <mergeCell ref="B19:G20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0C392-3CAD-45AA-8B84-A79E749C962F}">
  <sheetPr codeName="Feuil3"/>
  <dimension ref="A1:AJ53"/>
  <sheetViews>
    <sheetView showGridLines="0" showRowColHeaders="0" workbookViewId="0"/>
  </sheetViews>
  <sheetFormatPr baseColWidth="10" defaultRowHeight="15.75" outlineLevelCol="1" x14ac:dyDescent="0.25"/>
  <cols>
    <col min="1" max="1" width="40.125" bestFit="1" customWidth="1"/>
    <col min="2" max="2" width="12.125" bestFit="1" customWidth="1"/>
    <col min="3" max="3" width="15.25" bestFit="1" customWidth="1"/>
    <col min="14" max="14" width="7.375" customWidth="1"/>
    <col min="15" max="15" width="11" hidden="1" customWidth="1" outlineLevel="1"/>
    <col min="16" max="16" width="17.125" hidden="1" customWidth="1" outlineLevel="1"/>
    <col min="17" max="17" width="10.375" hidden="1" customWidth="1" outlineLevel="1"/>
    <col min="18" max="18" width="1.625" hidden="1" customWidth="1" outlineLevel="1"/>
    <col min="19" max="19" width="11" hidden="1" customWidth="1" outlineLevel="1"/>
    <col min="20" max="20" width="21.625" hidden="1" customWidth="1" outlineLevel="1"/>
    <col min="21" max="21" width="18.75" hidden="1" customWidth="1" outlineLevel="1"/>
    <col min="22" max="22" width="1.5" hidden="1" customWidth="1" outlineLevel="1"/>
    <col min="23" max="23" width="7.625" hidden="1" customWidth="1" outlineLevel="1"/>
    <col min="24" max="25" width="15.5" hidden="1" customWidth="1" outlineLevel="1"/>
    <col min="26" max="26" width="1.5" hidden="1" customWidth="1" outlineLevel="1"/>
    <col min="27" max="27" width="7.625" hidden="1" customWidth="1" outlineLevel="1"/>
    <col min="28" max="28" width="13.25" hidden="1" customWidth="1" outlineLevel="1"/>
    <col min="29" max="29" width="19" hidden="1" customWidth="1" outlineLevel="1"/>
    <col min="30" max="30" width="1.5" hidden="1" customWidth="1" outlineLevel="1"/>
    <col min="31" max="31" width="10.875" hidden="1" customWidth="1" outlineLevel="1"/>
    <col min="32" max="32" width="19.875" hidden="1" customWidth="1" outlineLevel="1"/>
    <col min="33" max="33" width="13.125" hidden="1" customWidth="1" outlineLevel="1"/>
    <col min="34" max="34" width="16" hidden="1" customWidth="1" outlineLevel="1"/>
    <col min="35" max="35" width="15.125" hidden="1" customWidth="1" outlineLevel="1"/>
    <col min="36" max="36" width="11" collapsed="1"/>
  </cols>
  <sheetData>
    <row r="1" spans="1:3" ht="30" customHeight="1" x14ac:dyDescent="0.3">
      <c r="A1" s="116" t="s">
        <v>362</v>
      </c>
    </row>
    <row r="3" spans="1:3" x14ac:dyDescent="0.25">
      <c r="A3" s="117" t="s">
        <v>363</v>
      </c>
    </row>
    <row r="4" spans="1:3" x14ac:dyDescent="0.25">
      <c r="A4" s="118" t="s">
        <v>1</v>
      </c>
      <c r="B4" s="118" t="s">
        <v>361</v>
      </c>
      <c r="C4" s="118" t="s">
        <v>276</v>
      </c>
    </row>
    <row r="5" spans="1:3" x14ac:dyDescent="0.25">
      <c r="A5" s="119">
        <v>46146</v>
      </c>
      <c r="B5" s="120">
        <v>0.80900000000000005</v>
      </c>
      <c r="C5" t="s">
        <v>335</v>
      </c>
    </row>
    <row r="6" spans="1:3" x14ac:dyDescent="0.25">
      <c r="A6" s="119">
        <v>46148</v>
      </c>
      <c r="B6" s="120">
        <v>0.747</v>
      </c>
      <c r="C6" t="s">
        <v>335</v>
      </c>
    </row>
    <row r="7" spans="1:3" x14ac:dyDescent="0.25">
      <c r="A7" s="119">
        <v>46151</v>
      </c>
      <c r="B7" s="120">
        <v>0.75700000000000001</v>
      </c>
      <c r="C7" t="s">
        <v>335</v>
      </c>
    </row>
    <row r="8" spans="1:3" x14ac:dyDescent="0.25">
      <c r="A8" s="119">
        <v>46154</v>
      </c>
      <c r="B8" s="120">
        <v>0.83499999999999996</v>
      </c>
      <c r="C8" t="s">
        <v>335</v>
      </c>
    </row>
    <row r="9" spans="1:3" x14ac:dyDescent="0.25">
      <c r="A9" s="119">
        <v>46157</v>
      </c>
      <c r="B9" s="120">
        <v>0.71699999999999997</v>
      </c>
      <c r="C9" t="s">
        <v>335</v>
      </c>
    </row>
    <row r="10" spans="1:3" x14ac:dyDescent="0.25">
      <c r="A10" s="119">
        <v>46161</v>
      </c>
      <c r="B10" s="120">
        <v>0.79800000000000004</v>
      </c>
      <c r="C10" t="s">
        <v>335</v>
      </c>
    </row>
    <row r="11" spans="1:3" x14ac:dyDescent="0.25">
      <c r="A11" s="119">
        <v>46164.083333333336</v>
      </c>
      <c r="B11" s="120">
        <v>0.79800000000000004</v>
      </c>
      <c r="C11" t="s">
        <v>335</v>
      </c>
    </row>
    <row r="43" spans="1:3" x14ac:dyDescent="0.25">
      <c r="A43" s="121" t="s">
        <v>364</v>
      </c>
    </row>
    <row r="44" spans="1:3" x14ac:dyDescent="0.25">
      <c r="A44" s="122" t="s">
        <v>1</v>
      </c>
      <c r="B44" s="122" t="s">
        <v>365</v>
      </c>
      <c r="C44" s="122" t="s">
        <v>308</v>
      </c>
    </row>
    <row r="45" spans="1:3" x14ac:dyDescent="0.25">
      <c r="A45" s="119">
        <v>46135</v>
      </c>
      <c r="B45" s="123">
        <v>5.4</v>
      </c>
      <c r="C45" t="s">
        <v>315</v>
      </c>
    </row>
    <row r="46" spans="1:3" x14ac:dyDescent="0.25">
      <c r="A46" s="119">
        <v>46140</v>
      </c>
      <c r="B46" s="123">
        <v>5.39</v>
      </c>
      <c r="C46" t="s">
        <v>315</v>
      </c>
    </row>
    <row r="47" spans="1:3" x14ac:dyDescent="0.25">
      <c r="A47" s="119">
        <v>46146</v>
      </c>
      <c r="B47" s="123">
        <v>5.62</v>
      </c>
      <c r="C47" t="s">
        <v>315</v>
      </c>
    </row>
    <row r="48" spans="1:3" x14ac:dyDescent="0.25">
      <c r="A48" s="119">
        <v>46148</v>
      </c>
      <c r="B48" s="123">
        <v>5.97</v>
      </c>
      <c r="C48" t="s">
        <v>315</v>
      </c>
    </row>
    <row r="49" spans="1:3" x14ac:dyDescent="0.25">
      <c r="A49" s="119">
        <v>46151</v>
      </c>
      <c r="B49" s="123">
        <v>6.76</v>
      </c>
      <c r="C49" t="s">
        <v>315</v>
      </c>
    </row>
    <row r="50" spans="1:3" x14ac:dyDescent="0.25">
      <c r="A50" s="119">
        <v>46154</v>
      </c>
      <c r="B50" s="123">
        <v>7.04</v>
      </c>
      <c r="C50" t="s">
        <v>315</v>
      </c>
    </row>
    <row r="51" spans="1:3" x14ac:dyDescent="0.25">
      <c r="A51" s="119">
        <v>46157</v>
      </c>
      <c r="B51" s="123">
        <v>6.59</v>
      </c>
      <c r="C51" t="s">
        <v>315</v>
      </c>
    </row>
    <row r="52" spans="1:3" x14ac:dyDescent="0.25">
      <c r="A52" s="119">
        <v>46161</v>
      </c>
      <c r="B52" s="123">
        <v>6.77</v>
      </c>
      <c r="C52" t="s">
        <v>315</v>
      </c>
    </row>
    <row r="53" spans="1:3" x14ac:dyDescent="0.25">
      <c r="A53" s="119">
        <v>46164.083333333336</v>
      </c>
      <c r="B53" s="123">
        <v>6.91</v>
      </c>
      <c r="C53" t="s">
        <v>315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D27"/>
  <sheetViews>
    <sheetView zoomScale="90" zoomScaleNormal="90" workbookViewId="0">
      <selection activeCell="D33" sqref="D33"/>
    </sheetView>
  </sheetViews>
  <sheetFormatPr baseColWidth="10" defaultColWidth="14" defaultRowHeight="15.75" x14ac:dyDescent="0.25"/>
  <cols>
    <col min="1" max="1" width="3.25" style="81" customWidth="1"/>
    <col min="2" max="2" width="19.375" style="81" customWidth="1"/>
    <col min="3" max="3" width="1.125" style="81" customWidth="1"/>
    <col min="4" max="4" width="45.125" style="81" customWidth="1"/>
    <col min="5" max="16384" width="14" style="81"/>
  </cols>
  <sheetData>
    <row r="1" spans="2:4" ht="9.75" customHeight="1" x14ac:dyDescent="0.25"/>
    <row r="2" spans="2:4" x14ac:dyDescent="0.25">
      <c r="B2" s="81" t="s">
        <v>272</v>
      </c>
      <c r="D2" s="81" t="s">
        <v>275</v>
      </c>
    </row>
    <row r="3" spans="2:4" x14ac:dyDescent="0.25">
      <c r="B3" s="81" t="s">
        <v>274</v>
      </c>
      <c r="D3" s="81" t="s">
        <v>345</v>
      </c>
    </row>
    <row r="4" spans="2:4" x14ac:dyDescent="0.25">
      <c r="B4" s="81" t="s">
        <v>273</v>
      </c>
      <c r="D4" s="81" t="s">
        <v>335</v>
      </c>
    </row>
    <row r="5" spans="2:4" x14ac:dyDescent="0.25">
      <c r="B5" s="81" t="s">
        <v>81</v>
      </c>
      <c r="D5" s="81" t="s">
        <v>346</v>
      </c>
    </row>
    <row r="6" spans="2:4" x14ac:dyDescent="0.25">
      <c r="B6" s="81" t="s">
        <v>100</v>
      </c>
      <c r="D6" s="81" t="s">
        <v>295</v>
      </c>
    </row>
    <row r="7" spans="2:4" x14ac:dyDescent="0.25">
      <c r="D7" s="81" t="s">
        <v>369</v>
      </c>
    </row>
    <row r="8" spans="2:4" hidden="1" x14ac:dyDescent="0.25"/>
    <row r="9" spans="2:4" hidden="1" x14ac:dyDescent="0.25"/>
    <row r="10" spans="2:4" hidden="1" x14ac:dyDescent="0.25"/>
    <row r="11" spans="2:4" hidden="1" x14ac:dyDescent="0.25"/>
    <row r="12" spans="2:4" hidden="1" x14ac:dyDescent="0.25"/>
    <row r="13" spans="2:4" hidden="1" x14ac:dyDescent="0.25"/>
    <row r="14" spans="2:4" hidden="1" x14ac:dyDescent="0.25"/>
    <row r="15" spans="2:4" hidden="1" x14ac:dyDescent="0.25"/>
    <row r="16" spans="2:4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</sheetData>
  <sortState xmlns:xlrd2="http://schemas.microsoft.com/office/spreadsheetml/2017/richdata2" ref="D3:D21">
    <sortCondition ref="D2"/>
  </sortState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Props1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Claude Log</vt:lpstr>
      <vt:lpstr>Tableau de bord</vt:lpstr>
      <vt:lpstr>GS_Pleins</vt:lpstr>
      <vt:lpstr>Suivi (auto)</vt:lpstr>
      <vt:lpstr>Suivi Carburant</vt:lpstr>
      <vt:lpstr>Prix par Station</vt:lpstr>
      <vt:lpstr>Graphiques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dcterms:created xsi:type="dcterms:W3CDTF">2018-06-07T17:34:22Z</dcterms:created>
  <dcterms:modified xsi:type="dcterms:W3CDTF">2026-05-30T02:35:19Z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