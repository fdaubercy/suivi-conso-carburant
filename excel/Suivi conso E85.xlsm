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8D434DF0-EA63-4A63-A298-5BE74B380D4A}" xr6:coauthVersionLast="47" xr6:coauthVersionMax="47" xr10:uidLastSave="{00000000-0000-0000-0000-000000000000}"/>
  <bookViews>
    <workbookView xWindow="0" yWindow="0" windowWidth="24000" windowHeight="12780" firstSheet="1" activeTab="1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<sst xmlns="http://schemas.openxmlformats.org/spreadsheetml/2006/main" count="499" uniqueCount="373">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</sst>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1" tableType="queryTable" totalsRowShown="0" headerRowDxfId="46" dataDxfId="45">
  <autoFilter ref="A1:P11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941E94-479F-4305-BBFF-12266C2FB53A}" name="DonneesExternes_1" displayName="DonneesExternes_1" ref="A1:Y11" totalsRowShown="0">
  <autoFilter ref="A1:Y11" xr:uid="{91941E94-479F-4305-BBFF-12266C2FB53A}"/>
  <tableColumns count="25">
    <tableColumn id="1" xr3:uid="{5A3ACC21-8848-486F-98CD-BDD8FF574D6E}" name="Horodatage" dataDxfId="1"/>
    <tableColumn id="2" xr3:uid="{2912A39B-F4BE-400C-B11F-BF7786E4E8B6}" name="Date" dataDxfId="0"/>
    <tableColumn id="3" xr3:uid="{D079ECBB-8958-4F68-B501-83B9E1A32AB8}" name="Type"/>
    <tableColumn id="4" xr3:uid="{051A2E59-373F-40EA-89A9-4463A145E535}" name="Km compteur"/>
    <tableColumn id="5" xr3:uid="{04733B63-C007-4692-99D4-A776243AE28F}" name="Nb. Litres"/>
    <tableColumn id="6" xr3:uid="{27390687-181C-4243-A07D-9C7F990ADB28}" name="Prix €/L"/>
    <tableColumn id="7" xr3:uid="{EFFC1582-9C12-41B8-BCCE-A86E34FA4410}" name="Station essence"/>
    <tableColumn id="8" xr3:uid="{82293556-0A11-4C7D-A1AD-157BE86952B2}" name="Véhicule"/>
    <tableColumn id="9" xr3:uid="{6E039A25-9AAC-461F-BA51-A945782A3C18}" name="E85 station (€/L)"/>
    <tableColumn id="10" xr3:uid="{EEFEA3CA-0637-4141-9F49-C05F35048A96}" name="SP98 station (€/L)"/>
    <tableColumn id="11" xr3:uid="{03199ACD-4A4E-4F33-AE2D-19C1F1ABB3A3}" name="SP95 station (€/L)"/>
    <tableColumn id="12" xr3:uid="{144D3A23-FD69-4308-B57F-378D21219CD1}" name="E10 station (€/L)"/>
    <tableColumn id="13" xr3:uid="{8DD6ACE2-BD7D-4154-8E7D-2D2A8C28ADDB}" name="Gazole station (€/L)"/>
    <tableColumn id="14" xr3:uid="{B491A60E-038B-4C78-AF0D-538978CE42ED}" name="GPLc station (€/L)"/>
    <tableColumn id="15" xr3:uid="{31E12F0F-E9B9-4FA9-824A-6A234076C206}" name="sync_id"/>
    <tableColumn id="16" xr3:uid="{071DD2C7-0CB8-4B99-A3EA-3F1AE1B11FF8}" name="Colonne1"/>
    <tableColumn id="17" xr3:uid="{42475C67-ECFF-40E5-8868-DFF314F93C4B}" name="Colonne2"/>
    <tableColumn id="18" xr3:uid="{D94250F1-9C6B-4749-861E-1F011910895B}" name="Colonne3"/>
    <tableColumn id="19" xr3:uid="{98130F15-8862-4A9D-A015-519D36129104}" name="Colonne4"/>
    <tableColumn id="20" xr3:uid="{6F3E348E-ABCD-419A-856B-B5408A36026C}" name="Colonne5"/>
    <tableColumn id="21" xr3:uid="{9F4BE59A-043C-41EA-A77E-A7315798A438}" name="Colonne6"/>
    <tableColumn id="22" xr3:uid="{0040D8DA-C923-43C0-919B-59289CCE0F66}" name="Colonne7"/>
    <tableColumn id="23" xr3:uid="{F7148CF1-BED9-45EA-9BF1-4B734112AB29}" name="Colonne8"/>
    <tableColumn id="24" xr3:uid="{8000E610-5B05-4385-9780-1887A47BA210}" name="Colonne9"/>
    <tableColumn id="25" xr3:uid="{0DCDB298-A716-40F4-8793-7EC1C561D46A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2" dataDxfId="30" headerRowBorderDxfId="31" tableBorderDxfId="29" totalsRowBorderDxfId="28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/>
    <tableColumn id="11" xr3:uid="{A77486BA-32D8-4661-BA23-1144AE2FD0EC}" name="Type" dataDxfId="25"/>
    <tableColumn id="3" xr3:uid="{6C87F133-7224-4AAB-ACB2-666E8B7315B5}" name="Km compteur" dataDxfId="24"/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/>
    <tableColumn id="5" xr3:uid="{A61BA34E-E60B-4F70-A1D9-62090C37C449}" name="Prix €/L" dataDxfId="21"/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9" dataDxfId="8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281</v>
      </c>
      <c r="D53" t="s">
        <v>282</v>
      </c>
      <c r="E53" t="s">
        <v>283</v>
      </c>
      <c r="F53" t="s">
        <v>284</v>
      </c>
    </row>
    <row r="54" spans="1:6" x14ac:dyDescent="0.25">
      <c r="A54">
        <v>55</v>
      </c>
      <c r="B54" s="2">
        <v>46163</v>
      </c>
      <c r="C54" t="s">
        <v>285</v>
      </c>
      <c r="D54" t="s">
        <v>286</v>
      </c>
      <c r="E54" t="s">
        <v>287</v>
      </c>
      <c r="F54" t="s">
        <v>288</v>
      </c>
    </row>
    <row r="55" spans="1:6" x14ac:dyDescent="0.25">
      <c r="A55">
        <v>56</v>
      </c>
      <c r="B55" s="2">
        <v>46163</v>
      </c>
      <c r="C55" t="s">
        <v>289</v>
      </c>
      <c r="D55" t="s">
        <v>290</v>
      </c>
      <c r="E55" t="s">
        <v>291</v>
      </c>
      <c r="F55" t="s">
        <v>292</v>
      </c>
    </row>
    <row r="56" spans="1:6" x14ac:dyDescent="0.25">
      <c r="A56">
        <v>57</v>
      </c>
      <c r="B56" s="2">
        <v>46163</v>
      </c>
      <c r="C56" t="s">
        <v>293</v>
      </c>
      <c r="D56" t="s">
        <v>294</v>
      </c>
      <c r="E56" t="s">
        <v>295</v>
      </c>
      <c r="F56" t="s">
        <v>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tabSelected="1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4" t="s">
        <v>353</v>
      </c>
      <c r="B1" s="125"/>
    </row>
    <row r="2" spans="1:2" x14ac:dyDescent="0.25">
      <c r="A2" s="126" t="s">
        <v>354</v>
      </c>
      <c r="B2" s="125"/>
    </row>
    <row r="3" spans="1:2" ht="3.75" customHeight="1" x14ac:dyDescent="0.25"/>
    <row r="4" spans="1:2" ht="26.1" customHeight="1" x14ac:dyDescent="0.25">
      <c r="A4" s="102" t="s">
        <v>355</v>
      </c>
      <c r="B4" s="102" t="s">
        <v>356</v>
      </c>
    </row>
    <row r="5" spans="1:2" ht="26.1" customHeight="1" x14ac:dyDescent="0.3">
      <c r="A5" s="103" t="s">
        <v>357</v>
      </c>
      <c r="B5" s="104">
        <f>IFERROR(SUM(GS_Pleins[Litres])/(MAX(GS_Pleins[Km])-MIN(GS_Pleins[Km]))*100,0)</f>
        <v>6.7999009410599305</v>
      </c>
    </row>
    <row r="6" spans="1:2" ht="26.1" customHeight="1" x14ac:dyDescent="0.3">
      <c r="A6" s="106" t="s">
        <v>358</v>
      </c>
      <c r="B6" s="107">
        <f>IFERROR(SUMPRODUCT(GS_Pleins[Litres],GS_Pleins[PrixL])/(MAX(GS_Pleins[Km])-MIN(GS_Pleins[Km])),0)</f>
        <v>7.6973561168895491E-2</v>
      </c>
    </row>
    <row r="7" spans="1:2" ht="26.1" customHeight="1" x14ac:dyDescent="0.3">
      <c r="A7" s="106" t="s">
        <v>359</v>
      </c>
      <c r="B7" s="108">
        <f ca="1">SUMPRODUCT((YEAR(GS_Pleins[Date])=YEAR(TODAY()))*GS_Pleins[Litres]*GS_Pleins[PrixL])</f>
        <v>155.40961999999999</v>
      </c>
    </row>
    <row r="8" spans="1:2" ht="26.1" customHeight="1" x14ac:dyDescent="0.3">
      <c r="A8" s="106" t="s">
        <v>360</v>
      </c>
      <c r="B8" s="109">
        <f ca="1">SUMPRODUCT((YEAR(GS_Pleins[Date])=YEAR(TODAY()))*1)</f>
        <v>10</v>
      </c>
    </row>
    <row r="9" spans="1:2" ht="26.1" customHeight="1" x14ac:dyDescent="0.3">
      <c r="A9" s="106" t="s">
        <v>361</v>
      </c>
      <c r="B9" s="110">
        <f>IFERROR(COUNTIF(GS_Pleins[Type],"*E85*")/COUNTA(GS_Pleins[Type]),0)</f>
        <v>0.7</v>
      </c>
    </row>
    <row r="10" spans="1:2" ht="26.1" customHeight="1" x14ac:dyDescent="0.3">
      <c r="A10" s="106" t="s">
        <v>362</v>
      </c>
      <c r="B10" s="111">
        <f>IFERROR(SUMIF(GS_Pleins[Type],"*E85*",GS_Pleins[Litres])*(AVERAGEIFS(GS_Pleins[SP98 station],GS_Pleins[SP98 station],"&gt;0")-AVERAGEIF(GS_Pleins[Type],"*E85*",GS_Pleins[PrixL])),0)</f>
        <v>123.4622342857143</v>
      </c>
    </row>
    <row r="11" spans="1:2" ht="26.1" customHeight="1" x14ac:dyDescent="0.3">
      <c r="A11" s="106" t="s">
        <v>363</v>
      </c>
      <c r="B11" s="112">
        <f ca="1">IFERROR(AVERAGEIFS(GS_Pleins[PrixL],GS_Pleins[Type],"*E85*",GS_Pleins[Date],"&gt;="&amp;TODAY()-30),0)</f>
        <v>0.78014285714285714</v>
      </c>
    </row>
    <row r="12" spans="1:2" ht="26.1" customHeight="1" x14ac:dyDescent="0.3">
      <c r="A12" s="106" t="s">
        <v>364</v>
      </c>
      <c r="B12" s="113">
        <f>IFERROR(MAX(GS_Pleins[Horodatage]),"")</f>
        <v>46164.921076388891</v>
      </c>
    </row>
    <row r="13" spans="1:2" ht="26.1" customHeight="1" x14ac:dyDescent="0.3">
      <c r="A13" s="106" t="s">
        <v>365</v>
      </c>
      <c r="B13" s="114">
        <f>SUM(GS_Pleins[Litres])</f>
        <v>137.29</v>
      </c>
    </row>
    <row r="14" spans="1:2" ht="26.1" customHeight="1" x14ac:dyDescent="0.3">
      <c r="A14" s="105" t="s">
        <v>366</v>
      </c>
      <c r="B14" s="115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1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36"/>
    <col min="17" max="16384" width="11" style="98"/>
  </cols>
  <sheetData>
    <row r="1" spans="1:16" x14ac:dyDescent="0.25">
      <c r="A1" s="81" t="s">
        <v>297</v>
      </c>
      <c r="B1" s="81" t="s">
        <v>1</v>
      </c>
      <c r="C1" s="81" t="s">
        <v>55</v>
      </c>
      <c r="D1" s="81" t="s">
        <v>309</v>
      </c>
      <c r="E1" s="81" t="s">
        <v>310</v>
      </c>
      <c r="F1" s="81" t="s">
        <v>311</v>
      </c>
      <c r="G1" s="81" t="s">
        <v>271</v>
      </c>
      <c r="H1" s="81" t="s">
        <v>312</v>
      </c>
      <c r="I1" s="81" t="s">
        <v>313</v>
      </c>
      <c r="J1" s="81" t="s">
        <v>314</v>
      </c>
      <c r="K1" s="81" t="s">
        <v>315</v>
      </c>
      <c r="L1" s="81" t="s">
        <v>316</v>
      </c>
      <c r="M1" s="81" t="s">
        <v>317</v>
      </c>
      <c r="N1" s="81" t="s">
        <v>318</v>
      </c>
      <c r="O1" s="81" t="s">
        <v>339</v>
      </c>
      <c r="P1" s="135" t="s">
        <v>372</v>
      </c>
    </row>
    <row r="2" spans="1:16" x14ac:dyDescent="0.25">
      <c r="A2" s="101">
        <v>46131</v>
      </c>
      <c r="B2" s="134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352</v>
      </c>
      <c r="H2" s="99" t="s">
        <v>319</v>
      </c>
      <c r="I2" s="99"/>
      <c r="J2" s="99">
        <v>2.0310000000000001</v>
      </c>
      <c r="K2" s="99"/>
      <c r="L2" s="99"/>
      <c r="M2" s="99"/>
      <c r="N2" s="99"/>
      <c r="O2" s="99" t="s">
        <v>344</v>
      </c>
      <c r="P2" s="101"/>
    </row>
    <row r="3" spans="1:16" x14ac:dyDescent="0.25">
      <c r="A3" s="101">
        <v>46135</v>
      </c>
      <c r="B3" s="134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341</v>
      </c>
      <c r="H3" s="99" t="s">
        <v>319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345</v>
      </c>
      <c r="P3" s="101"/>
    </row>
    <row r="4" spans="1:16" x14ac:dyDescent="0.25">
      <c r="A4" s="101">
        <v>46140</v>
      </c>
      <c r="B4" s="134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341</v>
      </c>
      <c r="H4" s="99" t="s">
        <v>319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349</v>
      </c>
      <c r="P4" s="101"/>
    </row>
    <row r="5" spans="1:16" x14ac:dyDescent="0.25">
      <c r="A5" s="101">
        <v>46146</v>
      </c>
      <c r="B5" s="134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341</v>
      </c>
      <c r="H5" s="99" t="s">
        <v>319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346</v>
      </c>
      <c r="P5" s="101"/>
    </row>
    <row r="6" spans="1:16" x14ac:dyDescent="0.25">
      <c r="A6" s="101">
        <v>46148</v>
      </c>
      <c r="B6" s="134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341</v>
      </c>
      <c r="H6" s="99" t="s">
        <v>319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347</v>
      </c>
      <c r="P6" s="101"/>
    </row>
    <row r="7" spans="1:16" x14ac:dyDescent="0.25">
      <c r="A7" s="101">
        <v>46151</v>
      </c>
      <c r="B7" s="134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341</v>
      </c>
      <c r="H7" s="99" t="s">
        <v>319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348</v>
      </c>
      <c r="P7" s="101"/>
    </row>
    <row r="8" spans="1:16" x14ac:dyDescent="0.25">
      <c r="A8" s="101">
        <v>46154</v>
      </c>
      <c r="B8" s="134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351</v>
      </c>
      <c r="H8" s="99" t="s">
        <v>319</v>
      </c>
      <c r="I8" s="99"/>
      <c r="J8" s="99">
        <v>1.9259999999999999</v>
      </c>
      <c r="K8" s="99"/>
      <c r="L8" s="99"/>
      <c r="M8" s="99"/>
      <c r="N8" s="99"/>
      <c r="O8" s="99" t="s">
        <v>343</v>
      </c>
      <c r="P8" s="101"/>
    </row>
    <row r="9" spans="1:16" x14ac:dyDescent="0.25">
      <c r="A9" s="101">
        <v>46157</v>
      </c>
      <c r="B9" s="134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341</v>
      </c>
      <c r="H9" s="99" t="s">
        <v>319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350</v>
      </c>
      <c r="P9" s="101"/>
    </row>
    <row r="10" spans="1:16" x14ac:dyDescent="0.25">
      <c r="A10" s="101">
        <v>46161</v>
      </c>
      <c r="B10" s="134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341</v>
      </c>
      <c r="H10" s="99" t="s">
        <v>319</v>
      </c>
      <c r="I10" s="99">
        <v>0.79800000000000004</v>
      </c>
      <c r="J10" s="99"/>
      <c r="K10" s="99"/>
      <c r="L10" s="99"/>
      <c r="M10" s="99"/>
      <c r="N10" s="99"/>
      <c r="O10" s="99" t="s">
        <v>340</v>
      </c>
      <c r="P10" s="101"/>
    </row>
    <row r="11" spans="1:16" x14ac:dyDescent="0.25">
      <c r="A11" s="101">
        <v>46164.921076388891</v>
      </c>
      <c r="B11" s="134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351</v>
      </c>
      <c r="H11" s="99" t="s">
        <v>319</v>
      </c>
      <c r="I11" s="99"/>
      <c r="J11" s="99">
        <v>1.9730000000000001</v>
      </c>
      <c r="K11" s="99"/>
      <c r="L11" s="99"/>
      <c r="M11" s="99"/>
      <c r="N11" s="99"/>
      <c r="O11" s="99" t="s">
        <v>342</v>
      </c>
      <c r="P11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297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321</v>
      </c>
      <c r="I1" t="s">
        <v>322</v>
      </c>
      <c r="J1" t="s">
        <v>323</v>
      </c>
      <c r="K1" t="s">
        <v>324</v>
      </c>
      <c r="L1" t="s">
        <v>325</v>
      </c>
      <c r="M1" t="s">
        <v>326</v>
      </c>
      <c r="N1" t="s">
        <v>327</v>
      </c>
      <c r="O1" t="s">
        <v>339</v>
      </c>
      <c r="P1" t="s">
        <v>329</v>
      </c>
      <c r="Q1" t="s">
        <v>330</v>
      </c>
      <c r="R1" t="s">
        <v>331</v>
      </c>
      <c r="S1" t="s">
        <v>332</v>
      </c>
      <c r="T1" t="s">
        <v>333</v>
      </c>
      <c r="U1" t="s">
        <v>334</v>
      </c>
      <c r="V1" t="s">
        <v>335</v>
      </c>
      <c r="W1" t="s">
        <v>336</v>
      </c>
      <c r="X1" t="s">
        <v>337</v>
      </c>
      <c r="Y1" t="s">
        <v>338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341</v>
      </c>
      <c r="H2" t="s">
        <v>319</v>
      </c>
      <c r="I2">
        <v>0.79800000000000004</v>
      </c>
      <c r="O2" t="s">
        <v>340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351</v>
      </c>
      <c r="H3" t="s">
        <v>319</v>
      </c>
      <c r="J3">
        <v>1.9730000000000001</v>
      </c>
      <c r="O3" t="s">
        <v>342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351</v>
      </c>
      <c r="H4" t="s">
        <v>319</v>
      </c>
      <c r="J4">
        <v>1.9259999999999999</v>
      </c>
      <c r="O4" t="s">
        <v>343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352</v>
      </c>
      <c r="H5" t="s">
        <v>319</v>
      </c>
      <c r="J5">
        <v>2.0310000000000001</v>
      </c>
      <c r="O5" t="s">
        <v>344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341</v>
      </c>
      <c r="H6" t="s">
        <v>319</v>
      </c>
      <c r="I6">
        <v>0.80900000000000005</v>
      </c>
      <c r="J6">
        <v>2.0790000000000002</v>
      </c>
      <c r="O6" t="s">
        <v>345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341</v>
      </c>
      <c r="H7" t="s">
        <v>319</v>
      </c>
      <c r="I7">
        <v>0.747</v>
      </c>
      <c r="J7">
        <v>2.0979999999999999</v>
      </c>
      <c r="O7" t="s">
        <v>346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341</v>
      </c>
      <c r="H8" t="s">
        <v>319</v>
      </c>
      <c r="I8">
        <v>0.75700000000000001</v>
      </c>
      <c r="J8">
        <v>2.0979999999999999</v>
      </c>
      <c r="O8" t="s">
        <v>347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341</v>
      </c>
      <c r="H9" t="s">
        <v>319</v>
      </c>
      <c r="I9">
        <v>0.83499999999999996</v>
      </c>
      <c r="J9">
        <v>2.0950000000000002</v>
      </c>
      <c r="O9" t="s">
        <v>348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341</v>
      </c>
      <c r="H10" t="s">
        <v>319</v>
      </c>
      <c r="I10">
        <v>0.71699999999999997</v>
      </c>
      <c r="J10">
        <v>2.0950000000000002</v>
      </c>
      <c r="O10" t="s">
        <v>349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341</v>
      </c>
      <c r="H11" t="s">
        <v>319</v>
      </c>
      <c r="I11">
        <v>0.79800000000000004</v>
      </c>
      <c r="J11">
        <v>2.0910000000000002</v>
      </c>
      <c r="O11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28" t="s">
        <v>72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Z1" s="77">
        <v>46164.921076388891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27" t="s">
        <v>107</v>
      </c>
      <c r="H10" s="127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351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351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352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341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341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341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341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341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341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341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33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29" t="s">
        <v>300</v>
      </c>
      <c r="C2" s="130"/>
      <c r="D2" s="130"/>
      <c r="E2" s="130"/>
      <c r="F2" s="130"/>
      <c r="G2" s="130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1" t="s">
        <v>320</v>
      </c>
      <c r="C4" s="130"/>
      <c r="D4" s="130"/>
      <c r="E4" s="130"/>
      <c r="F4" s="130"/>
      <c r="G4" s="130"/>
    </row>
    <row r="5" spans="2:9" ht="32.1" customHeight="1" x14ac:dyDescent="0.25">
      <c r="B5" s="85" t="s">
        <v>279</v>
      </c>
      <c r="C5" s="86" t="s">
        <v>301</v>
      </c>
      <c r="D5" s="86" t="s">
        <v>302</v>
      </c>
      <c r="E5" s="86" t="s">
        <v>303</v>
      </c>
      <c r="F5" s="86" t="s">
        <v>304</v>
      </c>
      <c r="G5" s="86" t="s">
        <v>305</v>
      </c>
      <c r="H5" s="86" t="s">
        <v>306</v>
      </c>
      <c r="I5" s="85" t="s">
        <v>307</v>
      </c>
    </row>
    <row r="6" spans="2:9" ht="21.95" customHeight="1" x14ac:dyDescent="0.25">
      <c r="B6" s="88" t="str">
        <f>IF(Notes!$D$3="","",Notes!$D$3)</f>
        <v/>
      </c>
      <c r="C6" s="89" t="str">
        <f ca="1">IFERROR(AVERAGEIF(GS_Pleins!$G:$G,$B6,GS_Pleins[E85 station]),"")</f>
        <v/>
      </c>
      <c r="D6" s="89" t="str">
        <f ca="1">IFERROR(AVERAGEIF(GS_Pleins!$G:$G,$B6,GS_Pleins[SP98 station]),"")</f>
        <v/>
      </c>
      <c r="E6" s="89" t="str">
        <f ca="1">IFERROR(AVERAGEIF(GS_Pleins!$G:$G,$B6,GS_Pleins[SP95 station]),"")</f>
        <v/>
      </c>
      <c r="F6" s="89" t="str">
        <f ca="1">IFERROR(AVERAGEIF(GS_Pleins!$G:$G,$B6,GS_Pleins[E10 station]),"")</f>
        <v/>
      </c>
      <c r="G6" s="89" t="str">
        <f ca="1">IFERROR(AVERAGEIF(GS_Pleins!$G:$G,$B6,GS_Pleins[Gazole station]),"")</f>
        <v/>
      </c>
      <c r="H6" s="89" t="str">
        <f ca="1">IFERROR(AVERAGEIF(GS_Pleins!$G:$G,$B6,GS_Pleins[GPLc station]),"")</f>
        <v/>
      </c>
      <c r="I6" s="90" t="str">
        <f>IF(Notes!$D3="","",COUNTIF(GS_Pleins!$G:$G,B6))</f>
        <v/>
      </c>
    </row>
    <row r="7" spans="2:9" ht="21.95" customHeight="1" x14ac:dyDescent="0.25">
      <c r="B7" s="87" t="str">
        <f>IF(Notes!$D$4="","",Notes!$D$4)</f>
        <v/>
      </c>
      <c r="C7" s="89" t="str">
        <f ca="1">IFERROR(AVERAGEIF(GS_Pleins!$G:$G,$B7,GS_Pleins[E85 station]),"")</f>
        <v/>
      </c>
      <c r="D7" s="89" t="str">
        <f ca="1">IFERROR(AVERAGEIF(GS_Pleins!$G:$G,$B7,GS_Pleins[SP98 station]),"")</f>
        <v/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 t="str">
        <f>IF(Notes!$D4="","",COUNTIF(GS_Pleins!$G:$G,B7))</f>
        <v/>
      </c>
    </row>
    <row r="8" spans="2:9" ht="21.95" customHeight="1" x14ac:dyDescent="0.25">
      <c r="B8" s="88" t="str">
        <f>IF(Notes!$D$5="","",Notes!$D$5)</f>
        <v/>
      </c>
      <c r="C8" s="89" t="str">
        <f ca="1">IFERROR(AVERAGEIF(GS_Pleins!$G:$G,$B8,GS_Pleins[E85 station]),"")</f>
        <v/>
      </c>
      <c r="D8" s="89" t="str">
        <f ca="1">IFERROR(AVERAGEIF(GS_Pleins!$G:$G,$B8,GS_Pleins[SP98 station]),"")</f>
        <v/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 t="str">
        <f>IF(Notes!$D5="","",COUNTIF(GS_Pleins!$G:$G,B8))</f>
        <v/>
      </c>
    </row>
    <row r="9" spans="2:9" ht="21.95" customHeight="1" x14ac:dyDescent="0.25">
      <c r="B9" s="87" t="str">
        <f>IF(Notes!$D$6="","",Notes!$D$6)</f>
        <v/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 t="str">
        <f>IF(Notes!$D6="","",COUNTIF(GS_Pleins!$G:$G,B9))</f>
        <v/>
      </c>
    </row>
    <row r="10" spans="2:9" ht="21.95" customHeight="1" x14ac:dyDescent="0.25">
      <c r="B10" s="88" t="str">
        <f>IF(Notes!$D$7="","",Notes!$D$7)</f>
        <v/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 t="str">
        <f>IF(Notes!$D7="","",COUNTIF(GS_Pleins!$G:$G,B10))</f>
        <v/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280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2" t="s">
        <v>308</v>
      </c>
      <c r="C19" s="133"/>
      <c r="D19" s="133"/>
      <c r="E19" s="133"/>
      <c r="F19" s="133"/>
      <c r="G19" s="133"/>
    </row>
    <row r="20" spans="2:9" ht="18" customHeight="1" x14ac:dyDescent="0.25">
      <c r="B20" s="132"/>
      <c r="C20" s="133"/>
      <c r="D20" s="133"/>
      <c r="E20" s="133"/>
      <c r="F20" s="133"/>
      <c r="G20" s="133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368</v>
      </c>
    </row>
    <row r="3" spans="1:3" x14ac:dyDescent="0.25">
      <c r="A3" s="117" t="s">
        <v>369</v>
      </c>
    </row>
    <row r="4" spans="1:3" x14ac:dyDescent="0.25">
      <c r="A4" s="118" t="s">
        <v>1</v>
      </c>
      <c r="B4" s="118" t="s">
        <v>367</v>
      </c>
      <c r="C4" s="118" t="s">
        <v>279</v>
      </c>
    </row>
    <row r="5" spans="1:3" x14ac:dyDescent="0.25">
      <c r="A5" s="119">
        <v>46146</v>
      </c>
      <c r="B5" s="120">
        <v>0.80900000000000005</v>
      </c>
      <c r="C5" t="s">
        <v>341</v>
      </c>
    </row>
    <row r="6" spans="1:3" x14ac:dyDescent="0.25">
      <c r="A6" s="119">
        <v>46148</v>
      </c>
      <c r="B6" s="120">
        <v>0.747</v>
      </c>
      <c r="C6" t="s">
        <v>341</v>
      </c>
    </row>
    <row r="7" spans="1:3" x14ac:dyDescent="0.25">
      <c r="A7" s="119">
        <v>46151</v>
      </c>
      <c r="B7" s="120">
        <v>0.75700000000000001</v>
      </c>
      <c r="C7" t="s">
        <v>341</v>
      </c>
    </row>
    <row r="8" spans="1:3" x14ac:dyDescent="0.25">
      <c r="A8" s="119">
        <v>46154</v>
      </c>
      <c r="B8" s="120">
        <v>0.83499999999999996</v>
      </c>
      <c r="C8" t="s">
        <v>341</v>
      </c>
    </row>
    <row r="9" spans="1:3" x14ac:dyDescent="0.25">
      <c r="A9" s="119">
        <v>46157</v>
      </c>
      <c r="B9" s="120">
        <v>0.71699999999999997</v>
      </c>
      <c r="C9" t="s">
        <v>341</v>
      </c>
    </row>
    <row r="10" spans="1:3" x14ac:dyDescent="0.25">
      <c r="A10" s="119">
        <v>46161</v>
      </c>
      <c r="B10" s="120">
        <v>0.79800000000000004</v>
      </c>
      <c r="C10" t="s">
        <v>341</v>
      </c>
    </row>
    <row r="11" spans="1:3" x14ac:dyDescent="0.25">
      <c r="A11" s="119">
        <v>46164.083333333336</v>
      </c>
      <c r="B11" s="120">
        <v>0.79800000000000004</v>
      </c>
      <c r="C11" t="s">
        <v>341</v>
      </c>
    </row>
    <row r="43" spans="1:3" x14ac:dyDescent="0.25">
      <c r="A43" s="121" t="s">
        <v>370</v>
      </c>
    </row>
    <row r="44" spans="1:3" x14ac:dyDescent="0.25">
      <c r="A44" s="122" t="s">
        <v>1</v>
      </c>
      <c r="B44" s="122" t="s">
        <v>371</v>
      </c>
      <c r="C44" s="122" t="s">
        <v>312</v>
      </c>
    </row>
    <row r="45" spans="1:3" x14ac:dyDescent="0.25">
      <c r="A45" s="119">
        <v>46135</v>
      </c>
      <c r="B45" s="123">
        <v>5.4</v>
      </c>
      <c r="C45" t="s">
        <v>319</v>
      </c>
    </row>
    <row r="46" spans="1:3" x14ac:dyDescent="0.25">
      <c r="A46" s="119">
        <v>46140</v>
      </c>
      <c r="B46" s="123">
        <v>5.39</v>
      </c>
      <c r="C46" t="s">
        <v>319</v>
      </c>
    </row>
    <row r="47" spans="1:3" x14ac:dyDescent="0.25">
      <c r="A47" s="119">
        <v>46146</v>
      </c>
      <c r="B47" s="123">
        <v>5.62</v>
      </c>
      <c r="C47" t="s">
        <v>319</v>
      </c>
    </row>
    <row r="48" spans="1:3" x14ac:dyDescent="0.25">
      <c r="A48" s="119">
        <v>46148</v>
      </c>
      <c r="B48" s="123">
        <v>5.97</v>
      </c>
      <c r="C48" t="s">
        <v>319</v>
      </c>
    </row>
    <row r="49" spans="1:3" x14ac:dyDescent="0.25">
      <c r="A49" s="119">
        <v>46151</v>
      </c>
      <c r="B49" s="123">
        <v>6.76</v>
      </c>
      <c r="C49" t="s">
        <v>319</v>
      </c>
    </row>
    <row r="50" spans="1:3" x14ac:dyDescent="0.25">
      <c r="A50" s="119">
        <v>46154</v>
      </c>
      <c r="B50" s="123">
        <v>7.04</v>
      </c>
      <c r="C50" t="s">
        <v>319</v>
      </c>
    </row>
    <row r="51" spans="1:3" x14ac:dyDescent="0.25">
      <c r="A51" s="119">
        <v>46157</v>
      </c>
      <c r="B51" s="123">
        <v>6.59</v>
      </c>
      <c r="C51" t="s">
        <v>319</v>
      </c>
    </row>
    <row r="52" spans="1:3" x14ac:dyDescent="0.25">
      <c r="A52" s="119">
        <v>46161</v>
      </c>
      <c r="B52" s="123">
        <v>6.77</v>
      </c>
      <c r="C52" t="s">
        <v>319</v>
      </c>
    </row>
    <row r="53" spans="1:3" x14ac:dyDescent="0.25">
      <c r="A53" s="119">
        <v>46164.083333333336</v>
      </c>
      <c r="B53" s="123">
        <v>6.91</v>
      </c>
      <c r="C53" t="s">
        <v>319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</row>
    <row r="4" spans="2:4" x14ac:dyDescent="0.25">
      <c r="B4" s="81" t="s">
        <v>273</v>
      </c>
    </row>
    <row r="5" spans="2:4" x14ac:dyDescent="0.25">
      <c r="B5" s="81" t="s">
        <v>81</v>
      </c>
    </row>
    <row r="6" spans="2:4" x14ac:dyDescent="0.25">
      <c r="B6" s="81" t="s">
        <v>100</v>
      </c>
    </row>
    <row r="19" spans="4:4" x14ac:dyDescent="0.25">
      <c r="D19" s="81" t="s">
        <v>328</v>
      </c>
    </row>
    <row r="20" spans="4:4" x14ac:dyDescent="0.25">
      <c r="D20" s="81" t="s">
        <v>351</v>
      </c>
    </row>
    <row r="21" spans="4:4" x14ac:dyDescent="0.25">
      <c r="D21" s="81" t="s">
        <v>278</v>
      </c>
    </row>
    <row r="22" spans="4:4" x14ac:dyDescent="0.25">
      <c r="D22" s="81" t="s">
        <v>341</v>
      </c>
    </row>
    <row r="23" spans="4:4" x14ac:dyDescent="0.25">
      <c r="D23" s="81" t="s">
        <v>298</v>
      </c>
    </row>
    <row r="24" spans="4:4" x14ac:dyDescent="0.25">
      <c r="D24" s="81" t="s">
        <v>352</v>
      </c>
    </row>
    <row r="25" spans="4:4" x14ac:dyDescent="0.25">
      <c r="D25" s="81" t="s">
        <v>277</v>
      </c>
    </row>
    <row r="26" spans="4:4" x14ac:dyDescent="0.25">
      <c r="D26" s="81" t="s">
        <v>299</v>
      </c>
    </row>
    <row r="27" spans="4:4" x14ac:dyDescent="0.25">
      <c r="D27" s="81" t="s">
        <v>276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2026-05-27T17:23:04Z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