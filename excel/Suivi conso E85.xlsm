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8ED03CF3-0767-4DEB-90E3-4CA22392CB18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" l="1"/>
  <c r="B36" i="2"/>
  <c r="B31" i="2"/>
  <c r="B33" i="2"/>
  <c r="A28" i="2"/>
  <c r="E28" i="2"/>
  <c r="I28" i="2"/>
  <c r="H28" i="2" s="1"/>
  <c r="J28" i="2"/>
  <c r="L28" i="2"/>
  <c r="M28" i="2" s="1"/>
  <c r="E27" i="2"/>
  <c r="I27" i="2"/>
  <c r="H27" i="2" s="1"/>
  <c r="J27" i="2"/>
  <c r="E26" i="2"/>
  <c r="I26" i="2"/>
  <c r="J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26" i="2" l="1"/>
  <c r="E25" i="2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B39" i="2" s="1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I22" i="2"/>
  <c r="H22" i="2" s="1"/>
  <c r="B35" i="2"/>
  <c r="B34" i="2"/>
  <c r="S16" i="2"/>
  <c r="M17" i="2"/>
  <c r="M18" i="2"/>
  <c r="K17" i="2"/>
  <c r="I17" i="2"/>
  <c r="H17" i="2" s="1"/>
  <c r="B38" i="2" l="1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26" i="2" l="1"/>
  <c r="M26" i="2" s="1"/>
  <c r="L27" i="2"/>
  <c r="M27" i="2" s="1"/>
  <c r="L19" i="2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7" i="2" s="1"/>
  <c r="I20" i="2"/>
  <c r="H20" i="2" s="1"/>
  <c r="I21" i="2"/>
  <c r="H21" i="2" s="1"/>
  <c r="I23" i="2"/>
  <c r="H23" i="2" s="1"/>
  <c r="I16" i="2"/>
  <c r="H16" i="2" s="1"/>
  <c r="L18" i="2" l="1"/>
  <c r="L16" i="2"/>
  <c r="J31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N26" i="2" s="1"/>
  <c r="N27" i="2" s="1"/>
  <c r="N28" i="2" s="1"/>
  <c r="J32" i="2" l="1"/>
  <c r="J33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7" i="2"/>
  <c r="J34" i="2" l="1"/>
  <c r="J38" i="2"/>
  <c r="J35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<sst xmlns="http://schemas.openxmlformats.org/spreadsheetml/2006/main" count="509" uniqueCount="370">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</sst>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28</xdr:row>
      <xdr:rowOff>0</xdr:rowOff>
    </xdr:from>
    <xdr:to>
      <xdr:col>2</xdr:col>
      <xdr:colOff>279400</xdr:colOff>
      <xdr:row>28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0EA67-621B-41EB-81F1-A7B2030A828B}" name="DonneesExternes_1" displayName="DonneesExternes_1" ref="A1:Y12" totalsRowShown="0">
  <autoFilter ref="A1:Y12" xr:uid="{F450EA67-621B-41EB-81F1-A7B2030A828B}"/>
  <tableColumns count="25">
    <tableColumn id="1" xr3:uid="{8ADD5413-216F-4C48-BD2A-2E0BE2F29900}" name="Horodatage" dataDxfId="1"/>
    <tableColumn id="2" xr3:uid="{1CA61FD4-D8D3-4046-AAB4-3428EE9C68C8}" name="Date" dataDxfId="0"/>
    <tableColumn id="3" xr3:uid="{0862FD5A-8560-48BF-9CE2-2D03525F4851}" name="Type"/>
    <tableColumn id="4" xr3:uid="{1EA6E20D-2833-4DA7-A95A-FA6FE43412C3}" name="Km compteur"/>
    <tableColumn id="5" xr3:uid="{D5FB6B6F-9072-4A2D-81A0-865A99CBF29D}" name="Nb. Litres"/>
    <tableColumn id="6" xr3:uid="{65377110-60D9-4F25-B6EE-B8430CDBFE50}" name="Prix €/L"/>
    <tableColumn id="7" xr3:uid="{C28E66C8-7184-4681-9A69-38CEB114ED06}" name="Station essence"/>
    <tableColumn id="8" xr3:uid="{B6196C2F-0C46-4F62-B738-02E6A6EC9ADD}" name="Véhicule"/>
    <tableColumn id="9" xr3:uid="{431A76AB-87F0-4354-8009-5CB9A6BA3029}" name="E85 station (€/L)"/>
    <tableColumn id="10" xr3:uid="{BC4C46FD-FDD5-4A2B-A267-8BCC61C8929C}" name="SP98 station (€/L)"/>
    <tableColumn id="11" xr3:uid="{2913F849-0585-4673-998E-385420310ED5}" name="SP95 station (€/L)"/>
    <tableColumn id="12" xr3:uid="{A671D2C2-5E1F-4051-BC79-A2C67087902F}" name="E10 station (€/L)"/>
    <tableColumn id="13" xr3:uid="{297B78A9-A18B-4659-9FC8-AABFE7B3C7E9}" name="Gazole station (€/L)"/>
    <tableColumn id="14" xr3:uid="{B2559A2F-077D-4D21-A7A4-F32308331C66}" name="GPLc station (€/L)"/>
    <tableColumn id="15" xr3:uid="{98413FCA-D80B-492B-9330-1862544AEEEB}" name="sync_id"/>
    <tableColumn id="16" xr3:uid="{7A69BD4A-520A-4A20-8DDE-8DDAD277C03D}" name="Photo ticket"/>
    <tableColumn id="17" xr3:uid="{17E8897D-034D-441F-A326-C672BBA9FDD0}" name="Colonne1"/>
    <tableColumn id="18" xr3:uid="{7BE82FBA-B5F9-4AE6-A2D0-6B13CCCE0703}" name="Colonne2"/>
    <tableColumn id="19" xr3:uid="{9FD1A1BF-A966-4005-A074-998F45943E27}" name="Colonne3"/>
    <tableColumn id="20" xr3:uid="{166D58E0-8AC1-42E0-9C3B-0BF9CD6ECB43}" name="Colonne4"/>
    <tableColumn id="21" xr3:uid="{A58354D0-4BDF-483C-B511-E329C3A815ED}" name="Colonne5"/>
    <tableColumn id="22" xr3:uid="{60359B9A-C2E5-40B0-A06A-9B259D942624}" name="Colonne6"/>
    <tableColumn id="23" xr3:uid="{D18BD736-4E96-463A-B193-962993BC62BE}" name="Colonne7"/>
    <tableColumn id="24" xr3:uid="{B9A1FA0A-52AA-4DB2-B246-C3AD6A669A65}" name="Colonne8"/>
    <tableColumn id="25" xr3:uid="{772EDEE1-D6DA-4CF9-89F8-DE63757B6A5F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8" totalsRowShown="0" headerRowDxfId="33" dataDxfId="31" headerRowBorderDxfId="32" tableBorderDxfId="30" totalsRowBorderDxfId="29">
  <autoFilter ref="A15:O28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0"/>
  <sheetViews>
    <sheetView tabSelected="1" zoomScale="70" zoomScaleNormal="70" workbookViewId="0">
      <pane xSplit="1" ySplit="2" topLeftCell="G11" activePane="bottomRight" state="frozen"/>
      <selection pane="topRight" activeCell="B1" sqref="B1"/>
      <selection pane="bottomLeft" activeCell="A3" sqref="A3"/>
      <selection pane="bottomRight" activeCell="O34" sqref="O34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5.8391543493260576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4.4522197548714004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8.2395249813205451E-2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159.43533646176539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46671.147807763111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355.1046635382346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13008.265940719961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0.1934894859972881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0.30985994570250203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12.751659366999025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26.701709744850604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22.030889366999027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0.57880819764363478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12.751659366999025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44.751878982559575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22.697420377851579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0.61460950828862515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26.701709744850604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60.093157997378739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29.617129237708973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0.60945033169275653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44.751878982559575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76.384799376728253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26.981179014819162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0.56859186940619266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60.093157997378739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93.278816607334846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25.877931379349508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0.62955732977753309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76.384799376728253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112.09383783138567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28.7842172306066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0.58691945989912109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93.278816607334846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31.782521224050829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0.59199272113796031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112.09383783138567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46178</v>
      </c>
      <c r="C26" s="64" t="s">
        <v>100</v>
      </c>
      <c r="D26" s="65">
        <v>10749</v>
      </c>
      <c r="E26" s="65">
        <f>IF(AND(ISNUMBER(D25),Tableau2[[#This Row],[Km compteur]]&lt;&gt;""),Tableau2[[#This Row],[Km compteur]]-D25,"")</f>
        <v>-1082</v>
      </c>
      <c r="F26" s="66">
        <v>11.71</v>
      </c>
      <c r="G26" s="67">
        <v>0.747</v>
      </c>
      <c r="H26" s="78">
        <f>IF(OR(D26="",D25="",I26="",ISTEXT(D25)),"",F26/(D26-D25)*100)</f>
        <v>-1.0822550831792976</v>
      </c>
      <c r="I26" s="54">
        <f>IF(F26="","",F26*G26)</f>
        <v>8.7473700000000001</v>
      </c>
      <c r="J26" s="55">
        <f>IF(OR(D26="",D25="",F26="",ISTEXT(D25)),"",F26/(D26-D25)*100)</f>
        <v>-1.0822550831792976</v>
      </c>
      <c r="K26" s="68">
        <v>2.0979999999999999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22.697420377851579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0.61460950828862515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126.04388820923725</v>
      </c>
      <c r="O26" s="80" t="s">
        <v>335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79">
        <f>IF(B27="","",A26+1)</f>
        <v>12</v>
      </c>
      <c r="B27" s="48">
        <v>46270</v>
      </c>
      <c r="C27" s="64" t="s">
        <v>100</v>
      </c>
      <c r="D27" s="65">
        <v>10975</v>
      </c>
      <c r="E27" s="65">
        <f>IF(AND(ISNUMBER(D26),Tableau2[[#This Row],[Km compteur]]&lt;&gt;""),Tableau2[[#This Row],[Km compteur]]-D26,"")</f>
        <v>226</v>
      </c>
      <c r="F27" s="66">
        <v>15.28</v>
      </c>
      <c r="G27" s="67">
        <v>0.75700000000000001</v>
      </c>
      <c r="H27" s="78">
        <f>IF(OR(D27="",D26="",I27="",ISTEXT(D26)),"",F27/(D27-D26)*100)</f>
        <v>6.7610619469026547</v>
      </c>
      <c r="I27" s="54">
        <f>IF(F27="","",F27*G27)</f>
        <v>11.56696</v>
      </c>
      <c r="J27" s="55">
        <f>IF(OR(D27="",D26="",F27="",ISTEXT(D26)),"",F27/(D27-D26)*100)</f>
        <v>6.7610619469026547</v>
      </c>
      <c r="K27" s="68">
        <v>2.0979999999999999</v>
      </c>
      <c r="L27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29.617129237708973</v>
      </c>
      <c r="M27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0.60945033169275653</v>
      </c>
      <c r="N27" s="54">
        <f>IF(Tableau2[[#This Row],[Type]]&lt;&gt;"SuperEthanol E85","",IF(Tableau2[[#This Row],[Coût Plein (€)]]="","",IF(N26&lt;&gt;"",N26+(L27-Tableau2[[#This Row],[Coût Plein (€)]]),L27-Tableau2[[#This Row],[Coût Plein (€)]])))</f>
        <v>144.09405744694624</v>
      </c>
      <c r="O27" s="80" t="s">
        <v>335</v>
      </c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9">
        <f>IF(B28="","",A27+1)</f>
        <v>13</v>
      </c>
      <c r="B28" s="48">
        <v>46361</v>
      </c>
      <c r="C28" s="64" t="s">
        <v>100</v>
      </c>
      <c r="D28" s="65">
        <v>11173</v>
      </c>
      <c r="E28" s="65">
        <f>IF(AND(ISNUMBER(D27),Tableau2[[#This Row],[Km compteur]]&lt;&gt;""),Tableau2[[#This Row],[Km compteur]]-D27,"")</f>
        <v>198</v>
      </c>
      <c r="F28" s="66">
        <v>13.94</v>
      </c>
      <c r="G28" s="67">
        <v>0.83499999999999996</v>
      </c>
      <c r="H28" s="78">
        <f>IF(OR(D28="",D27="",I28="",ISTEXT(D27)),"",F28/(D28-D27)*100)</f>
        <v>7.0404040404040398</v>
      </c>
      <c r="I28" s="54">
        <f>IF(F28="","",F28*G28)</f>
        <v>11.639899999999999</v>
      </c>
      <c r="J28" s="55">
        <f>IF(OR(D28="",D27="",F28="",ISTEXT(D27)),"",F28/(D28-D27)*100)</f>
        <v>7.0404040404040398</v>
      </c>
      <c r="K28" s="68">
        <v>2.0950000000000002</v>
      </c>
      <c r="L28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26.981179014819162</v>
      </c>
      <c r="M28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0.56859186940619266</v>
      </c>
      <c r="N28" s="54">
        <f>IF(Tableau2[[#This Row],[Type]]&lt;&gt;"SuperEthanol E85","",IF(Tableau2[[#This Row],[Coût Plein (€)]]="","",IF(N27&lt;&gt;"",N27+(L28-Tableau2[[#This Row],[Coût Plein (€)]]),L28-Tableau2[[#This Row],[Coût Plein (€)]])))</f>
        <v>159.43533646176539</v>
      </c>
      <c r="O28" s="80" t="s">
        <v>335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5" t="s">
        <v>15</v>
      </c>
      <c r="B30" s="6"/>
      <c r="C30" s="6"/>
      <c r="D30" s="6"/>
      <c r="E30" s="6"/>
      <c r="F30" s="4"/>
      <c r="G30" s="16" t="s">
        <v>19</v>
      </c>
      <c r="H30" s="17"/>
      <c r="I30" s="17"/>
      <c r="J30" s="17"/>
      <c r="K30" s="17"/>
      <c r="L30" s="17"/>
      <c r="M30" s="4"/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67</v>
      </c>
      <c r="B31" s="9">
        <f>COUNTIF(C16:C28,"SuperEthanol E85")</f>
        <v>10</v>
      </c>
      <c r="C31" s="9"/>
      <c r="D31" s="9"/>
      <c r="E31" s="9"/>
      <c r="F31" s="4"/>
      <c r="G31" s="18" t="s">
        <v>20</v>
      </c>
      <c r="H31" s="18"/>
      <c r="I31" s="18"/>
      <c r="J31" s="69">
        <f>SUM(L16:L28)</f>
        <v>267.06701646176543</v>
      </c>
      <c r="K31" s="18"/>
      <c r="L31" s="18"/>
      <c r="M31" s="8" t="s">
        <v>21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10" t="s">
        <v>66</v>
      </c>
      <c r="B32" s="21">
        <f>COUNTIF(C16:C28,"Super 98")</f>
        <v>3</v>
      </c>
      <c r="C32" s="11"/>
      <c r="D32" s="11"/>
      <c r="E32" s="11"/>
      <c r="F32" s="4"/>
      <c r="G32" s="19" t="s">
        <v>22</v>
      </c>
      <c r="H32" s="19"/>
      <c r="I32" s="19"/>
      <c r="J32" s="70">
        <f>IF(J31=0,"",J31-B37)</f>
        <v>159.43533646176544</v>
      </c>
      <c r="K32" s="19"/>
      <c r="L32" s="19"/>
      <c r="M32" s="8" t="s">
        <v>23</v>
      </c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16</v>
      </c>
      <c r="B33" s="22">
        <f>IF(COUNTA(D16:D28)&lt;2,"",MAX(D16:D28)-MIN(D16:D28))</f>
        <v>2019</v>
      </c>
      <c r="C33" s="12"/>
      <c r="D33" s="12"/>
      <c r="E33" s="12"/>
      <c r="F33" s="4"/>
      <c r="G33" s="20" t="s">
        <v>24</v>
      </c>
      <c r="H33" s="18"/>
      <c r="I33" s="18"/>
      <c r="J33" s="71">
        <f>IF(J32="","",J32-B5)</f>
        <v>-355.10466353823449</v>
      </c>
      <c r="K33" s="18"/>
      <c r="L33" s="18"/>
      <c r="M33" s="8" t="s">
        <v>25</v>
      </c>
    </row>
    <row r="34" spans="1:27" x14ac:dyDescent="0.25">
      <c r="A34" s="61" t="s">
        <v>182</v>
      </c>
      <c r="B34" s="62">
        <f>IFERROR((LOOKUP(9.99999999999999E+307,Tableau2[Km compteur])-INDEX(Tableau2[Km compteur],1))/(LOOKUP(9.99999999999999E+307,Tableau2[Date])-INDEX(Tableau2[Date],1))*7,"-")</f>
        <v>41.421739130434787</v>
      </c>
      <c r="C34" s="11"/>
      <c r="D34" s="11"/>
      <c r="E34" s="11"/>
      <c r="F34" s="4"/>
      <c r="G34" s="19" t="s">
        <v>26</v>
      </c>
      <c r="H34" s="19"/>
      <c r="I34" s="19"/>
      <c r="J34" s="72">
        <f>IF(OR(B5="",B5=0,J32=""),"",MIN(J32/B5,1))</f>
        <v>0.30985994570250214</v>
      </c>
      <c r="K34" s="19"/>
      <c r="L34" s="19"/>
      <c r="M34" s="4"/>
    </row>
    <row r="35" spans="1:27" x14ac:dyDescent="0.25">
      <c r="A35" s="7" t="s">
        <v>183</v>
      </c>
      <c r="B35" s="60">
        <f>IFERROR((LOOKUP(9.99999999999999E+307,Tableau2[Km compteur])-INDEX(Tableau2[Km compteur],1))/(LOOKUP(9.99999999999999E+307,Tableau2[Date])-INDEX(Tableau2[Date],1))*30.4375,"-")</f>
        <v>180.11059782608697</v>
      </c>
      <c r="C35" s="12"/>
      <c r="D35" s="12"/>
      <c r="E35" s="12"/>
      <c r="F35" s="4"/>
      <c r="G35" s="18" t="s">
        <v>27</v>
      </c>
      <c r="H35" s="18"/>
      <c r="I35" s="18"/>
      <c r="J35" s="18" t="str">
        <f>IF(J33="","",IF(J33&gt;=0,"✅ OUI ! Rentabilisé !","❌ Pas encore... Encore "&amp;TEXT(ABS(J33),"#,##")&amp;" € à économiser"))</f>
        <v>❌ Pas encore... Encore 355,1 € à économiser</v>
      </c>
      <c r="K35" s="18"/>
      <c r="L35" s="18"/>
      <c r="M35" s="4"/>
    </row>
    <row r="36" spans="1:27" x14ac:dyDescent="0.25">
      <c r="A36" s="10" t="s">
        <v>17</v>
      </c>
      <c r="B36" s="23">
        <f>SUMIF(C16:C28,"SuperEthanol E85",F16:F28)</f>
        <v>137.85</v>
      </c>
      <c r="C36" s="13"/>
      <c r="D36" s="13"/>
      <c r="E36" s="13"/>
      <c r="F36" s="4"/>
      <c r="G36" s="73"/>
      <c r="H36" s="73"/>
      <c r="I36" s="73"/>
      <c r="J36" s="73"/>
      <c r="K36" s="73"/>
      <c r="L36" s="73"/>
      <c r="M36" s="4"/>
    </row>
    <row r="37" spans="1:27" x14ac:dyDescent="0.25">
      <c r="A37" s="7" t="s">
        <v>18</v>
      </c>
      <c r="B37" s="24">
        <f>SUMIF(C16:C28,"SuperEthanol E85",I16:I28)</f>
        <v>107.63167999999999</v>
      </c>
      <c r="C37" s="12"/>
      <c r="D37" s="12"/>
      <c r="E37" s="12"/>
      <c r="F37" s="4"/>
      <c r="G37" s="18" t="s">
        <v>40</v>
      </c>
      <c r="H37" s="18"/>
      <c r="I37" s="18"/>
      <c r="J37" s="75">
        <f>IF(OR(J32="",B33="",B33=0),"",J32/B33*100)</f>
        <v>7.8967477197506408</v>
      </c>
      <c r="K37" s="18"/>
      <c r="L37" s="18"/>
      <c r="M37" s="4"/>
    </row>
    <row r="38" spans="1:27" x14ac:dyDescent="0.25">
      <c r="A38" s="10" t="s">
        <v>60</v>
      </c>
      <c r="B38" s="23">
        <f>IFERROR(AVERAGEIFS(J16:J28,C16:C28,"SuperEthanol E85"),"")</f>
        <v>5.8391543493260576</v>
      </c>
      <c r="C38" s="14"/>
      <c r="D38" s="14"/>
      <c r="E38" s="14"/>
      <c r="F38" s="4"/>
      <c r="G38" s="19" t="s">
        <v>184</v>
      </c>
      <c r="H38" s="19"/>
      <c r="I38" s="19"/>
      <c r="J38" s="74">
        <f>IF(OR(J37="",J37&lt;=0,J33=""),"",IF(J33&gt;=0,0,ROUNDUP(ABS(J33)/J37*100,0)))</f>
        <v>4497</v>
      </c>
      <c r="K38" s="19"/>
      <c r="L38" s="19"/>
      <c r="M38" s="4"/>
    </row>
    <row r="39" spans="1:27" x14ac:dyDescent="0.25">
      <c r="A39" s="7" t="s">
        <v>61</v>
      </c>
      <c r="B39" s="12">
        <f>IFERROR(AVERAGEIFS(J16:J28,C16:C28,"Super 98"),"")</f>
        <v>5.394659991656237</v>
      </c>
      <c r="C39" s="15"/>
      <c r="D39" s="15"/>
      <c r="E39" s="15"/>
      <c r="F39" s="4"/>
      <c r="G39" s="4"/>
      <c r="H39" s="4"/>
      <c r="I39" s="4"/>
      <c r="J39" s="4"/>
      <c r="K39" s="4"/>
      <c r="L39" s="4"/>
      <c r="AA39"/>
    </row>
    <row r="40" spans="1:27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</sheetData>
  <sheetProtection selectLockedCells="1"/>
  <mergeCells count="2">
    <mergeCell ref="G10:H10"/>
    <mergeCell ref="A1:O1"/>
  </mergeCells>
  <phoneticPr fontId="15" type="noConversion"/>
  <conditionalFormatting sqref="K16:K28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8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8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