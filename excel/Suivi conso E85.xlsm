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fdaub\Documents\Github\suivi-e85\excel\"/>
    </mc:Choice>
  </mc:AlternateContent>
  <xr:revisionPtr revIDLastSave="0" documentId="13_ncr:1_{76179FF9-FDEB-4EF9-8360-51863A51D6D1}" xr6:coauthVersionLast="47" xr6:coauthVersionMax="47" xr10:uidLastSave="{00000000-0000-0000-0000-000000000000}"/>
  <bookViews>
    <workbookView xWindow="-120" yWindow="-120" windowWidth="24240" windowHeight="13020" firstSheet="1" activeTab="5" xr2:uid="{51658058-8315-A640-B733-1DFC39D6EEC8}"/>
  </bookViews>
  <sheets>
    <sheet name="Claude Log" sheetId="3" state="hidden" r:id="rId1"/>
    <sheet name="Tableau de bord" sheetId="10" r:id="rId2"/>
    <sheet name="GS_Pleins" sheetId="8" r:id="rId3"/>
    <sheet name="Suivi (auto)" sheetId="11" state="hidden" r:id="rId4"/>
    <sheet name="_ImportGS" sheetId="9" state="veryHidden" r:id="rId5"/>
    <sheet name="Suivi Carburant" sheetId="2" r:id="rId6"/>
    <sheet name="Prix par Station" sheetId="7" r:id="rId7"/>
    <sheet name="Graphiques" sheetId="4" r:id="rId8"/>
    <sheet name="Notes" sheetId="6" state="hidden" r:id="rId9"/>
  </sheets>
  <functionGroups builtInGroupCount="19">
    <functionGroup name="ChatGPT for Excel"/>
  </functionGroups>
  <externalReferences>
    <externalReference r:id="rId10"/>
  </externalReferences>
  <definedNames>
    <definedName name="DonnéesExternes_1" localSheetId="2" hidden="1">GS_Pleins!$A$1:$N$12</definedName>
  </definedNames>
  <calcPr calcId="191029" iterateDelta="1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16" i="2" l="1" a="1"/>
  <c r="O16" i="2" s="1"/>
  <c r="O17" i="2" a="1"/>
  <c r="O17" i="2"/>
  <c r="O18" i="2" a="1"/>
  <c r="O18" i="2" s="1"/>
  <c r="O19" i="2" a="1"/>
  <c r="O19" i="2"/>
  <c r="O20" i="2" a="1"/>
  <c r="O20" i="2" s="1"/>
  <c r="O21" i="2" a="1"/>
  <c r="O21" i="2"/>
  <c r="O22" i="2" a="1"/>
  <c r="O22" i="2" s="1"/>
  <c r="O23" i="2" a="1"/>
  <c r="O23" i="2"/>
  <c r="O24" i="2" a="1"/>
  <c r="O24" i="2" s="1"/>
  <c r="O25" i="2" a="1"/>
  <c r="O25" i="2"/>
  <c r="O26" i="2" a="1"/>
  <c r="O26" i="2" s="1"/>
  <c r="C16" i="2" a="1"/>
  <c r="C16" i="2"/>
  <c r="C17" i="2" a="1"/>
  <c r="C17" i="2"/>
  <c r="C18" i="2" a="1"/>
  <c r="C18" i="2"/>
  <c r="C19" i="2" a="1"/>
  <c r="C19" i="2"/>
  <c r="C20" i="2" a="1"/>
  <c r="C20" i="2"/>
  <c r="C21" i="2" a="1"/>
  <c r="C21" i="2"/>
  <c r="C22" i="2" a="1"/>
  <c r="C22" i="2"/>
  <c r="C23" i="2" a="1"/>
  <c r="C23" i="2"/>
  <c r="C24" i="2" a="1"/>
  <c r="C24" i="2"/>
  <c r="C25" i="2" a="1"/>
  <c r="C25" i="2"/>
  <c r="C26" i="2" a="1"/>
  <c r="C26" i="2"/>
  <c r="D16" i="2"/>
  <c r="B31" i="2" s="1"/>
  <c r="G16" i="2"/>
  <c r="G17" i="2"/>
  <c r="G18" i="2"/>
  <c r="G19" i="2"/>
  <c r="G20" i="2"/>
  <c r="G21" i="2"/>
  <c r="G22" i="2"/>
  <c r="G23" i="2"/>
  <c r="G24" i="2"/>
  <c r="G25" i="2"/>
  <c r="G26" i="2"/>
  <c r="F16" i="2"/>
  <c r="F17" i="2"/>
  <c r="F18" i="2"/>
  <c r="F19" i="2"/>
  <c r="F20" i="2"/>
  <c r="F21" i="2"/>
  <c r="F22" i="2"/>
  <c r="F23" i="2"/>
  <c r="F24" i="2"/>
  <c r="F25" i="2"/>
  <c r="F26" i="2"/>
  <c r="D17" i="2"/>
  <c r="D18" i="2"/>
  <c r="D19" i="2"/>
  <c r="D20" i="2"/>
  <c r="D21" i="2"/>
  <c r="D22" i="2"/>
  <c r="D23" i="2"/>
  <c r="D24" i="2"/>
  <c r="D25" i="2"/>
  <c r="D26" i="2"/>
  <c r="H26" i="2" s="1"/>
  <c r="B16" i="2"/>
  <c r="B17" i="2"/>
  <c r="B18" i="2"/>
  <c r="B19" i="2"/>
  <c r="B20" i="2"/>
  <c r="B21" i="2"/>
  <c r="B22" i="2"/>
  <c r="B23" i="2"/>
  <c r="B24" i="2"/>
  <c r="B25" i="2"/>
  <c r="B26" i="2"/>
  <c r="J15" i="11"/>
  <c r="I15" i="11"/>
  <c r="H15" i="11"/>
  <c r="G15" i="11"/>
  <c r="F15" i="11"/>
  <c r="E15" i="11"/>
  <c r="D15" i="11"/>
  <c r="C15" i="11"/>
  <c r="B15" i="11"/>
  <c r="A15" i="11"/>
  <c r="J14" i="11"/>
  <c r="I14" i="11"/>
  <c r="H14" i="11"/>
  <c r="G14" i="11"/>
  <c r="F14" i="11"/>
  <c r="E14" i="11"/>
  <c r="D14" i="11"/>
  <c r="C14" i="11"/>
  <c r="B14" i="11"/>
  <c r="A14" i="11"/>
  <c r="J13" i="11"/>
  <c r="I13" i="11"/>
  <c r="H13" i="11"/>
  <c r="G13" i="11"/>
  <c r="F13" i="11"/>
  <c r="E13" i="11"/>
  <c r="D13" i="11"/>
  <c r="C13" i="11"/>
  <c r="B13" i="11"/>
  <c r="A13" i="11"/>
  <c r="J12" i="11"/>
  <c r="I12" i="11"/>
  <c r="H12" i="11"/>
  <c r="G12" i="11"/>
  <c r="F12" i="11"/>
  <c r="E12" i="11"/>
  <c r="D12" i="11"/>
  <c r="C12" i="11"/>
  <c r="B12" i="11"/>
  <c r="A12" i="11"/>
  <c r="J11" i="11"/>
  <c r="I11" i="11"/>
  <c r="H11" i="11"/>
  <c r="G11" i="11"/>
  <c r="F11" i="11"/>
  <c r="E11" i="11"/>
  <c r="D11" i="11"/>
  <c r="C11" i="11"/>
  <c r="B11" i="11"/>
  <c r="A11" i="11"/>
  <c r="J10" i="11"/>
  <c r="I10" i="11"/>
  <c r="H10" i="11"/>
  <c r="G10" i="11"/>
  <c r="F10" i="11"/>
  <c r="E10" i="11"/>
  <c r="D10" i="11"/>
  <c r="C10" i="11"/>
  <c r="B10" i="11"/>
  <c r="A10" i="11"/>
  <c r="J9" i="11"/>
  <c r="I9" i="11"/>
  <c r="H9" i="11"/>
  <c r="G9" i="11"/>
  <c r="F9" i="11"/>
  <c r="E9" i="11"/>
  <c r="D9" i="11"/>
  <c r="C9" i="11"/>
  <c r="B9" i="11"/>
  <c r="A9" i="11"/>
  <c r="J8" i="11"/>
  <c r="I8" i="11"/>
  <c r="H8" i="11"/>
  <c r="G8" i="11"/>
  <c r="F8" i="11"/>
  <c r="E8" i="11"/>
  <c r="D8" i="11"/>
  <c r="C8" i="11"/>
  <c r="B8" i="11"/>
  <c r="A8" i="11"/>
  <c r="J7" i="11"/>
  <c r="I7" i="11"/>
  <c r="H7" i="11"/>
  <c r="G7" i="11"/>
  <c r="F7" i="11"/>
  <c r="E7" i="11"/>
  <c r="D7" i="11"/>
  <c r="C7" i="11"/>
  <c r="B7" i="11"/>
  <c r="A7" i="11"/>
  <c r="J6" i="11"/>
  <c r="I6" i="11"/>
  <c r="H6" i="11"/>
  <c r="G6" i="11"/>
  <c r="F6" i="11"/>
  <c r="E6" i="11"/>
  <c r="D6" i="11"/>
  <c r="C6" i="11"/>
  <c r="B6" i="11"/>
  <c r="A6" i="11"/>
  <c r="J5" i="11"/>
  <c r="I5" i="11"/>
  <c r="H5" i="11"/>
  <c r="G5" i="11"/>
  <c r="F5" i="11"/>
  <c r="D5" i="11"/>
  <c r="C5" i="11"/>
  <c r="B5" i="11"/>
  <c r="A5" i="11"/>
  <c r="J26" i="2"/>
  <c r="E26" i="2"/>
  <c r="I26" i="2"/>
  <c r="B14" i="10"/>
  <c r="B13" i="10"/>
  <c r="B12" i="10"/>
  <c r="B11" i="10"/>
  <c r="B10" i="10"/>
  <c r="B9" i="10"/>
  <c r="B8" i="10"/>
  <c r="B7" i="10"/>
  <c r="B6" i="10"/>
  <c r="B5" i="10"/>
  <c r="I13" i="7"/>
  <c r="I14" i="7"/>
  <c r="I15" i="7"/>
  <c r="I16" i="7"/>
  <c r="D17" i="7"/>
  <c r="E17" i="7"/>
  <c r="F17" i="7"/>
  <c r="G17" i="7"/>
  <c r="H17" i="7"/>
  <c r="C17" i="7"/>
  <c r="B29" i="2" l="1"/>
  <c r="B30" i="2"/>
  <c r="B34" i="2"/>
  <c r="E25" i="2"/>
  <c r="I25" i="2"/>
  <c r="H25" i="2" s="1"/>
  <c r="J25" i="2"/>
  <c r="B16" i="7" l="1"/>
  <c r="B15" i="7"/>
  <c r="B14" i="7"/>
  <c r="B13" i="7"/>
  <c r="B12" i="7"/>
  <c r="B11" i="7"/>
  <c r="B10" i="7"/>
  <c r="B9" i="7"/>
  <c r="B8" i="7"/>
  <c r="B7" i="7"/>
  <c r="B6" i="7"/>
  <c r="E24" i="2"/>
  <c r="I24" i="2"/>
  <c r="H24" i="2" s="1"/>
  <c r="J24" i="2"/>
  <c r="N16" i="2"/>
  <c r="N17" i="2"/>
  <c r="N18" i="2"/>
  <c r="E16" i="2"/>
  <c r="E17" i="2"/>
  <c r="E18" i="2"/>
  <c r="E19" i="2"/>
  <c r="E20" i="2"/>
  <c r="E21" i="2"/>
  <c r="E22" i="2"/>
  <c r="E23" i="2"/>
  <c r="J16" i="2"/>
  <c r="J17" i="2"/>
  <c r="J18" i="2"/>
  <c r="J19" i="2"/>
  <c r="J20" i="2"/>
  <c r="J21" i="2"/>
  <c r="J22" i="2"/>
  <c r="J23" i="2"/>
  <c r="A17" i="2"/>
  <c r="A18" i="2" s="1"/>
  <c r="A19" i="2" s="1"/>
  <c r="A20" i="2" s="1"/>
  <c r="A21" i="2" s="1"/>
  <c r="A22" i="2" s="1"/>
  <c r="A23" i="2" s="1"/>
  <c r="A24" i="2" s="1"/>
  <c r="A25" i="2" s="1"/>
  <c r="A26" i="2" s="1"/>
  <c r="I22" i="2"/>
  <c r="H22" i="2" s="1"/>
  <c r="B33" i="2"/>
  <c r="B32" i="2"/>
  <c r="S16" i="2"/>
  <c r="M17" i="2"/>
  <c r="M18" i="2"/>
  <c r="K17" i="2"/>
  <c r="I17" i="2"/>
  <c r="H17" i="2" s="1"/>
  <c r="C9" i="7" l="1"/>
  <c r="G9" i="7"/>
  <c r="D9" i="7"/>
  <c r="H9" i="7"/>
  <c r="E9" i="7"/>
  <c r="F9" i="7"/>
  <c r="C13" i="7"/>
  <c r="G13" i="7"/>
  <c r="D13" i="7"/>
  <c r="H13" i="7"/>
  <c r="E13" i="7"/>
  <c r="F13" i="7"/>
  <c r="F6" i="7"/>
  <c r="E6" i="7"/>
  <c r="H6" i="7"/>
  <c r="D6" i="7"/>
  <c r="G6" i="7"/>
  <c r="C6" i="7"/>
  <c r="E10" i="7"/>
  <c r="F10" i="7"/>
  <c r="C10" i="7"/>
  <c r="G10" i="7"/>
  <c r="D10" i="7"/>
  <c r="H10" i="7"/>
  <c r="E14" i="7"/>
  <c r="F14" i="7"/>
  <c r="C14" i="7"/>
  <c r="G14" i="7"/>
  <c r="D14" i="7"/>
  <c r="H14" i="7"/>
  <c r="C7" i="7"/>
  <c r="G7" i="7"/>
  <c r="D7" i="7"/>
  <c r="H7" i="7"/>
  <c r="E7" i="7"/>
  <c r="F7" i="7"/>
  <c r="C11" i="7"/>
  <c r="G11" i="7"/>
  <c r="D11" i="7"/>
  <c r="H11" i="7"/>
  <c r="E11" i="7"/>
  <c r="F11" i="7"/>
  <c r="C15" i="7"/>
  <c r="G15" i="7"/>
  <c r="D15" i="7"/>
  <c r="H15" i="7"/>
  <c r="E15" i="7"/>
  <c r="F15" i="7"/>
  <c r="E8" i="7"/>
  <c r="F8" i="7"/>
  <c r="C8" i="7"/>
  <c r="G8" i="7"/>
  <c r="D8" i="7"/>
  <c r="H8" i="7"/>
  <c r="I12" i="7"/>
  <c r="E12" i="7"/>
  <c r="F12" i="7"/>
  <c r="C12" i="7"/>
  <c r="G12" i="7"/>
  <c r="D12" i="7"/>
  <c r="H12" i="7"/>
  <c r="E16" i="7"/>
  <c r="F16" i="7"/>
  <c r="C16" i="7"/>
  <c r="G16" i="7"/>
  <c r="D16" i="7"/>
  <c r="H16" i="7"/>
  <c r="B37" i="2"/>
  <c r="B36" i="2"/>
  <c r="I11" i="7"/>
  <c r="I8" i="7"/>
  <c r="I7" i="7"/>
  <c r="I9" i="7"/>
  <c r="I6" i="7"/>
  <c r="I10" i="7"/>
  <c r="J5" i="2"/>
  <c r="J6" i="2" a="1"/>
  <c r="J6" i="2" s="1"/>
  <c r="B6" i="2"/>
  <c r="J7" i="2" s="1"/>
  <c r="L26" i="2" s="1"/>
  <c r="M26" i="2" s="1"/>
  <c r="L17" i="2"/>
  <c r="B7" i="2" a="1"/>
  <c r="B7" i="2" s="1"/>
  <c r="L19" i="2" l="1"/>
  <c r="L25" i="2"/>
  <c r="M25" i="2" s="1"/>
  <c r="L23" i="2"/>
  <c r="L24" i="2"/>
  <c r="M24" i="2" s="1"/>
  <c r="L20" i="2"/>
  <c r="L21" i="2"/>
  <c r="L22" i="2"/>
  <c r="M22" i="2" s="1"/>
  <c r="K16" i="2"/>
  <c r="L16" i="2" s="1"/>
  <c r="K18" i="2"/>
  <c r="I18" i="2"/>
  <c r="H18" i="2" s="1"/>
  <c r="I19" i="2"/>
  <c r="I20" i="2"/>
  <c r="H20" i="2" s="1"/>
  <c r="I21" i="2"/>
  <c r="H21" i="2" s="1"/>
  <c r="I23" i="2"/>
  <c r="H23" i="2" s="1"/>
  <c r="I16" i="2"/>
  <c r="H16" i="2" s="1"/>
  <c r="B35" i="2" l="1"/>
  <c r="L18" i="2"/>
  <c r="J29" i="2" s="1"/>
  <c r="H19" i="2"/>
  <c r="N19" i="2"/>
  <c r="M19" i="2"/>
  <c r="M23" i="2"/>
  <c r="M20" i="2"/>
  <c r="M21" i="2"/>
  <c r="N20" i="2" l="1"/>
  <c r="N21" i="2" s="1"/>
  <c r="N22" i="2" l="1"/>
  <c r="N23" i="2" s="1"/>
  <c r="N24" i="2" s="1"/>
  <c r="N25" i="2" s="1"/>
  <c r="J30" i="2"/>
  <c r="J31" i="2" s="1"/>
  <c r="Q24" i="2" l="1" a="1"/>
  <c r="Q24" i="2" s="1"/>
  <c r="S24" i="2" s="1"/>
  <c r="Q32" i="2" a="1"/>
  <c r="Q32" i="2" s="1"/>
  <c r="N26" i="2"/>
  <c r="Q18" i="2" a="1"/>
  <c r="Q18" i="2" s="1"/>
  <c r="S18" i="2" s="1"/>
  <c r="Q27" i="2" a="1"/>
  <c r="Q27" i="2" s="1"/>
  <c r="S27" i="2" s="1"/>
  <c r="Q25" i="2" a="1"/>
  <c r="Q25" i="2" s="1"/>
  <c r="S25" i="2" s="1"/>
  <c r="R24" i="2" a="1"/>
  <c r="R24" i="2" s="1"/>
  <c r="P31" i="2" a="1"/>
  <c r="P31" i="2" s="1"/>
  <c r="R31" i="2" s="1"/>
  <c r="R22" i="2" a="1"/>
  <c r="R22" i="2" s="1"/>
  <c r="R19" i="2" a="1"/>
  <c r="R19" i="2" s="1"/>
  <c r="J35" i="2"/>
  <c r="J36" i="2" s="1"/>
  <c r="Q21" i="2" a="1"/>
  <c r="Q21" i="2" s="1"/>
  <c r="S21" i="2" s="1"/>
  <c r="R18" i="2" a="1"/>
  <c r="R18" i="2" s="1"/>
  <c r="B10" i="2"/>
  <c r="B11" i="2" s="1"/>
  <c r="J32" i="2"/>
  <c r="J33" i="2"/>
  <c r="R25" i="2" l="1" a="1"/>
  <c r="R25" i="2" s="1"/>
  <c r="Q20" i="2" a="1"/>
  <c r="Q20" i="2" s="1"/>
  <c r="S20" i="2" s="1"/>
  <c r="R26" i="2" a="1"/>
  <c r="R26" i="2" s="1"/>
  <c r="Q17" i="2" a="1"/>
  <c r="Q17" i="2" s="1"/>
  <c r="S17" i="2" s="1"/>
  <c r="Q23" i="2" a="1"/>
  <c r="Q23" i="2" s="1"/>
  <c r="S23" i="2" s="1"/>
  <c r="Q29" i="2" a="1"/>
  <c r="Q29" i="2" s="1"/>
  <c r="S29" i="2" s="1"/>
  <c r="Q31" i="2" a="1"/>
  <c r="Q31" i="2" s="1"/>
  <c r="R20" i="2" a="1"/>
  <c r="R20" i="2" s="1"/>
  <c r="Q26" i="2" a="1"/>
  <c r="Q26" i="2" s="1"/>
  <c r="S26" i="2" s="1"/>
  <c r="Q30" i="2" a="1"/>
  <c r="Q30" i="2" s="1"/>
  <c r="S30" i="2" s="1"/>
  <c r="R29" i="2" a="1"/>
  <c r="R29" i="2" s="1"/>
  <c r="R17" i="2" a="1"/>
  <c r="R17" i="2" s="1"/>
  <c r="Q28" i="2" a="1"/>
  <c r="Q28" i="2" s="1"/>
  <c r="S28" i="2" s="1"/>
  <c r="Q19" i="2" a="1"/>
  <c r="Q19" i="2" s="1"/>
  <c r="S19" i="2" s="1"/>
  <c r="R23" i="2" a="1"/>
  <c r="R23" i="2" s="1"/>
  <c r="Q22" i="2" a="1"/>
  <c r="Q22" i="2" s="1"/>
  <c r="S22" i="2" s="1"/>
  <c r="R27" i="2" a="1"/>
  <c r="R27" i="2" s="1"/>
  <c r="R28" i="2" a="1"/>
  <c r="R28" i="2" s="1"/>
  <c r="R30" i="2" a="1"/>
  <c r="R30" i="2" s="1"/>
  <c r="P32" i="2" a="1"/>
  <c r="P32" i="2" s="1"/>
  <c r="R32" i="2" s="1"/>
  <c r="R21" i="2" a="1"/>
  <c r="R21" i="2" s="1"/>
  <c r="J12" i="2"/>
  <c r="B12" i="2" a="1"/>
  <c r="B12" i="2" s="1"/>
  <c r="J11" i="2" l="1"/>
  <c r="J10" i="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E0D94C1-E84B-4ECA-8B71-89440B33ACD2}" keepAlive="1" name="Requête - GS_Pleins" description="Connexion à la requête « GS_Pleins » dans le classeur." type="5" refreshedVersion="8" background="1" saveData="1">
    <dbPr connection="Provider=Microsoft.Mashup.OleDb.1;Data Source=$Workbook$;Location=GS_Pleins;Extended Properties=&quot;&quot;" command="SELECT * FROM [GS_Pleins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<sst xmlns="http://schemas.openxmlformats.org/spreadsheetml/2006/main" count="495" uniqueCount="374">
  <si>
    <t>Turn #</t>
  </si>
  <si>
    <t>Date</t>
  </si>
  <si>
    <t>User Request</t>
  </si>
  <si>
    <t>Action Taken</t>
  </si>
  <si>
    <t>Details</t>
  </si>
  <si>
    <t>Outcome</t>
  </si>
  <si>
    <t>PARAMÈTRES</t>
  </si>
  <si>
    <t>Coût du kit éthanol (€)</t>
  </si>
  <si>
    <t>← Saisir le prix du kit</t>
  </si>
  <si>
    <t>Surconsommation E85 (%)</t>
  </si>
  <si>
    <t>SUIVI DES PLEINS</t>
  </si>
  <si>
    <t>N°</t>
  </si>
  <si>
    <t>Km compteur</t>
  </si>
  <si>
    <t>Conso. (L/100km)</t>
  </si>
  <si>
    <t>Économie cumulée (€)</t>
  </si>
  <si>
    <t>ANALYSE &amp; RENTABILITÉ</t>
  </si>
  <si>
    <t>Distance totale (km)</t>
  </si>
  <si>
    <t>Litres E85 total</t>
  </si>
  <si>
    <t>Coût total E85 (€)</t>
  </si>
  <si>
    <t>RENTABILITÉ DU KIT</t>
  </si>
  <si>
    <t>Coût équiv. total Super 98 (€)</t>
  </si>
  <si>
    <t>Ce qu'auraient coûté les mêmes km au Super 98</t>
  </si>
  <si>
    <t>Économie brute (€)</t>
  </si>
  <si>
    <t>Économie avant amortissement du kit</t>
  </si>
  <si>
    <t>Économie nette (€)</t>
  </si>
  <si>
    <t>Économie après déduction du coût du kit</t>
  </si>
  <si>
    <t>% du kit amorti</t>
  </si>
  <si>
    <t>🎉 Kit rentabilisé ?</t>
  </si>
  <si>
    <t>Créer un tableau de suivi consommation carburant éthanol E85 vs Super 98 pour calculer la rentabilité d'un kit éthanol moto</t>
  </si>
  <si>
    <t>Créé la feuille 'Suivi Carburant' avec 3 sections : Paramètres, Suivi des pleins (30 lignes), Analyse &amp; Rentabilité</t>
  </si>
  <si>
    <t>Formules : Coût E85 = Litres × Prix E85, Coût équiv. S98 = Litres/(1+surconso) × Prix S98, Économie nette = Éco brute - Coût kit. Indicateur de rentabilité automatique. Alternance de couleurs, cellules de saisie en bleu.</t>
  </si>
  <si>
    <t>Tableau prêt dans l'onglet 'Suivi Carburant'. L'utilisateur doit remplir les paramètres (B4:B7) puis saisir ses pleins ligne par ligne.</t>
  </si>
  <si>
    <t>Les prix E85 et Super 98 doivent être saisis à chaque plein au lieu d'un prix fixe dans les paramètres</t>
  </si>
  <si>
    <t>Restructuré le tableau : ajouté colonnes E (Prix E85) et F (Prix S98) par plein, supprimé les prix fixes des paramètres, mis à jour toutes les formules</t>
  </si>
  <si>
    <t>Nouvelles formules : Coût E85 = D×E (litres×prix saisi), Coût équiv S98 = D/(1+surconso)×F. Ajouté prix moyens E85/S98 dans l'analyse. Tableau élargi de H à J colonnes.</t>
  </si>
  <si>
    <t>Tableau restructuré avec 10 colonnes (A-J). Prix saisis par plein permettent un suivi plus précis des économies réelles.</t>
  </si>
  <si>
    <t>Remplacer 'Économie par plein' par 'Économie/100km' et 'Pleins restants' par 'Nb kms restants pour rentabilité'. Recalculer les formules.</t>
  </si>
  <si>
    <t>Modifié les libellés A56 et A57, réécrit les formules B56 et B57 avec une logique km au lieu de pleins</t>
  </si>
  <si>
    <t>B56: =IF(OR(B51="",B42="",B42=0),"",B51/B42*100) → Éco brute / distance × 100. B57: =IF(...,ROUNDUP(ABS(B52)/B56*100,0)) → Montant restant / éco par 100km × 100 = kms restants</t>
  </si>
  <si>
    <t>Formules opérationnelles dans B56:B57. Affichent l'économie au 100km et les km restants avant rentabilité du kit.</t>
  </si>
  <si>
    <t>Économie moyenne / 100km (€)</t>
  </si>
  <si>
    <t>Conso. S98 référence (L/100km)</t>
  </si>
  <si>
    <t>← Calculée auto (20% par défaut si pas de données)</t>
  </si>
  <si>
    <t>Adapter la surconsommation moyenne automatiquement en fonction des pleins réalisés</t>
  </si>
  <si>
    <t>Ajouté paramètre 'Conso. S98 référence' en B5, transformé B6 (surconsommation) en formule auto-calculée. Corrigé les refs $B$5→$B$6 dans les formules I10:I39.</t>
  </si>
  <si>
    <t>B6: =IF(OR(B5=…,B46=…),0.2,B46/B5-1). Défaut 20% si pas de données, sinon calcul = conso moyenne E85 / conso S98 réf - 1. Détecté que col J (eco cumulée) n'est plus cumulative — signalé à l'utilisateur.</t>
  </si>
  <si>
    <t>Surconsommation auto-calculée en B6 dès qu'il y a des pleins + conso S98 de réf saisie en B5. Question posée sur la col J non cumulative.</t>
  </si>
  <si>
    <t>Corriger l'économie cumulée col J et protéger les cellules avec formules contre la modification</t>
  </si>
  <si>
    <t>Corrigé J10 (non cumulatif, 1er plein) et J11:J39 (cumulatif =J préc + éco plein). Protégé la feuille en déverrouillant uniquement les cellules de saisie.</t>
  </si>
  <si>
    <t>Cellules déverrouillées : B4 (coût kit), B5 (conso S98), B10:B39 (dates), C10:C39 (km), D10:D39 (litres), E10:E39 (prix E85), H10:H39 (prix S98). Tout le reste verrouillé.</t>
  </si>
  <si>
    <t>Feuille protégée. L'utilisateur ne peut modifier que les cellules de saisie (en bleu). Les formules et en-têtes sont protégés.</t>
  </si>
  <si>
    <t>Formules col J non modifiées au tour précédent (protection bloquait l'écriture)</t>
  </si>
  <si>
    <t>Retiré protection, réécrit les 30 formules J10:J39 via execute_office_js (formulas array), vérifié, remis la protection</t>
  </si>
  <si>
    <t>J10=IF(F10="","",I10-F10), J11:J39=IF(Fn="","",J(n-1)+(In-Fn)). set_cell_range+copyToRange ne persistait pas → écrit directement via Office.js range.formulas array.</t>
  </si>
  <si>
    <t>Formules cumulatives J10:J39 confirmées. Feuille re-protégée.</t>
  </si>
  <si>
    <t>Type</t>
  </si>
  <si>
    <t>Nb. Litres</t>
  </si>
  <si>
    <t>Prix €/L</t>
  </si>
  <si>
    <t>Coût Plein (€)</t>
  </si>
  <si>
    <t>← Calculée auto depuis vos pleins S98</t>
  </si>
  <si>
    <t>Conso. moy. E85 (L/100km)</t>
  </si>
  <si>
    <t>Conso. moy. S98 (L/100km)</t>
  </si>
  <si>
    <t>Permettre les pleins S98 en plus de E85 et calculer automatiquement la conso S98 de référence (B5) à partir des pleins S98 réalisés</t>
  </si>
  <si>
    <t>Inséré col C (Type) avec dropdown E85/S98, adapté toutes les formules G/H/J/K selon le type, B5=AVERAGEIFS conso S98, B6=surconso auto E85 vs S98, section Analyse filtrée par type</t>
  </si>
  <si>
    <t>Col C: dropdown E85/S98. B5=AVERAGEIFS(H,C,"S98"). B6=AVERAGEIFS(H,C,"E85")/B5-1 (déf 20%). J/K: actifs seulement si type=E85. Analyse: COUNTIF/SUMIF/AVERAGEIFS par type. B5 n'est plus saisissable.</t>
  </si>
  <si>
    <t>Tableau élargi A-K. L'utilisateur choisit E85 ou S98 dans la dropdown col C. La conso S98 et surconsommation se calculent auto. Protection remise avec col C déverrouillée.</t>
  </si>
  <si>
    <t>Nb. pleins avec 'Super 98'</t>
  </si>
  <si>
    <t>Nb. pleins avec 'SuperEthanol E85'</t>
  </si>
  <si>
    <t>Audit complet de l'onglet + correction des 4 incohérences trouvées</t>
  </si>
  <si>
    <t>Corrigé : K10:K39 "E85"→"SuperEthanol E85", B6 idem, B48 "S98"→"Super 98", B57 B43→B44 (distance au lieu de nb pleins)</t>
  </si>
  <si>
    <t>4 corrections appliquées via Office.js (K) et set_cell_range (B6/B48/B57). Toutes vérifiées. Protection remise avec mêmes cellules déverrouillées qu'avant.</t>
  </si>
  <si>
    <t>Toutes les formules sont maintenant cohérentes avec les noms de la dropdown ("SuperEthanol E85" / "Super 98"). Feuille re-protégée.</t>
  </si>
  <si>
    <t>🏍️  SUIVI CONSOMMATION CARBURANT  —  KIT ÉTHANOL</t>
  </si>
  <si>
    <t>Améliorer le titre + créer un onglet Graphiques avec graphiques de progression rentabilité, prix, consommation et coût</t>
  </si>
  <si>
    <t>Titre amélioré (bandeau bleu foncé + accent doré). Créé onglet 'Graphiques' avec 4 graphiques : rentabilité, prix carburants, consommation, coût E85 vs S98. Données sources liées par formules, groupées et réduites.</t>
  </si>
  <si>
    <t>4 blocs de données (lignes 40-176) avec formules vers 'Suivi Carburant'. Graphiques : lineMarkers (rentabilité + prix), columnClustered (conso + coût). Lignes groupées et réduites. Style : fond #FAFBFC, couleurs cohérentes.</t>
  </si>
  <si>
    <t>Onglet 'Graphiques' prêt avec 4 graphiques. Les données se mettront à jour automatiquement. Protection Suivi Carburant remise.</t>
  </si>
  <si>
    <t>Pourquoi les graphiques sont vides ?</t>
  </si>
  <si>
    <t>Expliqué que c'est normal : pas encore de données saisies. Les formules sources renvoient #N/A pour éviter les points à zéro. Proposé d'insérer des données d'exemple.</t>
  </si>
  <si>
    <t>Les blocs de données (lignes 42-71, 77-106, etc.) utilisent =IF(...="",NA(),...) qui retourne #N/A quand aucune donnée n'est saisie, empêchant les graphiques d'afficher des zéros parasites.</t>
  </si>
  <si>
    <t>En attente : l'utilisateur peut saisir ses vrais pleins ou demander des données d'exemple pour tester.</t>
  </si>
  <si>
    <t>Super 98</t>
  </si>
  <si>
    <t>Coût Plein équiv. S98 (€)</t>
  </si>
  <si>
    <t>Les graphiques sont toujours vides après saisie de données</t>
  </si>
  <si>
    <t>Identifié 2 problèmes : (1) le tableau a été décalé d'une ligne (en-têtes ligne 10, données 11-40) ; (2) les graphiques avaient 0 séries détectées. Mis à jour les formules sources et reconstruit les 4 graphiques avec séries explicites.</t>
  </si>
  <si>
    <t>Formules sources pointées vers lignes 11-40 (au lieu de 10-39). Graphiques recréés avec setXAxisValues + setValues explicite par série pour éviter qu'Excel détecte mal les catégories vs séries.</t>
  </si>
  <si>
    <t>Les 2 pleins S98 saisis par l'utilisateur s'affichent maintenant dans les graphiques 2 et 3.</t>
  </si>
  <si>
    <t>Données vues pendant le rebuild puis disparues</t>
  </si>
  <si>
    <t>Cause : masquage des lignes groupées après création des graphiques effaçait les séries. Solution : reconstruction sans masquage final, suppression de la 1re série auto-détectée (Index/Date) et réaffectation explicite via setXAxisValues.</t>
  </si>
  <si>
    <t>Lignes de données 40-176 laissées visibles (groupées uniquement). Chaque graphique a maintenant 1-2 séries Y avec axe X explicite.</t>
  </si>
  <si>
    <t>Les 4 graphiques affichent maintenant correctement les données saisies. Lignes sources visibles mais groupées (l'utilisateur peut les replier manuellement).</t>
  </si>
  <si>
    <t>Filtrer les graphiques pour n'afficher que les données complétées (hors #N/A)</t>
  </si>
  <si>
    <t>Modifié les formules sources pour retourner #N/A sur les CATÉGORIES X (pas seulement les valeurs Y) quand les données sont incomplètes. Activé displayBlanksAs=NotPlotted sur les 4 graphiques.</t>
  </si>
  <si>
    <t>Clé : col A des blocs retourne NA() si la ligne source est vide. Excel ignore alors les points entiers, supprimant les trous sur l'axe X des graphiques en barres.</t>
  </si>
  <si>
    <t>Les 4 graphiques affichent maintenant uniquement les pleins réellement saisis, sans catégories vides parasites.</t>
  </si>
  <si>
    <t>Graph 2/3 doivent montrer le N° de plein en abscisses, graph 1/4 (vides) montrent encore #N/A en abscisses</t>
  </si>
  <si>
    <t>Graph 2 (prix) : col A change date → N° de plein. Graph 1/4 vides : formules INDEX/SMALL renvoient "" au lieu de NA(), séries pointées sur 1 cellule vide quand 0 plein</t>
  </si>
  <si>
    <t>Bloc 2 col A réécrit avec INDEX('Suivi'!A11:A40) au lieu de B11:B40 (date). Bloc 1/4 IFERROR(...,"") au lieu de IFERROR(...,NA()). Charts vides : setValues sur $B$42 / $B$147 seul.</t>
  </si>
  <si>
    <t>Abscisses graphiques 2/3 affichent le N° de plein. Graphiques 1/4 vides ne montrent plus #N/A.</t>
  </si>
  <si>
    <r>
      <t>Coût c</t>
    </r>
    <r>
      <rPr>
        <b/>
        <sz val="12"/>
        <color rgb="FFFFFFFF"/>
        <rFont val="Agency FB"/>
        <family val="2"/>
      </rPr>
      <t>€</t>
    </r>
    <r>
      <rPr>
        <b/>
        <sz val="8.4"/>
        <color rgb="FFFFFFFF"/>
        <rFont val="Calibri"/>
        <family val="2"/>
      </rPr>
      <t>/km</t>
    </r>
  </si>
  <si>
    <t>SuperEthanol E85</t>
  </si>
  <si>
    <t>Economie sur le plein</t>
  </si>
  <si>
    <t>RENTABILITÉ DU KIT ÉTHANOL</t>
  </si>
  <si>
    <t>Économie cumulée actuelle (€)</t>
  </si>
  <si>
    <t>← Dernière valeur de la colonne M</t>
  </si>
  <si>
    <t>Reste à amortir (€)</t>
  </si>
  <si>
    <t>← Coût kit − économie cumulée</t>
  </si>
  <si>
    <t>Date de rentabilité (estimée)</t>
  </si>
  <si>
    <t>← Date prévue selon le rythme moyen</t>
  </si>
  <si>
    <t>Économie moyenne (€/km)</t>
  </si>
  <si>
    <t>Ajouter sous la ligne 7 un calcul progressif de la date approximative et du kilométrage de rentabilité du kit éthanol selon la fréquence des pleins</t>
  </si>
  <si>
    <t>Inséré 6 lignes après la ligne 7 (le tableau s'est décalé en A16:M46). Créé un bloc 'RENTABILITÉ DU KIT ÉTHANOL' en A8:C13 avec 5 indicateurs auto-calculés.</t>
  </si>
  <si>
    <t>B9: éco cumulée (LOOKUP dernière val M17:M46). B10: reste = MAX(0, coût kit - B9). B11: km rentabilité = km actuel + B10/B13. B12: date rentabilité = dernière date + (km restants / km par jour basé sur 1er-dernier plein). B13: éco €/km = B9 / (km dernier E85 - km plein avant 1er E85). Restauré l'en-tête 'SUIVI DES PLEINS' en A15.</t>
  </si>
  <si>
    <t>Bloc rentabilité visible en A8:C13. Avec les données actuelles : 13,60 € économisés, 500,94 € restants, rentabilité estimée à ~18 067 km le 25/09/2026 (au rythme actuel). Se met à jour automatiquement à chaque nouveau plein E85.</t>
  </si>
  <si>
    <t>Km au compteur à la rentabilité (estimé)</t>
  </si>
  <si>
    <t>Le titre de la ligne B11 était ambigu (km au compteur vs km restants)</t>
  </si>
  <si>
    <t>Renommé A11 'Km de rentabilité (estimé)' en 'Km au compteur à la rentabilité (estimé)'</t>
  </si>
  <si>
    <t>Précise que la valeur est le km affiché au compteur lors de l'amortissement, pas la distance restante à parcourir</t>
  </si>
  <si>
    <t>Libellé plus explicite en A11</t>
  </si>
  <si>
    <t>Progression de la rentabilisation</t>
  </si>
  <si>
    <t>← Économie cumulée / coût du kit</t>
  </si>
  <si>
    <t>Ajouter le % de progression de la rentabilisation du kit</t>
  </si>
  <si>
    <t>Inséré ligne 14 dans le bloc rentabilité avec formule =MIN(B9/B5,1) format %</t>
  </si>
  <si>
    <t>B14 = économie cumulée / coût du kit, plafonné à 100%. Mise en gras + couleur foncée pour l'accent.</t>
  </si>
  <si>
    <t>Progression actuelle : ~2,6% (13,60 € / 514,54 €)</t>
  </si>
  <si>
    <t>Conso. SuperEthanol référence (L/100km)</t>
  </si>
  <si>
    <t>← Calculée auto depuis vos pleins SuperEthanol</t>
  </si>
  <si>
    <t>Tenir compte de la surconsommation E85 dans la rentabilité (J9, J10, J11, B10)</t>
  </si>
  <si>
    <t>Audit puis réécriture des formules B10/B11/J9/J10/J11 — méthode 'empirique améliorée' choisie par l'utilisateur</t>
  </si>
  <si>
    <t>Constaté que la surconso est déjà intégrée via B11 (économie €/km mesurée sur litres réels). B11 enrichie d'un test COUNTIF (renvoie '-' si 0 plein E85). J10 ajoute un test B11=0 ou '-'. Notes non attachées : l'API du client Excel (1.17) ne supporte pas l'API Notes.</t>
  </si>
  <si>
    <t>Formules opérationnelles. Valeurs : B10=487,52€, B11=0,068€/km, J9≈04/09/2026, J10≈17 968 km, J11=5,3%. Expliqué à l'utilisateur que J6 (surconso 7,5%) impacte déjà J10 via B11.</t>
  </si>
  <si>
    <t>Demande d'avis général sur des améliorations possibles du fichier.</t>
  </si>
  <si>
    <t>Audit du classeur (Suivi Carburant) : revue des formules, formatage et structure. Identification des points faibles.</t>
  </si>
  <si>
    <t>Bugs : (1) I18 formule incohérente (mix structuré/A1), (2) B11 format $ au lieu de €, (3) J18:J20 valeurs en dur écrasent la formule de colonne. Faiblesses : (4) J9 prédiction fragile avec 3 pleins E85, (5) J6 surconso 13,4% peu fiable statistiquement. Manques : graphique, stats de synthèse, validation données col C, volets figés, MFC, 30 lignes vides.</t>
  </si>
  <si>
    <t>12 améliorations proposées à l'utilisateur, classées par priorité. En attente de validation pour exécuter le sous-ensemble choisi.</t>
  </si>
  <si>
    <t>Prix S98 jour (€/L)</t>
  </si>
  <si>
    <t>Coût du kit (€)</t>
  </si>
  <si>
    <t>Appliquer les améliorations : bugs 1–3 + graphique (6) + validation données (9)</t>
  </si>
  <si>
    <t>Corrigé I18 (formule harmonisée), format B11 €/km, MFC sur J15:J44 pour signaler prix S98 manquant E85, dropdown col C, créé graphique économie cumulée vs coût du kit</t>
  </si>
  <si>
    <t>I18 réécrite avec réf A1 cohérentes. B11 numFmt='0.000" €/km'. J14 renommé 'Prix S98 jour'. MFC custom J15:J44: =AND($C15=E85, $J15="") fond #FFE699. Dropdown C15:C44 (Super 98 / SuperEthanol E85). Zone source graphique O14:Q44 (N°, Éco cum, Coût kit), chart ligne placé N1:X20, colonnes O:Q groupées.</t>
  </si>
  <si>
    <t>Tous les bugs corrigés, validation active, graphique affiche les 3 pleins E85 (11,74→24,65→41,35 €) avec ligne de référence à 514,54 €. Se met à jour auto.</t>
  </si>
  <si>
    <t>Question : où sont les graphiques ?</t>
  </si>
  <si>
    <t>Localisé ChartRentabilite (left=1436px) hors zone visible. Repositionné en N2:V20.</t>
  </si>
  <si>
    <t>chart.setPosition('N2','V20'). Proposé alternatives : sous le tableau (A48) ou onglet dédié.</t>
  </si>
  <si>
    <t>Graphique désormais visible à droite du tableau. En attente du choix de l'utilisateur sur le positionnement final.</t>
  </si>
  <si>
    <t>Créer un onglet dédié aux graphiques</t>
  </si>
  <si>
    <t>Créé onglet 'Graphiques' (position 2). Déplacé ChartRentabilite depuis Suivi Carburant vers ce nouvel onglet en grand format B2:L25.</t>
  </si>
  <si>
    <t>Source du chart = 'Suivi Carburant'!O14:Q44 (inchangée). Titre 'GRAPHIQUES DE SUIVI' en B1. Ligne éco cumulée bleue (#2E75B6, 2.5pt), ligne coût kit orange (#F0A500, 2pt). displayBlanksAs=notPlotted.</t>
  </si>
  <si>
    <t>Onglet Graphiques prêt avec le graphique de rentabilité. Se met à jour auto à chaque plein.</t>
  </si>
  <si>
    <t>Plein E85 n°</t>
  </si>
  <si>
    <t>Graphique inexploitable (vide).</t>
  </si>
  <si>
    <t>Refondu zone source : compacté à pleins E85 uniquement + point zéro. Déplacé dans Graphiques. Recréé chart avec axe X explicite.</t>
  </si>
  <si>
    <t>Plage N1:P32 dans Graphiques, formules INDEX/SMALL. Excel détectait col N comme série → supprimé 1re série + setCategoryNames. line.weight non supporté → retiré.</t>
  </si>
  <si>
    <t>Graphique fonctionnel : bleu (0→41,35€) + orange plat (514,54€). Axe X N° plein E85 (0–3).</t>
  </si>
  <si>
    <t>Autres graphiques utiles → 4 choisis.</t>
  </si>
  <si>
    <t>Ajouté 4 graphiques : conso L/100km, coût c€/km, prix, projection avec trendline. Grille 2x3 B-M.</t>
  </si>
  <si>
    <t>Zones données R-AF (avant insertion col N par utilisateur, maintenant S-AG). columnClustered + lineMarkers. Trendline linéaire sur projection.</t>
  </si>
  <si>
    <t>5 graphiques opérationnels.</t>
  </si>
  <si>
    <t>Quand l'utilisateur groupe/masque les sources, les graphiques s'effacent.</t>
  </si>
  <si>
    <t>Activé plotVisibleOnly=false sur les 5 graphiques.</t>
  </si>
  <si>
    <t>Office.js Chart.plotVisibleOnly=false. Note : col N insérée par utilisateur a décalé toutes les zones de données vers la droite, mais les références ont été propagées.</t>
  </si>
  <si>
    <t>Groupement des colonnes ne casse plus l'affichage.</t>
  </si>
  <si>
    <t>Uniformiser couleur du tableau + ajouter bouton pour saisir un plein via chat.</t>
  </si>
  <si>
    <t>Appliqué fond #F2F7FB sur A15:M44. Créé zone bouton fusionnée J2:M3 (fond #1B3A5C, bordure dorée #F0A500).</t>
  </si>
  <si>
    <t>MFC orange sur col J E85 sans prix S98 reste active (par-dessus le fond uniforme). Bouton purement visuel : invite l'utilisateur à dire 'ajouter un plein' dans le chat — macros impossibles via Office.js. Workflow conversationnel pour saisir un plein.</t>
  </si>
  <si>
    <t>Tableau uniforme. Bouton visible en haut. Prochaine étape : implementer le workflow 'ajouter un plein' quand l'utilisateur le déclenche.</t>
  </si>
  <si>
    <t>Bouton doit être un contrôle de formulaire, pas une cellule.</t>
  </si>
  <si>
    <t>Expliqué limitation : pas d'accès VBA/macros depuis Office.js. Créé à la place une Shape rectangle arrondi 'BtnAjouterPlein' flottante.</t>
  </si>
  <si>
    <t>Supprimé zone J2:M3 (unmerge + clear all). Créé GeometricShape roundRectangle 240x50px en (700,10). Texte bold 14pt blanc centré, fond #1B3A5C, bordure #F0A500 2pt. Pas d'événement onClick possible — déclenchement reste via le chat.</t>
  </si>
  <si>
    <t>Bouton flottant visible, look 'contrôle de formulaire', déplaçable par l'utilisateur.</t>
  </si>
  <si>
    <t>Uniformiser la couleur de police du tableau sur celle de B15.</t>
  </si>
  <si>
    <t>Appliqué font.color #333F4F sur A15:M44.</t>
  </si>
  <si>
    <t>B15 avait color #333F4F (gris bleuté foncé). Avant, mélange : inputs #0000FF, formules #000000, en-têtes blancs. Maintenant tout en #333F4F sur le corps du tableau.</t>
  </si>
  <si>
    <t>Police uniforme dans tout le tableau.</t>
  </si>
  <si>
    <t>Demande d'un vrai formulaire VBA.</t>
  </si>
  <si>
    <t>Expliqué que je ne peux pas injecter du VBA depuis Office.js. Fourni le code VBA complet pas-à-pas : conversion en .xlsm, création UserForm frmNouveauPlein avec 6 contrôles de saisie, code Initialize/btnValider/btnAnnuler, module OuvrirFormulairePlein, affectation au bouton existant.</t>
  </si>
  <si>
    <t>UserForm : Date, Type (ComboBox S98/E85), Km, Litres, Prix, Prix S98 jour. btnValider : valide les types, trouve la 1ère ListRow vide de Tableau2 (col B testée), remplit B/C/D/E/F (et J si E85). Col A reste sur formule auto-incrément. Replace virgule par point pour parsing FR/EN.</t>
  </si>
  <si>
    <t>Code VBA prêt à coller. L'utilisateur doit l'implémenter manuellement dans l'IDE VBA.</t>
  </si>
  <si>
    <t>Calculer le nombre de km parcourus par semaine et par mois</t>
  </si>
  <si>
    <t>Ajouté 2 KPI dans 'Suivi Carburant' : Km/semaine en L9:M9 et Km/mois en L11:M11</t>
  </si>
  <si>
    <t>Formules : (dernier km - premier km) / (dernière date - première date) × 7 (semaine) ou × 30,4375 (mois). LOOKUP+INDEX sur Tableau2. NB: L10/M10 sont corrompues localement (écritures ignorées, clear lève GeneralException) — j'ai donc placé Km/mois en ligne 11.</t>
  </si>
  <si>
    <t>Km/semaine ≈ 421 km, Km/mois ≈ 1 831 km. Dynamique, se met à jour à chaque nouveau plein.</t>
  </si>
  <si>
    <t>Distance parcourue (km) / semaine</t>
  </si>
  <si>
    <t>Distance parcourue (km) / mois</t>
  </si>
  <si>
    <t>Distance restante avant rentabilité</t>
  </si>
  <si>
    <t>Nb. km</t>
  </si>
  <si>
    <t>Conso. S98 référence (km/L)</t>
  </si>
  <si>
    <t>Calculer en B7 la moyenne de la distance parcourue par litre (km/L) lors des pleins</t>
  </si>
  <si>
    <t>Écrit en B7 une formule de moyenne des km/L sur les pleins Super 98</t>
  </si>
  <si>
    <t>B7 = AVERAGE(IF((Type="Super 98")*(Nb. km&lt;&gt;"")*(Nb. Litres&lt;&gt;""), [Nb. km]/[Nb. Litres])). Format 0.00 "km/L". Cohérent avec le libellé A7 'Conso. S98 référence (km/L)'.</t>
  </si>
  <si>
    <t>B7 = 18,54 km/L (moyenne sur les 3 pleins Super 98 enregistrés).</t>
  </si>
  <si>
    <t>Conso. SuperEthanol référence (km/L)</t>
  </si>
  <si>
    <t>Calculer en J6 la moyenne km/L pour le SuperEthanol E85 (même logique que B7)</t>
  </si>
  <si>
    <t>Écrit en J6 la moyenne des km/L sur les pleins SuperEthanol E85</t>
  </si>
  <si>
    <t>J6 = AVERAGE(IF((Type="SuperEthanol E85")*(Nb.km&lt;&gt;"")*(Nb.Litres&lt;&gt;""), [Nb.km]/[Nb.Litres])). Format 0.00 "km/L". Attention : J6 contenait la surconso E85 (%) utilisée par la colonne L — à replacer ailleurs.</t>
  </si>
  <si>
    <t>J6 = 15,74 km/L. Surconso E85 (%) en attente de relogement.</t>
  </si>
  <si>
    <t>← Affichage compteur prévu selon le rythme moyen</t>
  </si>
  <si>
    <t>Demande de création de macros VBA</t>
  </si>
  <si>
    <t>Expliqué que je ne peux pas créer de macros VBA depuis l'add-in (pas d'accès au projet VBA)</t>
  </si>
  <si>
    <t>Proposé alternatives : automatisation via formules/MFC/validation, ou fournir le code VBA en texte à coller manuellement (Alt+F11). Rappelé qu'un code VBA avait déjà été fourni au tour 30 (UserForm frmNouveauPlein).</t>
  </si>
  <si>
    <t>En attente de précision sur l'automatisation souhaitée</t>
  </si>
  <si>
    <t>Créer un bouton pour ajouter une ligne au tableau</t>
  </si>
  <si>
    <t>Expliqué impossibilité de créer un bouton cliquable depuis l'add-in. Proposé 2 options.</t>
  </si>
  <si>
    <t>Option 1 : j'ajoute la ligne directement à Tableau2 sur demande. Option 2 : code VBA AjouterLignePlein (ListObjects.ListRows.Add) à coller dans Alt+F11 après conversion en .xlsm, puis affecter à un bouton contrôle de formulaire.</t>
  </si>
  <si>
    <t>En attente du choix de l'utilisateur</t>
  </si>
  <si>
    <t>Comment modifier l'aspect du bouton</t>
  </si>
  <si>
    <t>Demandé à l'utilisateur de préciser de quel bouton il s'agit (Shape flottant, contrôle de formulaire, ou ActiveX)</t>
  </si>
  <si>
    <t>Rappelé les options : Shape modifiable directement par moi (couleur/taille/texte/bordure), contrôle de formulaire limité (clic droit → Format de contrôle), ActiveX customisable via Propriétés (.xlsm requis).</t>
  </si>
  <si>
    <t>En attente de précision</t>
  </si>
  <si>
    <t>Peut-on affecter une fonction VBA à la Shape</t>
  </si>
  <si>
    <t>Confirmé oui. Fourni la procédure complète : conversion .xlsm, Alt+F11 → Insertion Module → coller macro AjouterLignePlein, puis clic droit Shape → Affecter une macro.</t>
  </si>
  <si>
    <t>Macro proposée : ListObjects(Tableau2).ListRows.Add + sélection col Date. Souligné avantages d'une Shape vs contrôle de formulaire (style libre). Conseillé 'Ne pas déplacer ni dimensionner avec les cellules' dans Taille et propriétés.</t>
  </si>
  <si>
    <t>En attente : utilisateur va affecter la macro ou demander une variante (pré-remplissage, formulaire)</t>
  </si>
  <si>
    <t>Comment lancer un formulaire pour compléter le tableau</t>
  </si>
  <si>
    <t>Fourni le code VBA complet pour UserForm frmNouveauPlein adapté à la structure actuelle de Tableau2 (14 col)</t>
  </si>
  <si>
    <t>UserForm avec 6 contrôles (Date/Type/Km/Litres/Prix/PrixS98) + Valider/Annuler. Code Initialize (dropdown types + date du jour), btnValider (validation+CDbl avec gestion virgule FR, ListRows.Add, remplissage B/C/D/F/G/K), module OuvrirFormulairePlein. À affecter à la Shape existante.</t>
  </si>
  <si>
    <t>Code prêt à coller. En attente d'implémentation utilisateur.</t>
  </si>
  <si>
    <t>Peux-tu créer le formulaire pour moi</t>
  </si>
  <si>
    <t>Refusé (impossibilité technique) et proposé 3 alternatives</t>
  </si>
  <si>
    <t>Office.js ne peut pas écrire dans le projet VBA (UserForm/modules) ni convertir en .xlsm. Alternatives : (1) guide pas-à-pas dans VBE, (2) bloc de saisie sur feuille + macro Sub simple, (3) workflow conversationnel via chat.</t>
  </si>
  <si>
    <t>Peux-tu le faire avec Claude Code ou autre skill</t>
  </si>
  <si>
    <t>Confirmé non : limitation Excel, pas Claude. Aucun outil externe ne peut créer un UserForm.</t>
  </si>
  <si>
    <t>Office.js bloqué par sécurité MS. Claude Code ne peut pas modifier le fichier ouvert. Même en manipulant le .xlsm hors d'Excel (openpyxl/XML), les UserForm (.frx binaires) ne peuvent pas être générés programmatiquement. Re-proposé alternative bloc de saisie sur feuille + macro Sub courte.</t>
  </si>
  <si>
    <t>En attente : utilisateur va probablement choisir alternative bloc sur feuille</t>
  </si>
  <si>
    <t>Quelles améliorations sont possibles sur les onglets</t>
  </si>
  <si>
    <t>Audit des 2 onglets. Identifié 3 bugs + 6 améliorations fonctionnelles + 2 sur graphiques + 3 de confort.</t>
  </si>
  <si>
    <t>Bugs : A24 #REF!, KPI Km/sem-mois disparus, col H dupliquée avec col J (même formule). Amélios : volets figés, MFC col M, stats E85/S98, coût total, alerte km décroissant, col Notes. Graphiques : onglet vide, sparkline. Confort : format dates, ligne totaux.</t>
  </si>
  <si>
    <t>12 propositions classées. En attente du choix de l'utilisateur.</t>
  </si>
  <si>
    <t>Erreur au lancement du formulaire VBA</t>
  </si>
  <si>
    <t>Demandé numéro d'erreur, message et ligne surlignée en mode Débogage</t>
  </si>
  <si>
    <t>Fourni tableau des causes probables : err 9 (Tableau2 introuvable), 381 (ComboBox mal nommé), 13 (virgule décimale), 424 (nom feuille). Demandé à vérifier nom Tableau2 dans onglet Création et nom feuille 'Suivi Carburant'.</t>
  </si>
  <si>
    <t>En attente du numéro d'erreur et de la ligne fautive</t>
  </si>
  <si>
    <t>Erreur 424 Objet requis au lancement du formulaire</t>
  </si>
  <si>
    <t>Demandé à l'utilisateur la ligne surlignée en mode Débogage</t>
  </si>
  <si>
    <t>Donné 4 causes probables : (1) UserForm pas nommé frmNouveauPlein, (2) contrôle mal nommé (txtDate/cmbType/txtKm/txtLitres/txtPrix/txtPrixS98/btnValider/btnAnnuler), (3) nom feuille 'Suivi Carburant' incorrect, (4) Tableau2 renommé. À vérifier dans VBE Propriétés (F4).</t>
  </si>
  <si>
    <t>En attente : ligne fautive surlignée par débogueur</t>
  </si>
  <si>
    <t>Insertion auto des / dans txtDate + date du jour par défaut</t>
  </si>
  <si>
    <t>Fourni le code VBA : UserForm_Initialize (date du jour, MaxLength 10) + txtDate_Change (auto-format jj/mm/aaaa)</t>
  </si>
  <si>
    <t>Variable bSkipChange pour éviter récursion. Logique : extraire chiffres uniquement, limiter à 8, réinsérer / aux positions 2 et 4, repositionner curseur en fin. Accepte aussi le collage de formats avec / ou -.</t>
  </si>
  <si>
    <t>Code prêt à coller dans frmNouveauPlein</t>
  </si>
  <si>
    <t>Effacer txtDate au clic</t>
  </si>
  <si>
    <t>Fourni 2 variantes d'événement txtDate_Enter</t>
  </si>
  <si>
    <t>Variante 1 (par défaut) : vide le champ dès l'arrivée du focus (txtDate.Value=""). Variante 2 : sélectionne tout le texte (SelStart/SelLength) pour qu'il s'efface à la 1ère frappe. bSkipChange utilisé pour éviter déclenchement Change.</t>
  </si>
  <si>
    <t>Code prêt à ajouter dans frmNouveauPlein</t>
  </si>
  <si>
    <t>Effacer txtDate au clic sauf à l'initialisation</t>
  </si>
  <si>
    <t>Ajouté flag bDateTouched pour distinguer 1er focus après init des suivants</t>
  </si>
  <si>
    <t>Variable Private bDateTouched As Boolean. UserForm_Initialize la met à False. txtDate_Enter teste : si True vide le champ, puis passe à True. Résultat : date du jour visible à l'ouverture, effacée seulement aux clics suivants.</t>
  </si>
  <si>
    <t>Code prêt à coller</t>
  </si>
  <si>
    <t>Exécuter AjouterLignePlein() en début de btnEnregistrer_Click</t>
  </si>
  <si>
    <t>Fourni l'appel Call AjouterLignePlein + averti du risque de doublon</t>
  </si>
  <si>
    <t>Option A recommandée : AjouterLignePlein ajoute la ligne, btnEnregistrer_Click récupère tbl.ListRows(tbl.ListRows.Count) pour remplir au lieu de faire un nouveau .Add. Option B : laisser ça et accepter une ligne vide en plus. En attente du choix utilisateur.</t>
  </si>
  <si>
    <t>Code fourni, en attente confirmation Option A ou B</t>
  </si>
  <si>
    <t>Erreur quand prix saisi avec point décimal (13.1)</t>
  </si>
  <si>
    <t>Diagnostic : CDbl utilise séparateur locale Windows. FR=virgule, donc CDbl("13.1") plante en erreur 13.</t>
  </si>
  <si>
    <t>Solution : inverser Replace : '.', ',' au lieu de ',', '.'. Proposé fonction ToDouble robuste pour tous champs numériques (Km/Litres/Prix/PrixS98). Recommandé ajout IsNumeric préventif.</t>
  </si>
  <si>
    <t>Correctif fourni, à appliquer dans btnEnregistrer_Click</t>
  </si>
  <si>
    <t>Coût total du plein en calcul auto dans le formulaire</t>
  </si>
  <si>
    <t>Fourni code pour Label lblCoutTotal calculé en temps réel</t>
  </si>
  <si>
    <t>Ajouter Label lblCoutTotal. 3 procs : MajCoutTotal (IsNumeric + CDbl avec gestion ., calcule Litres*Prix format 0.00 €), txtLitres_Change et txtPrix_Change appelant MajCoutTotal. UserForm_Initialize initialise à '-- €'. Format gras suggéré pour visibilité.</t>
  </si>
  <si>
    <t>Code prêt à coller. À noter : K22 sélectionné, peut-être prochaine demande sur Prix S98 jour.</t>
  </si>
  <si>
    <t>Erreur sur txtCoutTotal.Text = '-- €'</t>
  </si>
  <si>
    <t>Diagnostic : confusion TextBox vs Label. Utilisateur a créé une TextBox mais le code utilisait Label.Caption.</t>
  </si>
  <si>
    <t>Option 1 (garder TextBox) : remplacer .Caption par .Text dans tout le code. Ajout suggéré Locked=True + BackColor gris pour signaler non-modifiable. Option 2 : remplacer par vrai Label lblCoutTotal.</t>
  </si>
  <si>
    <t>2 options fournies. En attente du choix.</t>
  </si>
  <si>
    <t>Peut-on transformer ce fichier en application</t>
  </si>
  <si>
    <t>Proposé 4 catégories d'options : app mobile prête, web app low-code, desktop autonome, Excel mobile</t>
  </si>
  <si>
    <t>Option 1 : Fuelio/Drivvo (apps gratuites import CSV). Option 2 : Power Apps ou AppSheet sur OneDrive/Google Sheets (low-code, Excel comme backend). Option 3 : Python+Tkinter/VB.NET/Power BI (1-3 jours dev). Option 4 : Excel mobile + bloc de saisie sur feuille (pas de UserForm mobile). Reco perso : option 1 ou 2.</t>
  </si>
  <si>
    <t>Boutons du formulaire VBA avec icônes</t>
  </si>
  <si>
    <t>Présenté 3 options pour ajouter des icônes aux CommandButton</t>
  </si>
  <si>
    <t>Option 1 : caractères Unicode en Caption (✓/✗ ou emoji). Option 2A (reco) : PNG téléchargés puis embarqués via propriété Picture dans VBE design + PicturePosition. Option 2B : LoadPicture au runtime (fichier externe requis). Option 3 : CommandBars Office (non recommandé).</t>
  </si>
  <si>
    <t>3 options fournies, reco 2A. En attente du choix.</t>
  </si>
  <si>
    <t>Station essence</t>
  </si>
  <si>
    <t>Type carburant</t>
  </si>
  <si>
    <t>Super 95</t>
  </si>
  <si>
    <t>Diesel</t>
  </si>
  <si>
    <t>Station essence utilisée</t>
  </si>
  <si>
    <t>Station</t>
  </si>
  <si>
    <t>MOYENNE GLOBALE (tous pleins)</t>
  </si>
  <si>
    <t>Appliquer des bords arrondis sur tous les graphiques</t>
  </si>
  <si>
    <t>Activé roundedCorners=true sur tous les graphiques de la feuille Graphiques</t>
  </si>
  <si>
    <t>Via Office.js: chart.format.roundedCorners = true sur les 5 graphiques (ChartRentabilite, ChartConso, ChartCoutKm, ChartPrix, ChartProjection)</t>
  </si>
  <si>
    <t>Les 5 graphiques ont maintenant des coins arrondis.</t>
  </si>
  <si>
    <t>Modifier le quadrillage horizontal du graphique sélectionné tous les 100.</t>
  </si>
  <si>
    <t>Réglage de l'unité principale de l'axe des valeurs du graphique 'Projection de rentabilité du kit (avec tendance)' (ChartProjection) sur la feuille Graphiques.</t>
  </si>
  <si>
    <t>valueAxis.majorUnit passé de 200 à 100. Min=-200, Max=600 inchangés.</t>
  </si>
  <si>
    <t>Quadrillage horizontal affiché tous les 100 sur le graphique sélectionné.</t>
  </si>
  <si>
    <t>Fournir du code VBA pour modifier le maximum de l'axe vertical du graphique de projection.</t>
  </si>
  <si>
    <t>Rédaction de deux macros VBA (mode automatique + mode dynamique calculé sur les données).</t>
  </si>
  <si>
    <t>Macro 1 : MaximumScaleIsAuto=True + MajorUnit=100. Macro 2 : balayage de SeriesCollection, max arrondi à la centaine sup. via Ceiling. Cible ChartObjects("ChartProjection") sur la feuille Graphiques.</t>
  </si>
  <si>
    <t>Code fourni dans le chat (à coller dans un module VBA du classeur .xlsm).</t>
  </si>
  <si>
    <t>Même demande que précédemment mais pour l'axe des X.</t>
  </si>
  <si>
    <t>Rédaction de deux macros VBA pour ajuster le max de l'axe horizontal (xlCategory) du graphique ChartProjection.</t>
  </si>
  <si>
    <t>Macro 1 : MaximumScaleIsAuto=True sur xlCategory. Macro 2 : balayage XValues des séries, max arrondi via Ceiling à 100. Note : MaximumScale sans effet si axe en catégorie textuelle.</t>
  </si>
  <si>
    <t>Code fourni dans le chat.</t>
  </si>
  <si>
    <t>Horodatage</t>
  </si>
  <si>
    <t>Total Access</t>
  </si>
  <si>
    <t>⛽  PRIX MOYENS PAR STATION ET PAR CARBURANT</t>
  </si>
  <si>
    <t>E85 (€/L)</t>
  </si>
  <si>
    <t>SP98 (€/L)</t>
  </si>
  <si>
    <t>SP95 (€/L)</t>
  </si>
  <si>
    <t>E10 (€/L)</t>
  </si>
  <si>
    <t>Gazole (€/L)</t>
  </si>
  <si>
    <t>GPLc (€/L)</t>
  </si>
  <si>
    <t>Nb. relevés</t>
  </si>
  <si>
    <t>ℹ️  Les prix station sont relevés automatiquement via API data.economie.gouv.fr lors de la sélection d'une station. Ils reflètent le prix affiché ce jour-là, indépendamment du carburant acheté.</t>
  </si>
  <si>
    <t>Km</t>
  </si>
  <si>
    <t>Litres</t>
  </si>
  <si>
    <t>PrixL</t>
  </si>
  <si>
    <t>Vehicule</t>
  </si>
  <si>
    <t>E85 station</t>
  </si>
  <si>
    <t>SP98 station</t>
  </si>
  <si>
    <t>SP95 station</t>
  </si>
  <si>
    <t>E10 station</t>
  </si>
  <si>
    <t>Gazole station</t>
  </si>
  <si>
    <t>GPLc station</t>
  </si>
  <si>
    <t>Z900</t>
  </si>
  <si>
    <t>Moyennes calculées à partir des prix relevés par le formulaire web lors de chaque plein  ·  Source : GS_Pleins</t>
  </si>
  <si>
    <t>Véhicule</t>
  </si>
  <si>
    <t>E85 station (€/L)</t>
  </si>
  <si>
    <t>SP98 station (€/L)</t>
  </si>
  <si>
    <t>SP95 station (€/L)</t>
  </si>
  <si>
    <t>E10 station (€/L)</t>
  </si>
  <si>
    <t>Gazole station (€/L)</t>
  </si>
  <si>
    <t>GPLc station (€/L)</t>
  </si>
  <si>
    <t>Colonne1</t>
  </si>
  <si>
    <t>Colonne2</t>
  </si>
  <si>
    <t>Colonne3</t>
  </si>
  <si>
    <t>Colonne4</t>
  </si>
  <si>
    <t>Colonne5</t>
  </si>
  <si>
    <t>Colonne6</t>
  </si>
  <si>
    <t>Colonne7</t>
  </si>
  <si>
    <t>Colonne8</t>
  </si>
  <si>
    <t>Colonne9</t>
  </si>
  <si>
    <t>sync_id</t>
  </si>
  <si>
    <t>20260524230440-220130-738942</t>
  </si>
  <si>
    <t>E.Leclerc - Beuvry</t>
  </si>
  <si>
    <t>20260525005403-976268-440009</t>
  </si>
  <si>
    <t>20260525005403-755971-447704</t>
  </si>
  <si>
    <t>20260525005403-840918-564077</t>
  </si>
  <si>
    <t>20260525005403-930414-652157</t>
  </si>
  <si>
    <t>20260525005403-798193-070427</t>
  </si>
  <si>
    <t>20260525005403-545886-209305</t>
  </si>
  <si>
    <t>20260525005403-806283-271986</t>
  </si>
  <si>
    <t>20260525005403-477753-868050</t>
  </si>
  <si>
    <t>20260525005403-396348-981529</t>
  </si>
  <si>
    <t>Carrefour - Flers</t>
  </si>
  <si>
    <t>Leclerc - Douai</t>
  </si>
  <si>
    <t>⛽ TABLEAU DE BORD</t>
  </si>
  <si>
    <t>Mise a jour automatique a chaque modification des donnees</t>
  </si>
  <si>
    <t>INDICATEUR</t>
  </si>
  <si>
    <t>VALEUR</t>
  </si>
  <si>
    <t>Consommation moyenne</t>
  </si>
  <si>
    <t>Cout au km</t>
  </si>
  <si>
    <t>Total depense YTD</t>
  </si>
  <si>
    <t>Nombre de pleins YTD</t>
  </si>
  <si>
    <t>% pleins E85</t>
  </si>
  <si>
    <t>Economies estimees E85 vs SP98</t>
  </si>
  <si>
    <t>Prix moyen E85 (30 derniers jours)</t>
  </si>
  <si>
    <t>Date dernier plein</t>
  </si>
  <si>
    <t>Litres totaux cumules</t>
  </si>
  <si>
    <t>Km parcourus</t>
  </si>
  <si>
    <t>Prix E85 (€/L)</t>
  </si>
  <si>
    <t>⎖ Graphiques - Suivi E85</t>
  </si>
  <si>
    <t>⎣ X7 - Evolution du prix E85 par date</t>
  </si>
  <si>
    <t>⎣ X8 - Consommation L/100 km dans le temps</t>
  </si>
  <si>
    <t>L/100 km</t>
  </si>
  <si>
    <t>Modifie_local</t>
  </si>
  <si>
    <t>01d49fba-6089-40ff-a8f8-15a07bd385d6</t>
  </si>
  <si>
    <t>Photo ticket</t>
  </si>
  <si>
    <t>Total - Waziers</t>
  </si>
  <si>
    <t>⚙ Suivi (auto) - vue derivee de GS_Pleins</t>
  </si>
  <si>
    <t>Genere par formules - ne pas saisir ici. Source unique : onglet GS_Pleins.</t>
  </si>
  <si>
    <t>Nb km</t>
  </si>
  <si>
    <t>Cout plein (€)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</si>
</sst>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4">
    <numFmt numFmtId="44" formatCode="_-* #,##0.00\ &quot;€&quot;_-;\-* #,##0.00\ &quot;€&quot;_-;_-* &quot;-&quot;??\ &quot;€&quot;_-;_-@_-"/>
    <numFmt numFmtId="164" formatCode="#,##0.00\ \€"/>
    <numFmt numFmtId="165" formatCode="0.000\ \€"/>
    <numFmt numFmtId="166" formatCode="0.0%"/>
    <numFmt numFmtId="167" formatCode="0.00&quot;L&quot;"/>
    <numFmt numFmtId="168" formatCode="0.000&quot;€/L&quot;"/>
    <numFmt numFmtId="169" formatCode="0.00&quot;€/100km&quot;"/>
    <numFmt numFmtId="170" formatCode="#,##0&quot;km&quot;"/>
    <numFmt numFmtId="171" formatCode="0.0&quot; c€/km&quot;"/>
    <numFmt numFmtId="172" formatCode="0.0000\ \€"/>
    <numFmt numFmtId="173" formatCode="0.0&quot;L/100km&quot;"/>
    <numFmt numFmtId="174" formatCode="0.000&quot; €/km&quot;"/>
    <numFmt numFmtId="175" formatCode="#,##0&quot; km&quot;"/>
    <numFmt numFmtId="176" formatCode="#,##0.00\ &quot;€&quot;"/>
    <numFmt numFmtId="177" formatCode="0.00&quot; km/L&quot;"/>
    <numFmt numFmtId="178" formatCode="dd/mm/yyyy\ hh:mm:ss"/>
    <numFmt numFmtId="179" formatCode="0.000\ &quot;€/L&quot;"/>
    <numFmt numFmtId="180" formatCode="0.00&quot; L/100km&quot;"/>
    <numFmt numFmtId="181" formatCode="0&quot; €&quot;"/>
    <numFmt numFmtId="182" formatCode="0&quot; € cumules&quot;"/>
    <numFmt numFmtId="183" formatCode="0.000&quot; €/L&quot;"/>
    <numFmt numFmtId="184" formatCode="0&quot; L&quot;"/>
    <numFmt numFmtId="185" formatCode="0.000"/>
    <numFmt numFmtId="186" formatCode="dd/mm/yyyy"/>
  </numFmts>
  <fonts count="33" x14ac:knownFonts="1">
    <font>
      <sz val="12"/>
      <color theme="1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0000FF"/>
      <name val="Calibri"/>
      <family val="2"/>
      <scheme val="minor"/>
    </font>
    <font>
      <i/>
      <sz val="12"/>
      <color rgb="FF808080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rgb="FFFFFFFF"/>
      <name val="Calibri"/>
      <family val="2"/>
      <scheme val="minor"/>
    </font>
    <font>
      <b/>
      <sz val="12"/>
      <color rgb="FFFFFFFF"/>
      <name val="Agency FB"/>
      <family val="2"/>
    </font>
    <font>
      <b/>
      <sz val="8.4"/>
      <color rgb="FFFFFFFF"/>
      <name val="Calibri"/>
      <family val="2"/>
    </font>
    <font>
      <sz val="12"/>
      <color theme="1"/>
      <name val="Calibri"/>
      <family val="2"/>
      <scheme val="minor"/>
    </font>
    <font>
      <b/>
      <i/>
      <sz val="12"/>
      <color rgb="FF808080"/>
      <name val="Calibri"/>
      <family val="2"/>
      <scheme val="minor"/>
    </font>
    <font>
      <b/>
      <sz val="12"/>
      <color theme="3" tint="-0.249977111117893"/>
      <name val="Calibri"/>
      <family val="2"/>
      <scheme val="minor"/>
    </font>
    <font>
      <sz val="12"/>
      <color theme="3" tint="-0.249977111117893"/>
      <name val="Calibri"/>
      <family val="2"/>
      <scheme val="minor"/>
    </font>
    <font>
      <sz val="12"/>
      <color rgb="FF333F4F"/>
      <name val="Calibri"/>
      <family val="2"/>
      <scheme val="minor"/>
    </font>
    <font>
      <sz val="8"/>
      <name val="Calibri"/>
      <family val="2"/>
      <scheme val="minor"/>
    </font>
    <font>
      <sz val="12"/>
      <color theme="1"/>
      <name val="Calibri"/>
      <family val="2"/>
      <charset val="1"/>
    </font>
    <font>
      <b/>
      <sz val="13"/>
      <color rgb="FFFFFFFF"/>
      <name val="Arial"/>
      <family val="2"/>
    </font>
    <font>
      <i/>
      <sz val="9"/>
      <color rgb="FF1B3A5C"/>
      <name val="Arial"/>
      <family val="2"/>
    </font>
    <font>
      <b/>
      <sz val="10"/>
      <color rgb="FFFFFFFF"/>
      <name val="Arial"/>
      <family val="2"/>
    </font>
    <font>
      <b/>
      <sz val="9"/>
      <color rgb="FF333F4F"/>
      <name val="Arial"/>
      <family val="2"/>
    </font>
    <font>
      <sz val="9"/>
      <color rgb="FF333F4F"/>
      <name val="Arial"/>
      <family val="2"/>
    </font>
    <font>
      <b/>
      <sz val="9"/>
      <color rgb="FFFFFFFF"/>
      <name val="Arial"/>
      <family val="2"/>
    </font>
    <font>
      <b/>
      <sz val="9"/>
      <color rgb="FF1B3A5C"/>
      <name val="Arial"/>
      <family val="2"/>
    </font>
    <font>
      <i/>
      <sz val="10"/>
      <color rgb="FF6B7280"/>
      <name val="Calibri"/>
      <family val="2"/>
      <scheme val="minor"/>
    </font>
    <font>
      <sz val="11"/>
      <color rgb="FF6B7280"/>
      <name val="Calibri"/>
      <family val="2"/>
      <scheme val="minor"/>
    </font>
    <font>
      <b/>
      <sz val="13"/>
      <color rgb="FF1B3A5C"/>
      <name val="Calibri"/>
      <family val="2"/>
      <scheme val="minor"/>
    </font>
    <font>
      <b/>
      <sz val="14"/>
      <color rgb="FF1B3A5C"/>
      <name val="Calibri"/>
      <family val="2"/>
      <scheme val="minor"/>
    </font>
    <font>
      <b/>
      <sz val="12"/>
      <color rgb="FF2E75B6"/>
      <name val="Calibri"/>
      <family val="2"/>
      <scheme val="minor"/>
    </font>
    <font>
      <b/>
      <sz val="12"/>
      <color rgb="FF1D9E75"/>
      <name val="Calibri"/>
      <family val="2"/>
      <scheme val="minor"/>
    </font>
    <font>
      <i/>
      <sz val="12"/>
      <color rgb="FF969696"/>
      <name val="Calibri"/>
      <family val="2"/>
      <scheme val="minor"/>
    </font>
    <font>
      <b/>
      <sz val="14"/>
      <color rgb="FFFFFFFF"/>
      <name val="Calibri"/>
      <family val="2"/>
      <scheme val="minor"/>
    </font>
    <font>
      <i/>
      <sz val="9"/>
      <color rgb="FF7D7D7D"/>
      <name val="Calibri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rgb="FF4472C4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D5E8C7"/>
        <bgColor indexed="64"/>
      </patternFill>
    </fill>
    <fill>
      <patternFill patternType="solid">
        <fgColor rgb="FF1B3A5C"/>
        <bgColor indexed="64"/>
      </patternFill>
    </fill>
    <fill>
      <patternFill patternType="solid">
        <fgColor rgb="FFF0A5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1B3A5C"/>
      </patternFill>
    </fill>
    <fill>
      <patternFill patternType="solid">
        <fgColor rgb="FFF0A500"/>
      </patternFill>
    </fill>
    <fill>
      <patternFill patternType="solid">
        <fgColor rgb="FFEBF3FB"/>
      </patternFill>
    </fill>
    <fill>
      <patternFill patternType="solid">
        <fgColor rgb="FF2E75B6"/>
      </patternFill>
    </fill>
    <fill>
      <patternFill patternType="solid">
        <fgColor rgb="FFFFFFFF"/>
      </patternFill>
    </fill>
    <fill>
      <patternFill patternType="solid">
        <fgColor rgb="FFF2F7FB"/>
      </patternFill>
    </fill>
    <fill>
      <patternFill patternType="solid">
        <fgColor rgb="FFDBEAFE"/>
        <bgColor indexed="64"/>
      </patternFill>
    </fill>
    <fill>
      <patternFill patternType="solid">
        <fgColor rgb="FFD1FAE5"/>
        <bgColor indexed="64"/>
      </patternFill>
    </fill>
    <fill>
      <patternFill patternType="solid">
        <fgColor rgb="FF1B495C"/>
        <bgColor indexed="64"/>
      </patternFill>
    </fill>
  </fills>
  <borders count="13">
    <border>
      <left/>
      <right/>
      <top/>
      <bottom/>
      <diagonal/>
    </border>
    <border>
      <left/>
      <right style="thin">
        <color rgb="FFB4C6E7"/>
      </right>
      <top/>
      <bottom style="thin">
        <color rgb="FFB4C6E7"/>
      </bottom>
      <diagonal/>
    </border>
    <border>
      <left style="thin">
        <color rgb="FFB4C6E7"/>
      </left>
      <right style="thin">
        <color rgb="FFB4C6E7"/>
      </right>
      <top/>
      <bottom style="thin">
        <color rgb="FFB4C6E7"/>
      </bottom>
      <diagonal/>
    </border>
    <border>
      <left style="thin">
        <color rgb="FFB4C6E7"/>
      </left>
      <right/>
      <top/>
      <bottom style="thin">
        <color rgb="FFB4C6E7"/>
      </bottom>
      <diagonal/>
    </border>
    <border>
      <left/>
      <right style="thin">
        <color rgb="FFB4C6E7"/>
      </right>
      <top style="thin">
        <color rgb="FFB4C6E7"/>
      </top>
      <bottom style="thin">
        <color rgb="FFB4C6E7"/>
      </bottom>
      <diagonal/>
    </border>
    <border>
      <left style="thin">
        <color rgb="FFB4C6E7"/>
      </left>
      <right style="thin">
        <color rgb="FFB4C6E7"/>
      </right>
      <top style="thin">
        <color rgb="FFB4C6E7"/>
      </top>
      <bottom style="thin">
        <color rgb="FFB4C6E7"/>
      </bottom>
      <diagonal/>
    </border>
    <border>
      <left style="thin">
        <color rgb="FFB4C6E7"/>
      </left>
      <right/>
      <top style="thin">
        <color rgb="FFB4C6E7"/>
      </top>
      <bottom style="thin">
        <color rgb="FFB4C6E7"/>
      </bottom>
      <diagonal/>
    </border>
    <border>
      <left/>
      <right/>
      <top/>
      <bottom style="thin">
        <color rgb="FFF0A500"/>
      </bottom>
      <diagonal/>
    </border>
    <border>
      <left style="thin">
        <color rgb="FFB8CCE4"/>
      </left>
      <right style="thin">
        <color rgb="FFB8CCE4"/>
      </right>
      <top style="thin">
        <color rgb="FFB8CCE4"/>
      </top>
      <bottom style="thin">
        <color rgb="FFB8CCE4"/>
      </bottom>
      <diagonal/>
    </border>
    <border>
      <left style="thin">
        <color rgb="FFB8CCE4"/>
      </left>
      <right/>
      <top/>
      <bottom/>
      <diagonal/>
    </border>
    <border>
      <left/>
      <right/>
      <top style="thin">
        <color rgb="FFE2E8F0"/>
      </top>
      <bottom style="thin">
        <color rgb="FFE2E8F0"/>
      </bottom>
      <diagonal/>
    </border>
    <border>
      <left/>
      <right/>
      <top style="thin">
        <color rgb="FFE2E8F0"/>
      </top>
      <bottom/>
      <diagonal/>
    </border>
    <border>
      <left style="thin">
        <color rgb="FFE2E8F0"/>
      </left>
      <right style="thin">
        <color rgb="FFE2E8F0"/>
      </right>
      <top style="thin">
        <color rgb="FFE2E8F0"/>
      </top>
      <bottom style="thin">
        <color rgb="FFE2E8F0"/>
      </bottom>
      <diagonal/>
    </border>
  </borders>
  <cellStyleXfs count="4">
    <xf numFmtId="0" fontId="0" fillId="0" borderId="0"/>
    <xf numFmtId="44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6" fillId="0" borderId="0"/>
  </cellStyleXfs>
  <cellXfs count="147">
    <xf numFmtId="0" fontId="0" fillId="0" borderId="0" xfId="0"/>
    <xf numFmtId="0" fontId="1" fillId="2" borderId="0" xfId="0" applyFont="1" applyFill="1"/>
    <xf numFmtId="14" fontId="0" fillId="0" borderId="0" xfId="0" applyNumberFormat="1"/>
    <xf numFmtId="0" fontId="0" fillId="0" borderId="0" xfId="0" applyAlignment="1">
      <alignment vertical="center"/>
    </xf>
    <xf numFmtId="0" fontId="0" fillId="0" borderId="0" xfId="0" applyAlignment="1" applyProtection="1">
      <alignment vertical="center"/>
    </xf>
    <xf numFmtId="0" fontId="0" fillId="3" borderId="0" xfId="0" applyFill="1" applyAlignment="1" applyProtection="1">
      <alignment vertical="center"/>
    </xf>
    <xf numFmtId="0" fontId="2" fillId="4" borderId="0" xfId="0" applyFont="1" applyFill="1" applyAlignment="1" applyProtection="1">
      <alignment vertical="center"/>
    </xf>
    <xf numFmtId="0" fontId="4" fillId="0" borderId="0" xfId="0" applyFont="1" applyAlignment="1" applyProtection="1">
      <alignment vertical="center"/>
    </xf>
    <xf numFmtId="1" fontId="0" fillId="4" borderId="0" xfId="0" applyNumberFormat="1" applyFill="1" applyAlignment="1" applyProtection="1">
      <alignment horizontal="left" vertical="center"/>
    </xf>
    <xf numFmtId="0" fontId="2" fillId="7" borderId="0" xfId="0" applyFont="1" applyFill="1" applyAlignment="1" applyProtection="1">
      <alignment vertical="center"/>
    </xf>
    <xf numFmtId="3" fontId="0" fillId="7" borderId="0" xfId="0" applyNumberFormat="1" applyFill="1" applyAlignment="1" applyProtection="1">
      <alignment horizontal="left" vertical="center"/>
    </xf>
    <xf numFmtId="2" fontId="0" fillId="4" borderId="0" xfId="0" applyNumberFormat="1" applyFill="1" applyAlignment="1" applyProtection="1">
      <alignment horizontal="left" vertical="center"/>
    </xf>
    <xf numFmtId="164" fontId="0" fillId="7" borderId="0" xfId="0" applyNumberFormat="1" applyFill="1" applyAlignment="1" applyProtection="1">
      <alignment horizontal="left" vertical="center"/>
    </xf>
    <xf numFmtId="165" fontId="0" fillId="7" borderId="0" xfId="0" applyNumberFormat="1" applyFill="1" applyAlignment="1" applyProtection="1">
      <alignment horizontal="left" vertical="center"/>
    </xf>
    <xf numFmtId="165" fontId="0" fillId="4" borderId="0" xfId="0" applyNumberFormat="1" applyFill="1" applyAlignment="1" applyProtection="1">
      <alignment horizontal="left" vertical="center"/>
    </xf>
    <xf numFmtId="0" fontId="5" fillId="8" borderId="0" xfId="0" applyFont="1" applyFill="1" applyAlignment="1" applyProtection="1">
      <alignment vertical="center"/>
    </xf>
    <xf numFmtId="0" fontId="0" fillId="8" borderId="0" xfId="0" applyFill="1" applyAlignment="1" applyProtection="1">
      <alignment vertical="center"/>
    </xf>
    <xf numFmtId="0" fontId="2" fillId="9" borderId="0" xfId="0" applyFont="1" applyFill="1" applyAlignment="1" applyProtection="1">
      <alignment vertical="center"/>
    </xf>
    <xf numFmtId="0" fontId="2" fillId="10" borderId="0" xfId="0" applyFont="1" applyFill="1" applyAlignment="1" applyProtection="1">
      <alignment vertical="center"/>
    </xf>
    <xf numFmtId="0" fontId="6" fillId="9" borderId="0" xfId="0" applyFont="1" applyFill="1" applyAlignment="1" applyProtection="1">
      <alignment vertical="center"/>
    </xf>
    <xf numFmtId="1" fontId="0" fillId="7" borderId="0" xfId="0" applyNumberFormat="1" applyFill="1" applyAlignment="1" applyProtection="1">
      <alignment horizontal="left" vertical="center"/>
    </xf>
    <xf numFmtId="3" fontId="0" fillId="4" borderId="0" xfId="0" applyNumberFormat="1" applyFill="1" applyAlignment="1" applyProtection="1">
      <alignment horizontal="left" vertical="center"/>
    </xf>
    <xf numFmtId="2" fontId="0" fillId="7" borderId="0" xfId="0" applyNumberFormat="1" applyFill="1" applyAlignment="1" applyProtection="1">
      <alignment horizontal="left" vertical="center"/>
    </xf>
    <xf numFmtId="164" fontId="0" fillId="4" borderId="0" xfId="0" applyNumberFormat="1" applyFill="1" applyAlignment="1" applyProtection="1">
      <alignment horizontal="left" vertical="center"/>
    </xf>
    <xf numFmtId="2" fontId="4" fillId="0" borderId="0" xfId="0" applyNumberFormat="1" applyFont="1" applyFill="1" applyAlignment="1" applyProtection="1">
      <alignment vertical="center"/>
    </xf>
    <xf numFmtId="0" fontId="0" fillId="12" borderId="7" xfId="0" applyFill="1" applyBorder="1" applyAlignment="1" applyProtection="1">
      <alignment vertical="center"/>
    </xf>
    <xf numFmtId="0" fontId="0" fillId="0" borderId="0" xfId="0" applyFill="1" applyBorder="1" applyAlignment="1" applyProtection="1">
      <alignment vertical="center"/>
    </xf>
    <xf numFmtId="0" fontId="0" fillId="3" borderId="0" xfId="0" applyFill="1" applyAlignment="1" applyProtection="1">
      <alignment vertical="center"/>
      <protection locked="0"/>
    </xf>
    <xf numFmtId="0" fontId="1" fillId="3" borderId="0" xfId="0" applyFont="1" applyFill="1" applyAlignment="1" applyProtection="1">
      <alignment horizontal="center" vertical="center"/>
    </xf>
    <xf numFmtId="166" fontId="3" fillId="3" borderId="0" xfId="0" applyNumberFormat="1" applyFont="1" applyFill="1" applyAlignment="1" applyProtection="1">
      <alignment vertical="center"/>
    </xf>
    <xf numFmtId="0" fontId="4" fillId="3" borderId="0" xfId="0" applyFont="1" applyFill="1" applyAlignment="1" applyProtection="1">
      <alignment vertical="center"/>
    </xf>
    <xf numFmtId="0" fontId="11" fillId="3" borderId="0" xfId="0" applyFont="1" applyFill="1" applyAlignment="1" applyProtection="1">
      <alignment horizontal="center" vertical="center"/>
    </xf>
    <xf numFmtId="0" fontId="1" fillId="6" borderId="0" xfId="0" applyFont="1" applyFill="1" applyAlignment="1" applyProtection="1">
      <alignment horizontal="center" vertical="center"/>
    </xf>
    <xf numFmtId="172" fontId="1" fillId="3" borderId="0" xfId="0" applyNumberFormat="1" applyFont="1" applyFill="1" applyAlignment="1" applyProtection="1">
      <alignment horizontal="center" vertical="center"/>
    </xf>
    <xf numFmtId="0" fontId="11" fillId="0" borderId="0" xfId="0" applyFont="1" applyAlignment="1" applyProtection="1">
      <alignment vertical="center"/>
    </xf>
    <xf numFmtId="166" fontId="12" fillId="4" borderId="0" xfId="1" applyNumberFormat="1" applyFont="1" applyFill="1" applyAlignment="1" applyProtection="1">
      <alignment horizontal="right" vertical="center"/>
    </xf>
    <xf numFmtId="170" fontId="12" fillId="4" borderId="0" xfId="0" applyNumberFormat="1" applyFont="1" applyFill="1" applyAlignment="1" applyProtection="1">
      <alignment horizontal="right" vertical="center"/>
    </xf>
    <xf numFmtId="14" fontId="12" fillId="4" borderId="0" xfId="0" applyNumberFormat="1" applyFont="1" applyFill="1" applyAlignment="1" applyProtection="1">
      <alignment horizontal="right" vertical="center"/>
    </xf>
    <xf numFmtId="164" fontId="13" fillId="4" borderId="0" xfId="0" applyNumberFormat="1" applyFont="1" applyFill="1" applyAlignment="1" applyProtection="1">
      <alignment vertical="center"/>
    </xf>
    <xf numFmtId="166" fontId="13" fillId="4" borderId="0" xfId="0" applyNumberFormat="1" applyFont="1" applyFill="1" applyAlignment="1" applyProtection="1">
      <alignment vertical="center"/>
    </xf>
    <xf numFmtId="164" fontId="13" fillId="4" borderId="0" xfId="0" applyNumberFormat="1" applyFont="1" applyFill="1" applyAlignment="1" applyProtection="1">
      <alignment horizontal="right" vertical="center"/>
    </xf>
    <xf numFmtId="0" fontId="2" fillId="4" borderId="0" xfId="0" applyFont="1" applyFill="1" applyAlignment="1" applyProtection="1">
      <alignment horizontal="left" vertical="center"/>
    </xf>
    <xf numFmtId="173" fontId="13" fillId="4" borderId="0" xfId="0" applyNumberFormat="1" applyFont="1" applyFill="1" applyAlignment="1" applyProtection="1">
      <alignment vertical="center"/>
    </xf>
    <xf numFmtId="174" fontId="13" fillId="4" borderId="0" xfId="1" applyNumberFormat="1" applyFont="1" applyFill="1" applyAlignment="1" applyProtection="1">
      <alignment horizontal="right" vertical="center"/>
    </xf>
    <xf numFmtId="0" fontId="1" fillId="2" borderId="0" xfId="0" applyFont="1" applyFill="1" applyAlignment="1">
      <alignment vertical="center"/>
    </xf>
    <xf numFmtId="0" fontId="14" fillId="5" borderId="4" xfId="0" applyFont="1" applyFill="1" applyBorder="1" applyAlignment="1" applyProtection="1">
      <alignment horizontal="center" vertical="center"/>
    </xf>
    <xf numFmtId="170" fontId="14" fillId="5" borderId="5" xfId="0" applyNumberFormat="1" applyFont="1" applyFill="1" applyBorder="1" applyAlignment="1" applyProtection="1">
      <alignment horizontal="center" vertical="center"/>
      <protection locked="0"/>
    </xf>
    <xf numFmtId="167" fontId="14" fillId="5" borderId="5" xfId="0" applyNumberFormat="1" applyFont="1" applyFill="1" applyBorder="1" applyAlignment="1" applyProtection="1">
      <alignment horizontal="center" vertical="center"/>
      <protection locked="0"/>
    </xf>
    <xf numFmtId="168" fontId="14" fillId="5" borderId="5" xfId="0" applyNumberFormat="1" applyFont="1" applyFill="1" applyBorder="1" applyAlignment="1" applyProtection="1">
      <alignment horizontal="center" vertical="center"/>
      <protection locked="0"/>
    </xf>
    <xf numFmtId="171" fontId="14" fillId="5" borderId="5" xfId="0" applyNumberFormat="1" applyFont="1" applyFill="1" applyBorder="1" applyAlignment="1" applyProtection="1">
      <alignment horizontal="center" vertical="center"/>
    </xf>
    <xf numFmtId="164" fontId="14" fillId="5" borderId="5" xfId="0" applyNumberFormat="1" applyFont="1" applyFill="1" applyBorder="1" applyAlignment="1" applyProtection="1">
      <alignment horizontal="center" vertical="center"/>
    </xf>
    <xf numFmtId="2" fontId="14" fillId="5" borderId="5" xfId="0" applyNumberFormat="1" applyFont="1" applyFill="1" applyBorder="1" applyAlignment="1" applyProtection="1">
      <alignment horizontal="center" vertical="center"/>
    </xf>
    <xf numFmtId="165" fontId="14" fillId="5" borderId="5" xfId="0" applyNumberFormat="1" applyFont="1" applyFill="1" applyBorder="1" applyAlignment="1" applyProtection="1">
      <alignment horizontal="center" vertical="center"/>
      <protection locked="0"/>
    </xf>
    <xf numFmtId="9" fontId="14" fillId="5" borderId="6" xfId="2" applyFont="1" applyFill="1" applyBorder="1" applyAlignment="1" applyProtection="1">
      <alignment horizontal="center" vertical="center"/>
    </xf>
    <xf numFmtId="164" fontId="14" fillId="5" borderId="6" xfId="0" applyNumberFormat="1" applyFont="1" applyFill="1" applyBorder="1" applyAlignment="1" applyProtection="1">
      <alignment horizontal="center" vertical="center"/>
    </xf>
    <xf numFmtId="0" fontId="2" fillId="4" borderId="0" xfId="0" applyFont="1" applyFill="1" applyAlignment="1" applyProtection="1">
      <alignment horizontal="left" vertical="center"/>
    </xf>
    <xf numFmtId="170" fontId="0" fillId="4" borderId="0" xfId="0" applyNumberFormat="1" applyFill="1" applyAlignment="1" applyProtection="1">
      <alignment horizontal="left" vertical="center"/>
    </xf>
    <xf numFmtId="3" fontId="2" fillId="7" borderId="0" xfId="0" applyNumberFormat="1" applyFont="1" applyFill="1" applyAlignment="1" applyProtection="1">
      <alignment horizontal="left" vertical="center"/>
    </xf>
    <xf numFmtId="170" fontId="0" fillId="7" borderId="0" xfId="0" applyNumberFormat="1" applyFont="1" applyFill="1" applyAlignment="1" applyProtection="1">
      <alignment horizontal="left" vertical="center"/>
    </xf>
    <xf numFmtId="9" fontId="14" fillId="5" borderId="6" xfId="2" applyNumberFormat="1" applyFont="1" applyFill="1" applyBorder="1" applyAlignment="1" applyProtection="1">
      <alignment horizontal="center" vertical="center"/>
    </xf>
    <xf numFmtId="170" fontId="14" fillId="5" borderId="5" xfId="0" applyNumberFormat="1" applyFont="1" applyFill="1" applyBorder="1" applyAlignment="1" applyProtection="1">
      <alignment horizontal="center" vertical="center"/>
    </xf>
    <xf numFmtId="167" fontId="14" fillId="5" borderId="5" xfId="0" applyNumberFormat="1" applyFont="1" applyFill="1" applyBorder="1" applyAlignment="1" applyProtection="1">
      <alignment horizontal="center" vertical="center"/>
    </xf>
    <xf numFmtId="168" fontId="14" fillId="5" borderId="5" xfId="0" applyNumberFormat="1" applyFont="1" applyFill="1" applyBorder="1" applyAlignment="1" applyProtection="1">
      <alignment horizontal="center" vertical="center"/>
    </xf>
    <xf numFmtId="165" fontId="14" fillId="5" borderId="5" xfId="0" applyNumberFormat="1" applyFont="1" applyFill="1" applyBorder="1" applyAlignment="1" applyProtection="1">
      <alignment horizontal="center" vertical="center"/>
    </xf>
    <xf numFmtId="164" fontId="0" fillId="9" borderId="0" xfId="0" applyNumberFormat="1" applyFont="1" applyFill="1" applyAlignment="1" applyProtection="1">
      <alignment vertical="center"/>
    </xf>
    <xf numFmtId="176" fontId="10" fillId="10" borderId="0" xfId="1" applyNumberFormat="1" applyFont="1" applyFill="1" applyAlignment="1" applyProtection="1">
      <alignment vertical="center"/>
    </xf>
    <xf numFmtId="176" fontId="2" fillId="9" borderId="0" xfId="0" applyNumberFormat="1" applyFont="1" applyFill="1" applyAlignment="1" applyProtection="1">
      <alignment vertical="center"/>
    </xf>
    <xf numFmtId="166" fontId="10" fillId="10" borderId="0" xfId="2" applyNumberFormat="1" applyFont="1" applyFill="1" applyAlignment="1" applyProtection="1">
      <alignment vertical="center"/>
    </xf>
    <xf numFmtId="0" fontId="2" fillId="13" borderId="0" xfId="0" applyFont="1" applyFill="1" applyAlignment="1" applyProtection="1">
      <alignment vertical="center"/>
    </xf>
    <xf numFmtId="175" fontId="0" fillId="10" borderId="0" xfId="0" applyNumberFormat="1" applyFont="1" applyFill="1" applyAlignment="1" applyProtection="1">
      <alignment vertical="center"/>
    </xf>
    <xf numFmtId="169" fontId="0" fillId="9" borderId="0" xfId="0" applyNumberFormat="1" applyFont="1" applyFill="1" applyAlignment="1" applyProtection="1">
      <alignment vertical="center"/>
    </xf>
    <xf numFmtId="177" fontId="14" fillId="4" borderId="0" xfId="0" applyNumberFormat="1" applyFont="1" applyFill="1" applyAlignment="1" applyProtection="1">
      <alignment vertical="center"/>
    </xf>
    <xf numFmtId="178" fontId="0" fillId="0" borderId="0" xfId="0" applyNumberFormat="1" applyAlignment="1">
      <alignment vertical="center"/>
    </xf>
    <xf numFmtId="171" fontId="14" fillId="5" borderId="0" xfId="0" applyNumberFormat="1" applyFont="1" applyFill="1" applyBorder="1" applyAlignment="1" applyProtection="1">
      <alignment horizontal="center" vertical="center"/>
    </xf>
    <xf numFmtId="0" fontId="14" fillId="5" borderId="4" xfId="0" applyNumberFormat="1" applyFont="1" applyFill="1" applyBorder="1" applyAlignment="1" applyProtection="1">
      <alignment horizontal="center" vertical="center"/>
    </xf>
    <xf numFmtId="0" fontId="0" fillId="0" borderId="0" xfId="0" applyAlignment="1">
      <alignment horizontal="center" vertical="center"/>
    </xf>
    <xf numFmtId="0" fontId="16" fillId="14" borderId="0" xfId="3" applyFill="1"/>
    <xf numFmtId="0" fontId="16" fillId="0" borderId="0" xfId="3"/>
    <xf numFmtId="0" fontId="16" fillId="15" borderId="0" xfId="3" applyFill="1"/>
    <xf numFmtId="0" fontId="19" fillId="14" borderId="8" xfId="3" applyFont="1" applyFill="1" applyBorder="1" applyAlignment="1">
      <alignment horizontal="center" vertical="center" wrapText="1"/>
    </xf>
    <xf numFmtId="0" fontId="19" fillId="17" borderId="8" xfId="3" applyFont="1" applyFill="1" applyBorder="1" applyAlignment="1">
      <alignment horizontal="center" vertical="center" wrapText="1"/>
    </xf>
    <xf numFmtId="0" fontId="20" fillId="18" borderId="8" xfId="3" applyFont="1" applyFill="1" applyBorder="1" applyAlignment="1">
      <alignment horizontal="left" vertical="center" indent="1"/>
    </xf>
    <xf numFmtId="0" fontId="20" fillId="19" borderId="8" xfId="3" applyFont="1" applyFill="1" applyBorder="1" applyAlignment="1">
      <alignment horizontal="left" vertical="center" indent="1"/>
    </xf>
    <xf numFmtId="179" fontId="21" fillId="19" borderId="8" xfId="3" applyNumberFormat="1" applyFont="1" applyFill="1" applyBorder="1" applyAlignment="1">
      <alignment horizontal="center" vertical="center"/>
    </xf>
    <xf numFmtId="0" fontId="20" fillId="19" borderId="8" xfId="3" applyFont="1" applyFill="1" applyBorder="1" applyAlignment="1">
      <alignment horizontal="center" vertical="center"/>
    </xf>
    <xf numFmtId="0" fontId="22" fillId="14" borderId="8" xfId="3" applyFont="1" applyFill="1" applyBorder="1" applyAlignment="1">
      <alignment horizontal="left" vertical="center" indent="1"/>
    </xf>
    <xf numFmtId="179" fontId="22" fillId="14" borderId="8" xfId="3" applyNumberFormat="1" applyFont="1" applyFill="1" applyBorder="1" applyAlignment="1">
      <alignment horizontal="center" vertical="center"/>
    </xf>
    <xf numFmtId="0" fontId="22" fillId="14" borderId="8" xfId="3" applyFont="1" applyFill="1" applyBorder="1" applyAlignment="1">
      <alignment horizontal="center" vertical="center"/>
    </xf>
    <xf numFmtId="0" fontId="1" fillId="2" borderId="1" xfId="0" applyFont="1" applyFill="1" applyBorder="1" applyAlignment="1" applyProtection="1">
      <alignment horizontal="center" vertical="center" wrapText="1"/>
    </xf>
    <xf numFmtId="0" fontId="1" fillId="2" borderId="2" xfId="0" applyFont="1" applyFill="1" applyBorder="1" applyAlignment="1" applyProtection="1">
      <alignment horizontal="center" vertical="center" wrapText="1"/>
      <protection locked="0"/>
    </xf>
    <xf numFmtId="0" fontId="1" fillId="2" borderId="2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NumberFormat="1" applyAlignment="1">
      <alignment horizontal="center" vertical="center"/>
    </xf>
    <xf numFmtId="22" fontId="0" fillId="0" borderId="0" xfId="0" applyNumberFormat="1"/>
    <xf numFmtId="178" fontId="0" fillId="0" borderId="0" xfId="0" applyNumberFormat="1" applyAlignment="1">
      <alignment horizontal="center" vertical="center"/>
    </xf>
    <xf numFmtId="0" fontId="1" fillId="3" borderId="0" xfId="0" applyFont="1" applyFill="1" applyAlignment="1">
      <alignment horizontal="center"/>
    </xf>
    <xf numFmtId="0" fontId="25" fillId="0" borderId="0" xfId="0" applyFont="1" applyBorder="1" applyAlignment="1">
      <alignment horizontal="left" indent="1"/>
    </xf>
    <xf numFmtId="180" fontId="26" fillId="0" borderId="0" xfId="0" applyNumberFormat="1" applyFont="1" applyBorder="1" applyAlignment="1">
      <alignment horizontal="right"/>
    </xf>
    <xf numFmtId="0" fontId="25" fillId="0" borderId="10" xfId="0" applyFont="1" applyBorder="1" applyAlignment="1">
      <alignment horizontal="left" indent="1"/>
    </xf>
    <xf numFmtId="0" fontId="25" fillId="0" borderId="11" xfId="0" applyFont="1" applyBorder="1" applyAlignment="1">
      <alignment horizontal="left" indent="1"/>
    </xf>
    <xf numFmtId="174" fontId="26" fillId="0" borderId="11" xfId="0" applyNumberFormat="1" applyFont="1" applyBorder="1" applyAlignment="1">
      <alignment horizontal="right"/>
    </xf>
    <xf numFmtId="181" fontId="26" fillId="0" borderId="11" xfId="0" applyNumberFormat="1" applyFont="1" applyBorder="1" applyAlignment="1">
      <alignment horizontal="right"/>
    </xf>
    <xf numFmtId="1" fontId="26" fillId="0" borderId="11" xfId="0" applyNumberFormat="1" applyFont="1" applyBorder="1" applyAlignment="1">
      <alignment horizontal="right"/>
    </xf>
    <xf numFmtId="9" fontId="26" fillId="0" borderId="11" xfId="0" applyNumberFormat="1" applyFont="1" applyBorder="1" applyAlignment="1">
      <alignment horizontal="right"/>
    </xf>
    <xf numFmtId="182" fontId="26" fillId="0" borderId="11" xfId="0" applyNumberFormat="1" applyFont="1" applyBorder="1" applyAlignment="1">
      <alignment horizontal="right"/>
    </xf>
    <xf numFmtId="183" fontId="26" fillId="0" borderId="11" xfId="0" applyNumberFormat="1" applyFont="1" applyBorder="1" applyAlignment="1">
      <alignment horizontal="right"/>
    </xf>
    <xf numFmtId="22" fontId="26" fillId="0" borderId="11" xfId="0" applyNumberFormat="1" applyFont="1" applyBorder="1" applyAlignment="1">
      <alignment horizontal="right"/>
    </xf>
    <xf numFmtId="184" fontId="26" fillId="0" borderId="11" xfId="0" applyNumberFormat="1" applyFont="1" applyBorder="1" applyAlignment="1">
      <alignment horizontal="right"/>
    </xf>
    <xf numFmtId="175" fontId="26" fillId="0" borderId="10" xfId="0" applyNumberFormat="1" applyFont="1" applyBorder="1" applyAlignment="1">
      <alignment horizontal="right"/>
    </xf>
    <xf numFmtId="0" fontId="27" fillId="0" borderId="0" xfId="0" applyFont="1"/>
    <xf numFmtId="0" fontId="28" fillId="0" borderId="0" xfId="0" applyFont="1"/>
    <xf numFmtId="0" fontId="2" fillId="20" borderId="0" xfId="0" applyFont="1" applyFill="1"/>
    <xf numFmtId="14" fontId="0" fillId="0" borderId="0" xfId="0" applyNumberFormat="1"/>
    <xf numFmtId="185" fontId="0" fillId="0" borderId="0" xfId="0" applyNumberFormat="1"/>
    <xf numFmtId="0" fontId="29" fillId="0" borderId="0" xfId="0" applyFont="1"/>
    <xf numFmtId="0" fontId="2" fillId="21" borderId="0" xfId="0" applyFont="1" applyFill="1"/>
    <xf numFmtId="2" fontId="0" fillId="0" borderId="0" xfId="0" applyNumberFormat="1"/>
    <xf numFmtId="178" fontId="30" fillId="0" borderId="0" xfId="0" applyNumberFormat="1" applyFont="1" applyAlignment="1">
      <alignment horizontal="center" vertical="center"/>
    </xf>
    <xf numFmtId="178" fontId="0" fillId="0" borderId="0" xfId="0" applyNumberFormat="1" applyAlignment="1">
      <alignment horizontal="center"/>
    </xf>
    <xf numFmtId="0" fontId="1" fillId="3" borderId="12" xfId="0" applyFont="1" applyFill="1" applyBorder="1" applyAlignment="1">
      <alignment horizontal="center"/>
    </xf>
    <xf numFmtId="0" fontId="0" fillId="0" borderId="12" xfId="0" applyBorder="1"/>
    <xf numFmtId="3" fontId="0" fillId="0" borderId="12" xfId="0" applyNumberFormat="1" applyBorder="1"/>
    <xf numFmtId="2" fontId="0" fillId="0" borderId="12" xfId="0" applyNumberFormat="1" applyBorder="1"/>
    <xf numFmtId="185" fontId="0" fillId="0" borderId="12" xfId="0" applyNumberFormat="1" applyBorder="1"/>
    <xf numFmtId="0" fontId="7" fillId="11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24" fillId="0" borderId="0" xfId="0" applyFont="1" applyAlignment="1">
      <alignment horizontal="center"/>
    </xf>
    <xf numFmtId="0" fontId="31" fillId="22" borderId="0" xfId="0" applyFont="1" applyFill="1"/>
    <xf numFmtId="0" fontId="32" fillId="0" borderId="0" xfId="0" applyFont="1"/>
    <xf numFmtId="0" fontId="2" fillId="4" borderId="0" xfId="0" applyFont="1" applyFill="1" applyAlignment="1" applyProtection="1">
      <alignment horizontal="left" vertical="center"/>
    </xf>
    <xf numFmtId="0" fontId="7" fillId="11" borderId="0" xfId="0" applyFont="1" applyFill="1" applyAlignment="1" applyProtection="1">
      <alignment horizontal="center" vertical="center"/>
    </xf>
    <xf numFmtId="0" fontId="17" fillId="14" borderId="0" xfId="3" applyFont="1" applyFill="1" applyAlignment="1">
      <alignment horizontal="center" vertical="center"/>
    </xf>
    <xf numFmtId="0" fontId="16" fillId="0" borderId="0" xfId="3"/>
    <xf numFmtId="0" fontId="18" fillId="16" borderId="8" xfId="3" applyFont="1" applyFill="1" applyBorder="1" applyAlignment="1">
      <alignment horizontal="left" vertical="center" wrapText="1" indent="1"/>
    </xf>
    <xf numFmtId="0" fontId="23" fillId="16" borderId="9" xfId="3" applyFont="1" applyFill="1" applyBorder="1" applyAlignment="1">
      <alignment horizontal="left" vertical="center" wrapText="1"/>
    </xf>
    <xf numFmtId="0" fontId="23" fillId="16" borderId="0" xfId="3" applyFont="1" applyFill="1" applyBorder="1" applyAlignment="1">
      <alignment horizontal="left" vertical="center" wrapText="1"/>
    </xf>
    <xf numFmtId="186" fontId="0" fillId="0" borderId="0" xfId="0" applyNumberFormat="1" applyAlignment="1">
      <alignment horizontal="center" vertical="center"/>
    </xf>
    <xf numFmtId="186" fontId="0" fillId="0" borderId="12" xfId="0" applyNumberFormat="1" applyBorder="1"/>
    <xf numFmtId="186" fontId="14" fillId="5" borderId="5" xfId="0" applyNumberFormat="1" applyFont="1" applyFill="1" applyBorder="1" applyAlignment="1" applyProtection="1">
      <alignment horizontal="center" vertical="center"/>
      <protection locked="0"/>
    </xf>
    <xf numFmtId="0" fontId="14" fillId="5" borderId="5" xfId="0" applyNumberFormat="1" applyFont="1" applyFill="1" applyBorder="1" applyAlignment="1" applyProtection="1">
      <alignment horizontal="center" vertical="center"/>
      <protection locked="0"/>
    </xf>
    <xf numFmtId="0" fontId="14" fillId="5" borderId="5" xfId="0" applyNumberFormat="1" applyFont="1" applyFill="1" applyBorder="1" applyAlignment="1" applyProtection="1">
      <alignment horizontal="center" vertical="center"/>
    </xf>
    <xf numFmtId="0" fontId="14" fillId="5" borderId="6" xfId="0" applyNumberFormat="1" applyFont="1" applyFill="1" applyBorder="1" applyAlignment="1" applyProtection="1">
      <alignment horizontal="center" vertical="center"/>
    </xf>
    <xf numFmtId="165" fontId="14" fillId="5" borderId="6" xfId="0" applyNumberFormat="1" applyFont="1" applyFill="1" applyBorder="1" applyAlignment="1" applyProtection="1">
      <alignment horizontal="center" vertical="center"/>
    </xf>
    <xf numFmtId="3" fontId="0" fillId="0" borderId="0" xfId="0" applyNumberFormat="1" applyAlignment="1">
      <alignment horizontal="center" vertical="center"/>
    </xf>
    <xf numFmtId="0" fontId="31" fillId="3" borderId="0" xfId="0" applyFont="1" applyFill="1" applyAlignment="1" applyProtection="1">
      <alignment horizontal="left" vertical="center"/>
    </xf>
    <xf numFmtId="0" fontId="31" fillId="3" borderId="0" xfId="0" applyFont="1" applyFill="1" applyAlignment="1" applyProtection="1">
      <alignment vertical="center"/>
    </xf>
  </cellXfs>
  <cellStyles count="4">
    <cellStyle name="Monétaire" xfId="1" builtinId="4"/>
    <cellStyle name="Normal" xfId="0" builtinId="0"/>
    <cellStyle name="Normal 2" xfId="3" xr:uid="{5B3433FA-88A8-4F62-AF4C-5EF3B3DB537F}"/>
    <cellStyle name="Pourcentage" xfId="2" builtinId="5"/>
  </cellStyles>
  <dxfs count="61">
    <dxf>
      <numFmt numFmtId="27" formatCode="dd/mm/yyyy\ hh:mm"/>
    </dxf>
    <dxf>
      <numFmt numFmtId="19" formatCode="dd/mm/yyyy"/>
    </dxf>
    <dxf>
      <font>
        <color rgb="FF333F4F"/>
      </font>
      <numFmt numFmtId="0" formatCode="General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/>
        <top style="thin">
          <color rgb="FFB4C6E7"/>
        </top>
        <bottom style="thin">
          <color rgb="FFB4C6E7"/>
        </bottom>
      </border>
      <protection locked="1" hidden="0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 patternType="solid">
          <fgColor indexed="64"/>
          <bgColor rgb="FFFFE699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333F4F"/>
      </font>
      <numFmt numFmtId="164" formatCode="#,##0.00\ \€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0" formatCode="General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70" formatCode="#,##0&quot;km&quot;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86" formatCode="dd/mm/yyyy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0" hidden="0"/>
    </dxf>
    <dxf>
      <font>
        <color rgb="FF333F4F"/>
      </font>
      <numFmt numFmtId="0" formatCode="General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numFmt numFmtId="178" formatCode="dd/mm/yyyy\ hh:mm:ss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86" formatCode="dd/mm/yyyy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78" formatCode="dd/mm/yyyy\ hh:mm:ss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color rgb="FF333F4F"/>
      </font>
      <numFmt numFmtId="13" formatCode="0%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/>
        <top style="thin">
          <color rgb="FFB4C6E7"/>
        </top>
        <bottom style="thin">
          <color rgb="FFB4C6E7"/>
        </bottom>
        <vertical/>
        <horizontal/>
      </border>
      <protection locked="1" hidden="0"/>
    </dxf>
    <dxf>
      <font>
        <color rgb="FF333F4F"/>
      </font>
      <numFmt numFmtId="164" formatCode="#,##0.00\ \€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65" formatCode="0.000\ \€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color rgb="FF333F4F"/>
      </font>
      <numFmt numFmtId="2" formatCode="0.00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color rgb="FF333F4F"/>
      </font>
      <numFmt numFmtId="164" formatCode="#,##0.00\ \€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strike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71" formatCode="0.0&quot; c€/km&quot;"/>
      <fill>
        <patternFill patternType="solid">
          <fgColor indexed="64"/>
          <bgColor rgb="FFF2F7FB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68" formatCode="0.000&quot;€/L&quot;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67" formatCode="0.00&quot;L&quot;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70" formatCode="#,##0&quot;km&quot;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  <vertical/>
        <horizontal/>
      </border>
      <protection locked="1" hidden="0"/>
    </dxf>
    <dxf>
      <border outline="0">
        <top style="thin">
          <color rgb="FFB4C6E7"/>
        </top>
      </border>
    </dxf>
    <dxf>
      <border outline="0">
        <left style="thin">
          <color rgb="FF4472C4"/>
        </left>
        <right style="thin">
          <color rgb="FF4472C4"/>
        </right>
        <top style="medium">
          <color rgb="FF4472C4"/>
        </top>
        <bottom style="thin">
          <color rgb="FF4472C4"/>
        </bottom>
      </border>
    </dxf>
    <dxf>
      <font>
        <color rgb="FF333F4F"/>
      </font>
      <fill>
        <patternFill patternType="solid">
          <fgColor indexed="64"/>
          <bgColor rgb="FFF2F7FB"/>
        </patternFill>
      </fill>
      <alignment vertical="center" textRotation="0" wrapText="0" indent="0" justifyLastLine="0" shrinkToFit="0" readingOrder="0"/>
      <protection locked="1"/>
    </dxf>
    <dxf>
      <border outline="0">
        <bottom style="thin">
          <color rgb="FFB4C6E7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FFFF"/>
        <name val="Calibri"/>
        <family val="2"/>
        <scheme val="minor"/>
      </font>
      <fill>
        <patternFill patternType="solid">
          <fgColor indexed="64"/>
          <bgColor rgb="FF4472C4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B4C6E7"/>
        </left>
        <right style="thin">
          <color rgb="FFB4C6E7"/>
        </right>
        <top/>
        <bottom/>
      </border>
      <protection locked="1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0563C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openxmlformats.org/officeDocument/2006/relationships/customXml" Target="../customXml/item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externalLink" Target="externalLinks/externalLink1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>
                <a:solidFill>
                  <a:srgbClr val="1B3A5C"/>
                </a:solidFill>
              </a:defRPr>
            </a:pPr>
            <a:r>
              <a:rPr lang="fr-FR"/>
              <a:t>Evolution du prix E85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Prix E85 (€/L)</c:v>
          </c:tx>
          <c:marker>
            <c:symbol val="circle"/>
            <c:size val="5"/>
            <c:spPr>
              <a:ln w="25400">
                <a:solidFill>
                  <a:srgbClr val="2E75B6"/>
                </a:solidFill>
              </a:ln>
            </c:spPr>
          </c:marker>
          <c:val>
            <c:numRef>
              <c:f>Graphiques!$P$2:$P$10</c:f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Graphiques!$O$2:$O$10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3FCB-4A18-B58D-3F87D55EE0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49811743"/>
        <c:axId val="1149801663"/>
      </c:lineChart>
      <c:catAx>
        <c:axId val="114981174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Date</a:t>
                </a:r>
              </a:p>
            </c:rich>
          </c:tx>
          <c:overlay val="0"/>
        </c:title>
        <c:numFmt formatCode="mmm\ yy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fr-FR"/>
          </a:p>
        </c:txPr>
        <c:crossAx val="1149801663"/>
        <c:crosses val="autoZero"/>
        <c:auto val="1"/>
        <c:lblAlgn val="ctr"/>
        <c:lblOffset val="100"/>
        <c:noMultiLvlLbl val="1"/>
      </c:catAx>
      <c:valAx>
        <c:axId val="1149801663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€/L</a:t>
                </a:r>
              </a:p>
            </c:rich>
          </c:tx>
          <c:overlay val="0"/>
        </c:title>
        <c:numFmt formatCode="0\.000" sourceLinked="0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fr-FR"/>
          </a:p>
        </c:txPr>
        <c:crossAx val="1149811743"/>
        <c:crosses val="autoZero"/>
        <c:crossBetween val="between"/>
      </c:valAx>
      <c:spPr>
        <a:solidFill>
          <a:srgbClr val="F8FAFC"/>
        </a:solidFill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ysClr val="window" lastClr="FFFFFF"/>
    </a:solidFill>
    <a:ln w="6350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>
                <a:solidFill>
                  <a:srgbClr val="1B3A5C"/>
                </a:solidFill>
              </a:defRPr>
            </a:pPr>
            <a:r>
              <a:rPr lang="fr-FR"/>
              <a:t>⛽ Consommation L/100 km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L/100 km</c:v>
          </c:tx>
          <c:spPr>
            <a:ln w="25400">
              <a:solidFill>
                <a:srgbClr val="1D9E75"/>
              </a:solidFill>
            </a:ln>
          </c:spPr>
          <c:marker>
            <c:symbol val="circle"/>
            <c:size val="5"/>
            <c:spPr>
              <a:ln w="25400">
                <a:solidFill>
                  <a:srgbClr val="1D9E75"/>
                </a:solidFill>
              </a:ln>
            </c:spPr>
          </c:marker>
          <c:cat>
            <c:numRef>
              <c:f>Graphiques!$A$45:$A$53</c:f>
              <c:numCache>
                <c:formatCode>m/d/yyyy</c:formatCode>
                <c:ptCount val="9"/>
                <c:pt idx="0">
                  <c:v>46135</c:v>
                </c:pt>
                <c:pt idx="1">
                  <c:v>46140</c:v>
                </c:pt>
                <c:pt idx="2">
                  <c:v>46146</c:v>
                </c:pt>
                <c:pt idx="3">
                  <c:v>46148</c:v>
                </c:pt>
                <c:pt idx="4">
                  <c:v>46151</c:v>
                </c:pt>
                <c:pt idx="5">
                  <c:v>46154</c:v>
                </c:pt>
                <c:pt idx="6">
                  <c:v>46157</c:v>
                </c:pt>
                <c:pt idx="7">
                  <c:v>46161</c:v>
                </c:pt>
                <c:pt idx="8">
                  <c:v>46164.083333333336</c:v>
                </c:pt>
              </c:numCache>
            </c:numRef>
          </c:cat>
          <c:val>
            <c:numRef>
              <c:f>Graphiques!$B$45:$B$53</c:f>
              <c:numCache>
                <c:formatCode>0.00</c:formatCode>
                <c:ptCount val="9"/>
                <c:pt idx="0">
                  <c:v>5.4</c:v>
                </c:pt>
                <c:pt idx="1">
                  <c:v>5.39</c:v>
                </c:pt>
                <c:pt idx="2">
                  <c:v>5.62</c:v>
                </c:pt>
                <c:pt idx="3">
                  <c:v>5.97</c:v>
                </c:pt>
                <c:pt idx="4">
                  <c:v>6.76</c:v>
                </c:pt>
                <c:pt idx="5">
                  <c:v>7.04</c:v>
                </c:pt>
                <c:pt idx="6">
                  <c:v>6.59</c:v>
                </c:pt>
                <c:pt idx="7">
                  <c:v>6.77</c:v>
                </c:pt>
                <c:pt idx="8">
                  <c:v>6.91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1A5-4362-B400-3B7B05C762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49805503"/>
        <c:axId val="1149812703"/>
      </c:lineChart>
      <c:dateAx>
        <c:axId val="114980550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Date</a:t>
                </a:r>
              </a:p>
            </c:rich>
          </c:tx>
          <c:overlay val="0"/>
        </c:title>
        <c:numFmt formatCode="mmm\ yy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fr-FR"/>
          </a:p>
        </c:txPr>
        <c:crossAx val="1149812703"/>
        <c:crosses val="autoZero"/>
        <c:auto val="1"/>
        <c:lblOffset val="100"/>
        <c:baseTimeUnit val="days"/>
      </c:dateAx>
      <c:valAx>
        <c:axId val="1149812703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L/100 km</a:t>
                </a:r>
              </a:p>
            </c:rich>
          </c:tx>
          <c:overlay val="0"/>
        </c:title>
        <c:numFmt formatCode="0\.00" sourceLinked="0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fr-FR"/>
          </a:p>
        </c:txPr>
        <c:crossAx val="1149805503"/>
        <c:crosses val="autoZero"/>
        <c:crossBetween val="between"/>
      </c:valAx>
      <c:spPr>
        <a:solidFill>
          <a:srgbClr val="F0FDF4"/>
        </a:solidFill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ysClr val="window" lastClr="FFFFFF"/>
    </a:solidFill>
    <a:ln w="6350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74386</xdr:colOff>
      <xdr:row>12</xdr:row>
      <xdr:rowOff>91621</xdr:rowOff>
    </xdr:from>
    <xdr:to>
      <xdr:col>2</xdr:col>
      <xdr:colOff>1725386</xdr:colOff>
      <xdr:row>14</xdr:row>
      <xdr:rowOff>13607</xdr:rowOff>
    </xdr:to>
    <xdr:sp macro="NouveauPlein" textlink="">
      <xdr:nvSpPr>
        <xdr:cNvPr id="2" name="btnNouveauPlein">
          <a:extLst>
            <a:ext uri="{FF2B5EF4-FFF2-40B4-BE49-F238E27FC236}">
              <a16:creationId xmlns:a16="http://schemas.microsoft.com/office/drawing/2014/main" id="{4B013921-BB98-470D-C7E4-8FB286913F82}"/>
            </a:ext>
          </a:extLst>
        </xdr:cNvPr>
        <xdr:cNvSpPr/>
      </xdr:nvSpPr>
      <xdr:spPr>
        <a:xfrm>
          <a:off x="3163207" y="2540907"/>
          <a:ext cx="1651000" cy="330200"/>
        </a:xfrm>
        <a:prstGeom prst="roundRect">
          <a:avLst/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>
              <a:solidFill>
                <a:srgbClr val="FFFFFF"/>
              </a:solidFill>
            </a:rPr>
            <a:t>+ Nouveau plein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0</xdr:row>
      <xdr:rowOff>50800</xdr:rowOff>
    </xdr:from>
    <xdr:to>
      <xdr:col>12</xdr:col>
      <xdr:colOff>558800</xdr:colOff>
      <xdr:row>1</xdr:row>
      <xdr:rowOff>0</xdr:rowOff>
    </xdr:to>
    <xdr:sp macro="CreerSuiviAuto" textlink="">
      <xdr:nvSpPr>
        <xdr:cNvPr id="13" name="Rectangle : coins arrondis 12">
          <a:extLst>
            <a:ext uri="{FF2B5EF4-FFF2-40B4-BE49-F238E27FC236}">
              <a16:creationId xmlns:a16="http://schemas.microsoft.com/office/drawing/2014/main" id="{69E744CD-F446-EF4B-0998-725B8999420A}"/>
            </a:ext>
          </a:extLst>
        </xdr:cNvPr>
        <xdr:cNvSpPr/>
      </xdr:nvSpPr>
      <xdr:spPr>
        <a:xfrm>
          <a:off x="9744075" y="50800"/>
          <a:ext cx="1397000" cy="330200"/>
        </a:xfrm>
        <a:prstGeom prst="roundRect">
          <a:avLst/>
        </a:prstGeom>
        <a:solidFill>
          <a:srgbClr val="2E75B6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>
              <a:solidFill>
                <a:srgbClr val="FFFFFF"/>
              </a:solidFill>
            </a:rPr>
            <a:t>↻ Rafraichir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365126</xdr:colOff>
      <xdr:row>0</xdr:row>
      <xdr:rowOff>71438</xdr:rowOff>
    </xdr:from>
    <xdr:to>
      <xdr:col>1</xdr:col>
      <xdr:colOff>559594</xdr:colOff>
      <xdr:row>0</xdr:row>
      <xdr:rowOff>583407</xdr:rowOff>
    </xdr:to>
    <xdr:sp macro="[0]!OuvrirFormulairePlein" textlink="">
      <xdr:nvSpPr>
        <xdr:cNvPr id="3" name="BtnAjouterPlein">
          <a:extLst>
            <a:ext uri="{FF2B5EF4-FFF2-40B4-BE49-F238E27FC236}">
              <a16:creationId xmlns:a16="http://schemas.microsoft.com/office/drawing/2014/main" id="{5A346DE2-E17F-4B84-91AE-0918B5DCEA52}"/>
            </a:ext>
          </a:extLst>
        </xdr:cNvPr>
        <xdr:cNvSpPr/>
      </xdr:nvSpPr>
      <xdr:spPr>
        <a:xfrm>
          <a:off x="365126" y="71438"/>
          <a:ext cx="2635249" cy="511969"/>
        </a:xfrm>
        <a:prstGeom prst="roundRect">
          <a:avLst/>
        </a:prstGeom>
        <a:solidFill>
          <a:srgbClr val="1B3A5C"/>
        </a:solidFill>
        <a:ln w="25400" cap="flat" cmpd="sng" algn="ctr">
          <a:solidFill>
            <a:srgbClr val="F0A500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fr-FR" sz="1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➕  Ajouter un plein</a:t>
          </a:r>
        </a:p>
      </xdr:txBody>
    </xdr:sp>
    <xdr:clientData/>
  </xdr:twoCellAnchor>
  <xdr:twoCellAnchor>
    <xdr:from>
      <xdr:col>2</xdr:col>
      <xdr:colOff>76200</xdr:colOff>
      <xdr:row>26</xdr:row>
      <xdr:rowOff>0</xdr:rowOff>
    </xdr:from>
    <xdr:to>
      <xdr:col>2</xdr:col>
      <xdr:colOff>279400</xdr:colOff>
      <xdr:row>26</xdr:row>
      <xdr:rowOff>3175</xdr:rowOff>
    </xdr:to>
    <xdr:sp macro="[1]!dp_core.gridDP_Click" textlink="">
      <xdr:nvSpPr>
        <xdr:cNvPr id="8" name="Rectangle 7">
          <a:extLst>
            <a:ext uri="{FF2B5EF4-FFF2-40B4-BE49-F238E27FC236}">
              <a16:creationId xmlns:a16="http://schemas.microsoft.com/office/drawing/2014/main" id="{9835A806-22B6-453C-AA21-29CC1DAA8BB6}"/>
            </a:ext>
          </a:extLst>
        </xdr:cNvPr>
        <xdr:cNvSpPr/>
      </xdr:nvSpPr>
      <xdr:spPr>
        <a:xfrm>
          <a:off x="3921919" y="4476750"/>
          <a:ext cx="203200" cy="205581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666750</xdr:colOff>
      <xdr:row>0</xdr:row>
      <xdr:rowOff>71437</xdr:rowOff>
    </xdr:from>
    <xdr:to>
      <xdr:col>3</xdr:col>
      <xdr:colOff>1071563</xdr:colOff>
      <xdr:row>0</xdr:row>
      <xdr:rowOff>583406</xdr:rowOff>
    </xdr:to>
    <xdr:sp macro="[0]!ImporterNouveauxPleins" textlink="">
      <xdr:nvSpPr>
        <xdr:cNvPr id="4" name="BtnAjouterPlein">
          <a:extLst>
            <a:ext uri="{FF2B5EF4-FFF2-40B4-BE49-F238E27FC236}">
              <a16:creationId xmlns:a16="http://schemas.microsoft.com/office/drawing/2014/main" id="{7A7AC3FB-832A-4673-8BEB-5AA1E9FA5B33}"/>
            </a:ext>
          </a:extLst>
        </xdr:cNvPr>
        <xdr:cNvSpPr/>
      </xdr:nvSpPr>
      <xdr:spPr>
        <a:xfrm>
          <a:off x="3107531" y="71437"/>
          <a:ext cx="3214688" cy="511969"/>
        </a:xfrm>
        <a:prstGeom prst="roundRect">
          <a:avLst/>
        </a:prstGeom>
        <a:solidFill>
          <a:srgbClr val="1B3A5C"/>
        </a:solidFill>
        <a:ln w="25400" cap="flat" cmpd="sng" algn="ctr">
          <a:solidFill>
            <a:srgbClr val="F0A500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800"/>
            <a:t>📥 Importer les pleins Google</a:t>
          </a:r>
          <a:endParaRPr kumimoji="0" lang="fr-FR" sz="1800" b="1" i="0" u="none" strike="noStrike" kern="0" cap="none" spc="0" normalizeH="0" baseline="0" noProof="0">
            <a:ln>
              <a:noFill/>
            </a:ln>
            <a:solidFill>
              <a:srgbClr val="FFFFFF"/>
            </a:solidFill>
            <a:effectLst/>
            <a:uLnTx/>
            <a:uFillTx/>
            <a:latin typeface="Calibri" panose="020F0502020204030204"/>
          </a:endParaRPr>
        </a:p>
      </xdr:txBody>
    </xdr:sp>
    <xdr:clientData/>
  </xdr:twoCellAnchor>
  <xdr:twoCellAnchor>
    <xdr:from>
      <xdr:col>12</xdr:col>
      <xdr:colOff>1205933</xdr:colOff>
      <xdr:row>0</xdr:row>
      <xdr:rowOff>71438</xdr:rowOff>
    </xdr:from>
    <xdr:to>
      <xdr:col>14</xdr:col>
      <xdr:colOff>301058</xdr:colOff>
      <xdr:row>0</xdr:row>
      <xdr:rowOff>583407</xdr:rowOff>
    </xdr:to>
    <xdr:sp macro="[0]!ReinitialiserImport" textlink="">
      <xdr:nvSpPr>
        <xdr:cNvPr id="6" name="BtnAjouterPlein">
          <a:extLst>
            <a:ext uri="{FF2B5EF4-FFF2-40B4-BE49-F238E27FC236}">
              <a16:creationId xmlns:a16="http://schemas.microsoft.com/office/drawing/2014/main" id="{684F55F8-E8AB-422D-8BB6-C1010F4C59EF}"/>
            </a:ext>
          </a:extLst>
        </xdr:cNvPr>
        <xdr:cNvSpPr/>
      </xdr:nvSpPr>
      <xdr:spPr>
        <a:xfrm>
          <a:off x="16826933" y="71438"/>
          <a:ext cx="2156732" cy="511969"/>
        </a:xfrm>
        <a:prstGeom prst="roundRect">
          <a:avLst/>
        </a:prstGeom>
        <a:solidFill>
          <a:srgbClr val="1B3A5C"/>
        </a:solidFill>
        <a:ln w="25400" cap="flat" cmpd="sng" algn="ctr">
          <a:solidFill>
            <a:srgbClr val="F0A500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fr-FR" sz="1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Réinitialisation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2</xdr:row>
      <xdr:rowOff>0</xdr:rowOff>
    </xdr:from>
    <xdr:to>
      <xdr:col>11</xdr:col>
      <xdr:colOff>228600</xdr:colOff>
      <xdr:row>18</xdr:row>
      <xdr:rowOff>101600</xdr:rowOff>
    </xdr:to>
    <xdr:graphicFrame macro="">
      <xdr:nvGraphicFramePr>
        <xdr:cNvPr id="14" name="Graphique 13">
          <a:extLst>
            <a:ext uri="{FF2B5EF4-FFF2-40B4-BE49-F238E27FC236}">
              <a16:creationId xmlns:a16="http://schemas.microsoft.com/office/drawing/2014/main" id="{085340E1-CD82-6491-3418-A824BA30FE5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0</xdr:colOff>
      <xdr:row>42</xdr:row>
      <xdr:rowOff>0</xdr:rowOff>
    </xdr:from>
    <xdr:to>
      <xdr:col>11</xdr:col>
      <xdr:colOff>228600</xdr:colOff>
      <xdr:row>58</xdr:row>
      <xdr:rowOff>101600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481F02F4-7760-8634-AA88-6D73B1B8CD0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fdaub\AppData\Roaming\Microsoft\Excel\XLSTART\samradapps_datepicker_221114.xlam" TargetMode="External"/><Relationship Id="rId1" Type="http://schemas.microsoft.com/office/2006/relationships/xlExternalLinkPath/xlStartup" Target="samradapps_datepicker_221114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_data12345"/>
      <sheetName val="Sheet1"/>
    </sheetNames>
    <definedNames>
      <definedName name="dp_core.gridDP_Click"/>
    </definedNames>
    <sheetDataSet>
      <sheetData sheetId="0"/>
      <sheetData sheetId="1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" connectionId="1" xr16:uid="{3D21676B-12A2-4EA0-B488-97FBA688539E}" autoFormatId="16" applyNumberFormats="0" applyBorderFormats="0" applyFontFormats="0" applyPatternFormats="0" applyAlignmentFormats="0" applyWidthHeightFormats="0">
  <queryTableRefresh nextId="19" unboundColumnsRight="2">
    <queryTableFields count="16">
      <queryTableField id="1" name="Horodatage" tableColumnId="1"/>
      <queryTableField id="2" name="Date" tableColumnId="2"/>
      <queryTableField id="3" name="Type" tableColumnId="3"/>
      <queryTableField id="4" name="Km" tableColumnId="4"/>
      <queryTableField id="5" name="Litres" tableColumnId="5"/>
      <queryTableField id="6" name="PrixL" tableColumnId="6"/>
      <queryTableField id="8" name="Station essence" tableColumnId="8"/>
      <queryTableField id="9" name="Vehicule" tableColumnId="9"/>
      <queryTableField id="10" name="E85 station" tableColumnId="10"/>
      <queryTableField id="11" name="SP98 station" tableColumnId="11"/>
      <queryTableField id="12" name="SP95 station" tableColumnId="12"/>
      <queryTableField id="13" name="E10 station" tableColumnId="13"/>
      <queryTableField id="14" name="Gazole station" tableColumnId="14"/>
      <queryTableField id="15" name="GPLc station" tableColumnId="15"/>
      <queryTableField id="16" dataBound="0" tableColumnId="16"/>
      <queryTableField id="18" dataBound="0" tableColumnId="7"/>
    </queryTableFields>
    <queryTableDeletedFields count="1">
      <deletedField name="PrixS98"/>
    </queryTableDeleted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4CBBEF5-DAC6-4FFF-B9BF-F912C02B05A8}" name="GS_Pleins" displayName="GS_Pleins" ref="A1:P12" tableType="queryTable" totalsRowShown="0" headerRowDxfId="60" dataDxfId="59">
  <autoFilter ref="A1:P12" xr:uid="{74CBBEF5-DAC6-4FFF-B9BF-F912C02B05A8}"/>
  <sortState xmlns:xlrd2="http://schemas.microsoft.com/office/spreadsheetml/2017/richdata2" ref="A2:P12">
    <sortCondition ref="B1:B12"/>
  </sortState>
  <tableColumns count="16">
    <tableColumn id="1" xr3:uid="{D1245828-BB9F-457F-9D89-03E146E97A20}" uniqueName="1" name="Horodatage" queryTableFieldId="1" dataDxfId="27"/>
    <tableColumn id="2" xr3:uid="{6AFDA1AD-8B7E-4056-B820-4B105507BC22}" uniqueName="2" name="Date" queryTableFieldId="2" dataDxfId="25"/>
    <tableColumn id="3" xr3:uid="{0E3159AD-DEC3-4CB0-8263-673EE4364DE4}" uniqueName="3" name="Type" queryTableFieldId="3" dataDxfId="26"/>
    <tableColumn id="4" xr3:uid="{9CA1100B-4402-4A99-881C-A70EA8E0EBA0}" uniqueName="4" name="Km" queryTableFieldId="4" dataDxfId="58"/>
    <tableColumn id="5" xr3:uid="{3DC79D37-A57D-45A6-B68B-28F91AE90D1B}" uniqueName="5" name="Litres" queryTableFieldId="5" dataDxfId="57"/>
    <tableColumn id="6" xr3:uid="{E20F9B47-933F-4695-AC5B-7BFCB43AA70B}" uniqueName="6" name="PrixL" queryTableFieldId="6" dataDxfId="56"/>
    <tableColumn id="8" xr3:uid="{1810D7F1-75C0-4692-B633-9344880F4391}" uniqueName="8" name="Station essence" queryTableFieldId="8" dataDxfId="55"/>
    <tableColumn id="9" xr3:uid="{B958E2B1-5DEB-4CEF-B30E-3537BD55A8E8}" uniqueName="9" name="Vehicule" queryTableFieldId="9" dataDxfId="54"/>
    <tableColumn id="10" xr3:uid="{7955E5A1-C834-43AD-B7C1-739EA1C9FB0B}" uniqueName="10" name="E85 station" queryTableFieldId="10" dataDxfId="53"/>
    <tableColumn id="11" xr3:uid="{168A26EB-A626-4924-B067-7D0EE30B248F}" uniqueName="11" name="SP98 station" queryTableFieldId="11" dataDxfId="52"/>
    <tableColumn id="12" xr3:uid="{18AADF40-972E-454B-9FD3-FD2D10CCF4B9}" uniqueName="12" name="SP95 station" queryTableFieldId="12" dataDxfId="51"/>
    <tableColumn id="13" xr3:uid="{A1195D38-1809-462B-9D20-AE18F43CBC4B}" uniqueName="13" name="E10 station" queryTableFieldId="13" dataDxfId="50"/>
    <tableColumn id="14" xr3:uid="{9F059A0B-5171-4FB9-8BF4-0CBD57021E52}" uniqueName="14" name="Gazole station" queryTableFieldId="14" dataDxfId="49"/>
    <tableColumn id="15" xr3:uid="{BE30AC6F-80E2-4B6C-B72A-506C9FC60853}" uniqueName="15" name="GPLc station" queryTableFieldId="15" dataDxfId="48"/>
    <tableColumn id="16" xr3:uid="{DD5EAF57-67B9-4006-88AF-5A82745A6E1D}" uniqueName="16" name="sync_id" queryTableFieldId="16" dataDxfId="24"/>
    <tableColumn id="7" xr3:uid="{217649AA-00FB-44C2-B916-78329111BFA4}" uniqueName="7" name="Modifie_local" queryTableFieldId="18" dataDxfId="23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5026A0A4-A267-4216-A1A9-2BA630F4B02C}" name="DonneesExternes_1" displayName="DonneesExternes_1" ref="A1:Y12" totalsRowShown="0">
  <autoFilter ref="A1:Y12" xr:uid="{5026A0A4-A267-4216-A1A9-2BA630F4B02C}"/>
  <tableColumns count="25">
    <tableColumn id="1" xr3:uid="{9D8C4607-3C88-4FFD-AB8D-97E5611C0BF5}" name="Horodatage" dataDxfId="1"/>
    <tableColumn id="2" xr3:uid="{D0C0E911-65EA-47EF-B188-9428473B9980}" name="Date" dataDxfId="0"/>
    <tableColumn id="3" xr3:uid="{93F870CC-8BF5-4480-8BD6-4DEE03447ADA}" name="Type"/>
    <tableColumn id="4" xr3:uid="{332EBEAC-7C3D-47C8-B6DC-079AA35E2BA4}" name="Km compteur"/>
    <tableColumn id="5" xr3:uid="{E53C5281-9515-4BC3-BF3B-B7239C426301}" name="Nb. Litres"/>
    <tableColumn id="6" xr3:uid="{52CE7623-4EAD-4DC2-95B1-C717782BC4A8}" name="Prix €/L"/>
    <tableColumn id="7" xr3:uid="{BFC34CA0-CF65-4C61-AB36-26E97E90C413}" name="Station essence"/>
    <tableColumn id="8" xr3:uid="{8533B4A2-4E04-41DA-B481-B92E36C192E3}" name="Véhicule"/>
    <tableColumn id="9" xr3:uid="{562D899B-D0D4-487D-98AC-64DCCA2950A4}" name="E85 station (€/L)"/>
    <tableColumn id="10" xr3:uid="{F00B6160-D331-4081-B07D-714CAE4054A3}" name="SP98 station (€/L)"/>
    <tableColumn id="11" xr3:uid="{1A995599-ABC5-44FF-81F1-E515A877665B}" name="SP95 station (€/L)"/>
    <tableColumn id="12" xr3:uid="{D431D826-88F7-49FC-8275-5601938CD678}" name="E10 station (€/L)"/>
    <tableColumn id="13" xr3:uid="{5F34550F-D49A-4BFA-97C1-E2BBD301774F}" name="Gazole station (€/L)"/>
    <tableColumn id="14" xr3:uid="{D82CE99A-B5DF-47E6-9C36-A02A26310673}" name="GPLc station (€/L)"/>
    <tableColumn id="15" xr3:uid="{69336AB6-16E6-42AE-86B2-B275188969B5}" name="sync_id"/>
    <tableColumn id="16" xr3:uid="{C86ACB29-7EC1-4FBD-B396-2EEDA2EC55F1}" name="Photo ticket"/>
    <tableColumn id="17" xr3:uid="{A4503627-9EF1-449F-9F79-726CDCF151C6}" name="Colonne1"/>
    <tableColumn id="18" xr3:uid="{10C1ECC7-7F8B-443E-BEAE-CCC1C8C7A1C0}" name="Colonne2"/>
    <tableColumn id="19" xr3:uid="{9E9C6659-71F2-411B-94F6-2E63C9FAB2C3}" name="Colonne3"/>
    <tableColumn id="20" xr3:uid="{076F2719-3D9E-4126-8FB7-D96B67CFED38}" name="Colonne4"/>
    <tableColumn id="21" xr3:uid="{96F31CD4-703C-4CA7-B503-8B18CCA4C8D1}" name="Colonne5"/>
    <tableColumn id="22" xr3:uid="{FC775382-CC01-443C-8691-C863F72C2855}" name="Colonne6"/>
    <tableColumn id="23" xr3:uid="{020C549B-B3AF-489D-B04F-DC91E5538B48}" name="Colonne7"/>
    <tableColumn id="24" xr3:uid="{C2BE9887-DE52-4356-958A-5BA53FCA6236}" name="Colonne8"/>
    <tableColumn id="25" xr3:uid="{FA7810B0-A5EE-4F6F-82ED-51843F095724}" name="Colonne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4445FC0-C625-43E5-94E2-2EEB3945CA6D}" name="Tableau2" displayName="Tableau2" ref="A15:O26" totalsRowShown="0" headerRowDxfId="47" dataDxfId="45" headerRowBorderDxfId="46" tableBorderDxfId="44" totalsRowBorderDxfId="43">
  <autoFilter ref="A15:O26" xr:uid="{D4445FC0-C625-43E5-94E2-2EEB3945CA6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B3766572-D793-472B-9B61-AE00BCFA8DF1}" name="N°" dataDxfId="22">
      <calculatedColumnFormula>IF(B16="","",A15+1)</calculatedColumnFormula>
    </tableColumn>
    <tableColumn id="2" xr3:uid="{D9E9EBFF-BC9D-4E59-9822-91D7DEC1E7CE}" name="Date" dataDxfId="21">
      <calculatedColumnFormula>IFERROR(INDEX(GS_Pleins[Date],ROW()-15),"")</calculatedColumnFormula>
    </tableColumn>
    <tableColumn id="11" xr3:uid="{A77486BA-32D8-4661-BA23-1144AE2FD0EC}" name="Type" dataDxfId="19">
      <calculatedColumnFormula array="1">IFERROR(INDEX(GS_Pleins[Type],ROW()-ROW(Tableau2[#Headers])),"")</calculatedColumnFormula>
    </tableColumn>
    <tableColumn id="3" xr3:uid="{6C87F133-7224-4AAB-ACB2-666E8B7315B5}" name="Km compteur" dataDxfId="20">
      <calculatedColumnFormula>IFERROR(INDEX(GS_Pleins[Km],ROW()-15),"")</calculatedColumnFormula>
    </tableColumn>
    <tableColumn id="15" xr3:uid="{E9E70181-907F-4D1A-BD9D-156B992A2880}" name="Nb. km" dataDxfId="42">
      <calculatedColumnFormula>IF(AND(ISNUMBER(D15),Tableau2[[#This Row],[Km compteur]]&lt;&gt;""),Tableau2[[#This Row],[Km compteur]]-D15,"")</calculatedColumnFormula>
    </tableColumn>
    <tableColumn id="4" xr3:uid="{3A0D4E50-8BA3-407C-9B3A-C5CAC40CCD2A}" name="Nb. Litres" dataDxfId="41">
      <calculatedColumnFormula>IFERROR(INDEX(GS_Pleins[Litres],ROW()-15),"")</calculatedColumnFormula>
    </tableColumn>
    <tableColumn id="5" xr3:uid="{A61BA34E-E60B-4F70-A1D9-62090C37C449}" name="Prix €/L" dataDxfId="40">
      <calculatedColumnFormula>IFERROR(INDEX(GS_Pleins[PrixL],ROW()-15),"")</calculatedColumnFormula>
    </tableColumn>
    <tableColumn id="13" xr3:uid="{C796B9E8-7AC6-4345-B44F-194876D2515D}" name="Coût c€/km" dataDxfId="39">
      <calculatedColumnFormula>IF(OR(D16="",D15="",I16="",ISTEXT(D15)),"",F16/(D16-D15)*100)</calculatedColumnFormula>
    </tableColumn>
    <tableColumn id="6" xr3:uid="{7A10B093-08A0-4955-A678-47B342940366}" name="Coût Plein (€)" dataDxfId="38">
      <calculatedColumnFormula>IF(F16="","",F16*G16)</calculatedColumnFormula>
    </tableColumn>
    <tableColumn id="7" xr3:uid="{0D4F331E-E5DE-4D78-8EE4-6B964BF0DB88}" name="Conso. (L/100km)" dataDxfId="37">
      <calculatedColumnFormula>IF(OR(D16="",D15="",F16="",ISTEXT(D15)),"",F16/(D16-D15)*100)</calculatedColumnFormula>
    </tableColumn>
    <tableColumn id="8" xr3:uid="{8C4BCB7E-42BC-494E-A304-19A9848326C2}" name="Prix S98 jour (€/L)" dataDxfId="36">
      <calculatedColumnFormula>IF(Tableau2[[#This Row],[Type]]="Super 98",Tableau2[[#This Row],[Prix €/L]],"")</calculatedColumnFormula>
    </tableColumn>
    <tableColumn id="9" xr3:uid="{4EC10D81-8AEF-46AB-9708-2100131EA8C3}" name="Coût Plein équiv. S98 (€)" dataDxfId="35">
      <calculatedColumnFormula>IF(OR(Tableau2[[#This Row],[Type]]&lt;&gt;"SuperEthanol E85",Tableau2[[#This Row],[Nb. Litres]]="",Tableau2[[#This Row],[Prix S98 jour (€/L)]]=""),"",Tableau2[[#This Row],[Nb. Litres]]/(1+$J$7)*Tableau2[[#This Row],[Prix S98 jour (€/L)]])</calculatedColumnFormula>
    </tableColumn>
    <tableColumn id="12" xr3:uid="{53B007FA-86AC-415F-A27B-EC4741D27804}" name="Economie sur le plein" dataDxfId="34" dataCellStyle="Pourcentage">
      <calculatedColumnFormula>IF(Tableau2[[#This Row],[Type]]&lt;&gt;"SuperEthanol E85","",IF(Tableau2[[#This Row],[Coût Plein (€)]]="","",(Tableau2[[#This Row],[Coût Plein équiv. S98 (€)]]-Tableau2[[#This Row],[Coût Plein (€)]])/Tableau2[[#This Row],[Coût Plein équiv. S98 (€)]]))</calculatedColumnFormula>
    </tableColumn>
    <tableColumn id="10" xr3:uid="{436D9507-2E21-4590-9695-CF16C9221C8B}" name="Économie cumulée (€)" dataDxfId="18">
      <calculatedColumnFormula>IF(Tableau2[[#This Row],[Type]]&lt;&gt;"SuperEthanol E85","",IF(Tableau2[[#This Row],[Coût Plein (€)]]="","",IF(N15&lt;&gt;"",N15+(L16-Tableau2[[#This Row],[Coût Plein (€)]]),L16-Tableau2[[#This Row],[Coût Plein (€)]])))</calculatedColumnFormula>
    </tableColumn>
    <tableColumn id="14" xr3:uid="{CE918074-8635-46A0-A964-AE0193F8015F}" name="Station essence" dataDxfId="2">
      <calculatedColumnFormula array="1">IFERROR(INDEX(GS_Pleins[Station essence],ROW()-15),"")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9FF1E80-3419-47CB-985E-C8F1F24F3AAB}" name="tbl_carburant" displayName="tbl_carburant" ref="B2:B8" totalsRowShown="0" headerRowDxfId="33" dataDxfId="32">
  <autoFilter ref="B2:B8" xr:uid="{99FF1E80-3419-47CB-985E-C8F1F24F3AAB}">
    <filterColumn colId="0">
      <customFilters>
        <customFilter operator="notEqual" val=" "/>
      </customFilters>
    </filterColumn>
  </autoFilter>
  <sortState xmlns:xlrd2="http://schemas.microsoft.com/office/spreadsheetml/2017/richdata2" ref="B3:B6">
    <sortCondition ref="B2:B8"/>
  </sortState>
  <tableColumns count="1">
    <tableColumn id="1" xr3:uid="{EF414AD0-5A80-4F5D-8EFD-EB3F9D30D2D5}" name="Type carburant" dataDxfId="31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5AB3DD4-00E3-4CC0-B281-01FA80424A7F}" name="tbl_stationEssence" displayName="tbl_stationEssence" ref="D2:D50" totalsRowShown="0" headerRowDxfId="30" dataDxfId="29">
  <autoFilter ref="D2:D50" xr:uid="{25AB3DD4-00E3-4CC0-B281-01FA80424A7F}">
    <filterColumn colId="0">
      <customFilters>
        <customFilter operator="notEqual" val=" "/>
      </customFilters>
    </filterColumn>
  </autoFilter>
  <sortState xmlns:xlrd2="http://schemas.microsoft.com/office/spreadsheetml/2017/richdata2" ref="D3:D27">
    <sortCondition ref="D2:D27"/>
  </sortState>
  <tableColumns count="1">
    <tableColumn id="1" xr3:uid="{15E89797-5AED-42ED-A3B9-120C7515903D}" name="Station essence utilisée" dataDxfId="2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8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1f8beb8-a0bd-42e3-86a0-2205cb80abd0}">
  <we:reference id="WA200009404" version="1.0.0.8" store="en-US" storeType="OMEX"/>
  <we:alternateReferences/>
  <we:properties>
    <we:property name="Microsoft.Office.CampaignId" value="&quot;none&quot;"/>
    <we:property name="claude.fileId" value="&quot;850df9d0-474b-4746-b4f4-3edb7dfc0d36&quot;"/>
  </we:properties>
  <we:bindings/>
  <we:snapshot xmlns:r="http://schemas.openxmlformats.org/officeDocument/2006/relationships"/>
</we:webextension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B760CC-84CB-4FC7-BEF8-C103EDE06A9F}">
  <sheetPr codeName="Feuil1"/>
  <dimension ref="A1:F56"/>
  <sheetViews>
    <sheetView workbookViewId="0"/>
  </sheetViews>
  <sheetFormatPr baseColWidth="10" defaultRowHeight="15.75" x14ac:dyDescent="0.25"/>
  <sheetData>
    <row r="1" spans="1: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25">
      <c r="A2">
        <v>1</v>
      </c>
      <c r="B2" s="2">
        <v>46126</v>
      </c>
      <c r="C2" t="s">
        <v>28</v>
      </c>
      <c r="D2" t="s">
        <v>29</v>
      </c>
      <c r="E2" t="s">
        <v>30</v>
      </c>
      <c r="F2" t="s">
        <v>31</v>
      </c>
    </row>
    <row r="3" spans="1:6" x14ac:dyDescent="0.25">
      <c r="A3">
        <v>2</v>
      </c>
      <c r="B3" s="2">
        <v>46126</v>
      </c>
      <c r="C3" t="s">
        <v>32</v>
      </c>
      <c r="D3" t="s">
        <v>33</v>
      </c>
      <c r="E3" t="s">
        <v>34</v>
      </c>
      <c r="F3" t="s">
        <v>35</v>
      </c>
    </row>
    <row r="4" spans="1:6" x14ac:dyDescent="0.25">
      <c r="A4">
        <v>3</v>
      </c>
      <c r="B4" s="2">
        <v>46126</v>
      </c>
      <c r="C4" t="s">
        <v>36</v>
      </c>
      <c r="D4" t="s">
        <v>37</v>
      </c>
      <c r="E4" t="s">
        <v>38</v>
      </c>
      <c r="F4" t="s">
        <v>39</v>
      </c>
    </row>
    <row r="5" spans="1:6" x14ac:dyDescent="0.25">
      <c r="A5">
        <v>4</v>
      </c>
      <c r="B5" s="2">
        <v>46126</v>
      </c>
      <c r="C5" t="s">
        <v>43</v>
      </c>
      <c r="D5" t="s">
        <v>44</v>
      </c>
      <c r="E5" t="s">
        <v>45</v>
      </c>
      <c r="F5" t="s">
        <v>46</v>
      </c>
    </row>
    <row r="6" spans="1:6" x14ac:dyDescent="0.25">
      <c r="A6">
        <v>5</v>
      </c>
      <c r="B6" s="2">
        <v>46126</v>
      </c>
      <c r="C6" t="s">
        <v>47</v>
      </c>
      <c r="D6" t="s">
        <v>48</v>
      </c>
      <c r="E6" t="s">
        <v>49</v>
      </c>
      <c r="F6" t="s">
        <v>50</v>
      </c>
    </row>
    <row r="7" spans="1:6" x14ac:dyDescent="0.25">
      <c r="A7">
        <v>6</v>
      </c>
      <c r="B7" s="2">
        <v>46126</v>
      </c>
      <c r="C7" t="s">
        <v>51</v>
      </c>
      <c r="D7" t="s">
        <v>52</v>
      </c>
      <c r="E7" t="s">
        <v>53</v>
      </c>
      <c r="F7" t="s">
        <v>54</v>
      </c>
    </row>
    <row r="8" spans="1:6" x14ac:dyDescent="0.25">
      <c r="A8">
        <v>7</v>
      </c>
      <c r="B8" s="2">
        <v>46126</v>
      </c>
      <c r="C8" t="s">
        <v>62</v>
      </c>
      <c r="D8" t="s">
        <v>63</v>
      </c>
      <c r="E8" t="s">
        <v>64</v>
      </c>
      <c r="F8" t="s">
        <v>65</v>
      </c>
    </row>
    <row r="9" spans="1:6" x14ac:dyDescent="0.25">
      <c r="A9">
        <v>8</v>
      </c>
      <c r="B9" s="2">
        <v>46126</v>
      </c>
      <c r="C9" t="s">
        <v>68</v>
      </c>
      <c r="D9" t="s">
        <v>69</v>
      </c>
      <c r="E9" t="s">
        <v>70</v>
      </c>
      <c r="F9" t="s">
        <v>71</v>
      </c>
    </row>
    <row r="10" spans="1:6" x14ac:dyDescent="0.25">
      <c r="A10">
        <v>9</v>
      </c>
      <c r="B10" s="2">
        <v>46126</v>
      </c>
      <c r="C10" t="s">
        <v>73</v>
      </c>
      <c r="D10" t="s">
        <v>74</v>
      </c>
      <c r="E10" t="s">
        <v>75</v>
      </c>
      <c r="F10" t="s">
        <v>76</v>
      </c>
    </row>
    <row r="11" spans="1:6" x14ac:dyDescent="0.25">
      <c r="A11">
        <v>10</v>
      </c>
      <c r="B11" s="2">
        <v>46126</v>
      </c>
      <c r="C11" t="s">
        <v>77</v>
      </c>
      <c r="D11" t="s">
        <v>78</v>
      </c>
      <c r="E11" t="s">
        <v>79</v>
      </c>
      <c r="F11" t="s">
        <v>80</v>
      </c>
    </row>
    <row r="12" spans="1:6" x14ac:dyDescent="0.25">
      <c r="A12">
        <v>11</v>
      </c>
      <c r="B12" s="2">
        <v>46126</v>
      </c>
      <c r="C12" t="s">
        <v>83</v>
      </c>
      <c r="D12" t="s">
        <v>84</v>
      </c>
      <c r="E12" t="s">
        <v>85</v>
      </c>
      <c r="F12" t="s">
        <v>86</v>
      </c>
    </row>
    <row r="13" spans="1:6" x14ac:dyDescent="0.25">
      <c r="A13">
        <v>12</v>
      </c>
      <c r="B13" s="2">
        <v>46126</v>
      </c>
      <c r="C13" t="s">
        <v>87</v>
      </c>
      <c r="D13" t="s">
        <v>88</v>
      </c>
      <c r="E13" t="s">
        <v>89</v>
      </c>
      <c r="F13" t="s">
        <v>90</v>
      </c>
    </row>
    <row r="14" spans="1:6" x14ac:dyDescent="0.25">
      <c r="A14">
        <v>13</v>
      </c>
      <c r="B14" s="2">
        <v>46126</v>
      </c>
      <c r="C14" t="s">
        <v>91</v>
      </c>
      <c r="D14" t="s">
        <v>92</v>
      </c>
      <c r="E14" t="s">
        <v>93</v>
      </c>
      <c r="F14" t="s">
        <v>94</v>
      </c>
    </row>
    <row r="15" spans="1:6" x14ac:dyDescent="0.25">
      <c r="A15">
        <v>22</v>
      </c>
      <c r="B15" s="2">
        <v>46153</v>
      </c>
      <c r="C15" t="s">
        <v>131</v>
      </c>
      <c r="D15" t="s">
        <v>132</v>
      </c>
      <c r="E15" t="s">
        <v>133</v>
      </c>
      <c r="F15" t="s">
        <v>134</v>
      </c>
    </row>
    <row r="16" spans="1:6" x14ac:dyDescent="0.25">
      <c r="A16">
        <v>23</v>
      </c>
      <c r="B16" s="2">
        <v>46153</v>
      </c>
      <c r="C16" t="s">
        <v>137</v>
      </c>
      <c r="D16" t="s">
        <v>138</v>
      </c>
      <c r="E16" t="s">
        <v>139</v>
      </c>
      <c r="F16" t="s">
        <v>140</v>
      </c>
    </row>
    <row r="17" spans="1:6" x14ac:dyDescent="0.25">
      <c r="A17">
        <v>24</v>
      </c>
      <c r="B17" s="2">
        <v>46153</v>
      </c>
      <c r="C17" t="s">
        <v>141</v>
      </c>
      <c r="D17" t="s">
        <v>142</v>
      </c>
      <c r="E17" t="s">
        <v>143</v>
      </c>
      <c r="F17" t="s">
        <v>144</v>
      </c>
    </row>
    <row r="18" spans="1:6" x14ac:dyDescent="0.25">
      <c r="A18">
        <v>17</v>
      </c>
      <c r="B18" s="2">
        <v>46138</v>
      </c>
      <c r="C18" t="s">
        <v>95</v>
      </c>
      <c r="D18" t="s">
        <v>96</v>
      </c>
      <c r="E18" t="s">
        <v>97</v>
      </c>
      <c r="F18" t="s">
        <v>98</v>
      </c>
    </row>
    <row r="19" spans="1:6" x14ac:dyDescent="0.25">
      <c r="A19">
        <v>18</v>
      </c>
      <c r="B19" s="2">
        <v>46146</v>
      </c>
      <c r="C19" t="s">
        <v>110</v>
      </c>
      <c r="D19" t="s">
        <v>111</v>
      </c>
      <c r="E19" t="s">
        <v>112</v>
      </c>
      <c r="F19" t="s">
        <v>113</v>
      </c>
    </row>
    <row r="20" spans="1:6" x14ac:dyDescent="0.25">
      <c r="A20">
        <v>19</v>
      </c>
      <c r="B20" s="2">
        <v>46146</v>
      </c>
      <c r="C20" t="s">
        <v>115</v>
      </c>
      <c r="D20" t="s">
        <v>116</v>
      </c>
      <c r="E20" t="s">
        <v>117</v>
      </c>
      <c r="F20" t="s">
        <v>118</v>
      </c>
    </row>
    <row r="21" spans="1:6" x14ac:dyDescent="0.25">
      <c r="A21">
        <v>20</v>
      </c>
      <c r="B21" s="2">
        <v>46146</v>
      </c>
      <c r="C21" t="s">
        <v>121</v>
      </c>
      <c r="D21" t="s">
        <v>122</v>
      </c>
      <c r="E21" t="s">
        <v>123</v>
      </c>
      <c r="F21" t="s">
        <v>124</v>
      </c>
    </row>
    <row r="22" spans="1:6" x14ac:dyDescent="0.25">
      <c r="A22">
        <v>21</v>
      </c>
      <c r="B22" s="2">
        <v>46148</v>
      </c>
      <c r="C22" t="s">
        <v>127</v>
      </c>
      <c r="D22" t="s">
        <v>128</v>
      </c>
      <c r="E22" t="s">
        <v>129</v>
      </c>
      <c r="F22" t="s">
        <v>130</v>
      </c>
    </row>
    <row r="23" spans="1:6" x14ac:dyDescent="0.25">
      <c r="A23">
        <v>25</v>
      </c>
      <c r="B23" s="2">
        <v>46153</v>
      </c>
      <c r="C23" t="s">
        <v>145</v>
      </c>
      <c r="D23" t="s">
        <v>146</v>
      </c>
      <c r="E23" t="s">
        <v>147</v>
      </c>
      <c r="F23" t="s">
        <v>148</v>
      </c>
    </row>
    <row r="24" spans="1:6" x14ac:dyDescent="0.25">
      <c r="A24">
        <v>26</v>
      </c>
      <c r="B24" s="2">
        <v>46153</v>
      </c>
      <c r="C24" t="s">
        <v>150</v>
      </c>
      <c r="D24" t="s">
        <v>151</v>
      </c>
      <c r="E24" t="s">
        <v>152</v>
      </c>
      <c r="F24" t="s">
        <v>153</v>
      </c>
    </row>
    <row r="25" spans="1:6" x14ac:dyDescent="0.25">
      <c r="A25">
        <v>27</v>
      </c>
      <c r="B25" s="2">
        <v>46153</v>
      </c>
      <c r="C25" t="s">
        <v>154</v>
      </c>
      <c r="D25" t="s">
        <v>155</v>
      </c>
      <c r="E25" t="s">
        <v>156</v>
      </c>
      <c r="F25" t="s">
        <v>157</v>
      </c>
    </row>
    <row r="26" spans="1:6" x14ac:dyDescent="0.25">
      <c r="A26">
        <v>28</v>
      </c>
      <c r="B26" s="2">
        <v>46153</v>
      </c>
      <c r="C26" t="s">
        <v>158</v>
      </c>
      <c r="D26" t="s">
        <v>159</v>
      </c>
      <c r="E26" t="s">
        <v>160</v>
      </c>
      <c r="F26" t="s">
        <v>161</v>
      </c>
    </row>
    <row r="27" spans="1:6" x14ac:dyDescent="0.25">
      <c r="A27">
        <v>29</v>
      </c>
      <c r="B27" s="2">
        <v>46153</v>
      </c>
      <c r="C27" t="s">
        <v>162</v>
      </c>
      <c r="D27" t="s">
        <v>163</v>
      </c>
      <c r="E27" t="s">
        <v>164</v>
      </c>
      <c r="F27" t="s">
        <v>165</v>
      </c>
    </row>
    <row r="28" spans="1:6" x14ac:dyDescent="0.25">
      <c r="A28">
        <v>30</v>
      </c>
      <c r="B28" s="2">
        <v>46153</v>
      </c>
      <c r="C28" t="s">
        <v>166</v>
      </c>
      <c r="D28" t="s">
        <v>167</v>
      </c>
      <c r="E28" t="s">
        <v>168</v>
      </c>
      <c r="F28" t="s">
        <v>169</v>
      </c>
    </row>
    <row r="29" spans="1:6" x14ac:dyDescent="0.25">
      <c r="A29">
        <v>31</v>
      </c>
      <c r="B29" s="2">
        <v>46153</v>
      </c>
      <c r="C29" t="s">
        <v>170</v>
      </c>
      <c r="D29" t="s">
        <v>171</v>
      </c>
      <c r="E29" t="s">
        <v>172</v>
      </c>
      <c r="F29" t="s">
        <v>173</v>
      </c>
    </row>
    <row r="30" spans="1:6" x14ac:dyDescent="0.25">
      <c r="A30">
        <v>32</v>
      </c>
      <c r="B30" s="2">
        <v>46153</v>
      </c>
      <c r="C30" t="s">
        <v>174</v>
      </c>
      <c r="D30" t="s">
        <v>175</v>
      </c>
      <c r="E30" t="s">
        <v>176</v>
      </c>
      <c r="F30" t="s">
        <v>177</v>
      </c>
    </row>
    <row r="31" spans="1:6" x14ac:dyDescent="0.25">
      <c r="A31">
        <v>33</v>
      </c>
      <c r="B31" s="2">
        <v>46157</v>
      </c>
      <c r="C31" t="s">
        <v>178</v>
      </c>
      <c r="D31" t="s">
        <v>179</v>
      </c>
      <c r="E31" t="s">
        <v>180</v>
      </c>
      <c r="F31" t="s">
        <v>181</v>
      </c>
    </row>
    <row r="32" spans="1:6" x14ac:dyDescent="0.25">
      <c r="A32">
        <v>34</v>
      </c>
      <c r="B32" s="2">
        <v>46158</v>
      </c>
      <c r="C32" t="s">
        <v>187</v>
      </c>
      <c r="D32" t="s">
        <v>188</v>
      </c>
      <c r="E32" t="s">
        <v>189</v>
      </c>
      <c r="F32" t="s">
        <v>190</v>
      </c>
    </row>
    <row r="33" spans="1:6" x14ac:dyDescent="0.25">
      <c r="A33">
        <v>35</v>
      </c>
      <c r="B33" s="2">
        <v>46158</v>
      </c>
      <c r="C33" t="s">
        <v>192</v>
      </c>
      <c r="D33" t="s">
        <v>193</v>
      </c>
      <c r="E33" t="s">
        <v>194</v>
      </c>
      <c r="F33" t="s">
        <v>195</v>
      </c>
    </row>
    <row r="34" spans="1:6" x14ac:dyDescent="0.25">
      <c r="A34">
        <v>36</v>
      </c>
      <c r="B34" s="2">
        <v>46158</v>
      </c>
      <c r="C34" t="s">
        <v>197</v>
      </c>
      <c r="D34" t="s">
        <v>198</v>
      </c>
      <c r="E34" t="s">
        <v>199</v>
      </c>
      <c r="F34" t="s">
        <v>200</v>
      </c>
    </row>
    <row r="35" spans="1:6" x14ac:dyDescent="0.25">
      <c r="A35">
        <v>37</v>
      </c>
      <c r="B35" s="2">
        <v>46158</v>
      </c>
      <c r="C35" t="s">
        <v>201</v>
      </c>
      <c r="D35" t="s">
        <v>202</v>
      </c>
      <c r="E35" t="s">
        <v>203</v>
      </c>
      <c r="F35" t="s">
        <v>204</v>
      </c>
    </row>
    <row r="36" spans="1:6" x14ac:dyDescent="0.25">
      <c r="A36">
        <v>38</v>
      </c>
      <c r="B36" s="2">
        <v>46158</v>
      </c>
      <c r="C36" t="s">
        <v>205</v>
      </c>
      <c r="D36" t="s">
        <v>206</v>
      </c>
      <c r="E36" t="s">
        <v>207</v>
      </c>
      <c r="F36" t="s">
        <v>208</v>
      </c>
    </row>
    <row r="37" spans="1:6" x14ac:dyDescent="0.25">
      <c r="A37">
        <v>39</v>
      </c>
      <c r="B37" s="2">
        <v>46158</v>
      </c>
      <c r="C37" t="s">
        <v>209</v>
      </c>
      <c r="D37" t="s">
        <v>210</v>
      </c>
      <c r="E37" t="s">
        <v>211</v>
      </c>
      <c r="F37" t="s">
        <v>212</v>
      </c>
    </row>
    <row r="38" spans="1:6" x14ac:dyDescent="0.25">
      <c r="A38">
        <v>40</v>
      </c>
      <c r="B38" s="2">
        <v>46158</v>
      </c>
      <c r="C38" t="s">
        <v>213</v>
      </c>
      <c r="D38" t="s">
        <v>214</v>
      </c>
      <c r="E38" t="s">
        <v>215</v>
      </c>
      <c r="F38" t="s">
        <v>216</v>
      </c>
    </row>
    <row r="39" spans="1:6" x14ac:dyDescent="0.25">
      <c r="A39">
        <v>41</v>
      </c>
      <c r="B39" s="2">
        <v>46158</v>
      </c>
      <c r="C39" t="s">
        <v>217</v>
      </c>
      <c r="D39" t="s">
        <v>218</v>
      </c>
      <c r="E39" t="s">
        <v>219</v>
      </c>
      <c r="F39" t="s">
        <v>204</v>
      </c>
    </row>
    <row r="40" spans="1:6" x14ac:dyDescent="0.25">
      <c r="A40">
        <v>42</v>
      </c>
      <c r="B40" s="2">
        <v>46158</v>
      </c>
      <c r="C40" t="s">
        <v>220</v>
      </c>
      <c r="D40" t="s">
        <v>221</v>
      </c>
      <c r="E40" t="s">
        <v>222</v>
      </c>
      <c r="F40" t="s">
        <v>223</v>
      </c>
    </row>
    <row r="41" spans="1:6" x14ac:dyDescent="0.25">
      <c r="A41">
        <v>43</v>
      </c>
      <c r="B41" s="2">
        <v>46158</v>
      </c>
      <c r="C41" t="s">
        <v>224</v>
      </c>
      <c r="D41" t="s">
        <v>225</v>
      </c>
      <c r="E41" t="s">
        <v>226</v>
      </c>
      <c r="F41" t="s">
        <v>227</v>
      </c>
    </row>
    <row r="42" spans="1:6" x14ac:dyDescent="0.25">
      <c r="A42">
        <v>44</v>
      </c>
      <c r="B42" s="2">
        <v>46158</v>
      </c>
      <c r="C42" t="s">
        <v>228</v>
      </c>
      <c r="D42" t="s">
        <v>229</v>
      </c>
      <c r="E42" t="s">
        <v>230</v>
      </c>
      <c r="F42" t="s">
        <v>231</v>
      </c>
    </row>
    <row r="43" spans="1:6" x14ac:dyDescent="0.25">
      <c r="A43">
        <v>45</v>
      </c>
      <c r="B43" s="2">
        <v>46158</v>
      </c>
      <c r="C43" t="s">
        <v>232</v>
      </c>
      <c r="D43" t="s">
        <v>233</v>
      </c>
      <c r="E43" t="s">
        <v>234</v>
      </c>
      <c r="F43" t="s">
        <v>235</v>
      </c>
    </row>
    <row r="44" spans="1:6" x14ac:dyDescent="0.25">
      <c r="A44">
        <v>46</v>
      </c>
      <c r="B44" s="2">
        <v>46158</v>
      </c>
      <c r="C44" t="s">
        <v>236</v>
      </c>
      <c r="D44" t="s">
        <v>237</v>
      </c>
      <c r="E44" t="s">
        <v>238</v>
      </c>
      <c r="F44" t="s">
        <v>239</v>
      </c>
    </row>
    <row r="45" spans="1:6" x14ac:dyDescent="0.25">
      <c r="A45">
        <v>47</v>
      </c>
      <c r="B45" s="2">
        <v>46158</v>
      </c>
      <c r="C45" t="s">
        <v>240</v>
      </c>
      <c r="D45" t="s">
        <v>241</v>
      </c>
      <c r="E45" t="s">
        <v>242</v>
      </c>
      <c r="F45" t="s">
        <v>243</v>
      </c>
    </row>
    <row r="46" spans="1:6" x14ac:dyDescent="0.25">
      <c r="A46">
        <v>48</v>
      </c>
      <c r="B46" s="2">
        <v>46158</v>
      </c>
      <c r="C46" t="s">
        <v>244</v>
      </c>
      <c r="D46" t="s">
        <v>245</v>
      </c>
      <c r="E46" t="s">
        <v>246</v>
      </c>
      <c r="F46" t="s">
        <v>247</v>
      </c>
    </row>
    <row r="47" spans="1:6" x14ac:dyDescent="0.25">
      <c r="A47">
        <v>49</v>
      </c>
      <c r="B47" s="2">
        <v>46158</v>
      </c>
      <c r="C47" t="s">
        <v>248</v>
      </c>
      <c r="D47" t="s">
        <v>249</v>
      </c>
      <c r="E47" t="s">
        <v>250</v>
      </c>
      <c r="F47" t="s">
        <v>251</v>
      </c>
    </row>
    <row r="48" spans="1:6" x14ac:dyDescent="0.25">
      <c r="A48">
        <v>50</v>
      </c>
      <c r="B48" s="2">
        <v>46158</v>
      </c>
      <c r="C48" t="s">
        <v>252</v>
      </c>
      <c r="D48" t="s">
        <v>253</v>
      </c>
      <c r="E48" t="s">
        <v>254</v>
      </c>
      <c r="F48" t="s">
        <v>255</v>
      </c>
    </row>
    <row r="49" spans="1:6" x14ac:dyDescent="0.25">
      <c r="A49">
        <v>51</v>
      </c>
      <c r="B49" s="2">
        <v>46158</v>
      </c>
      <c r="C49" t="s">
        <v>256</v>
      </c>
      <c r="D49" t="s">
        <v>257</v>
      </c>
      <c r="E49" t="s">
        <v>258</v>
      </c>
      <c r="F49" t="s">
        <v>259</v>
      </c>
    </row>
    <row r="50" spans="1:6" x14ac:dyDescent="0.25">
      <c r="A50">
        <v>52</v>
      </c>
      <c r="B50" s="2">
        <v>46158</v>
      </c>
      <c r="C50" t="s">
        <v>260</v>
      </c>
      <c r="D50" t="s">
        <v>261</v>
      </c>
      <c r="E50" t="s">
        <v>262</v>
      </c>
      <c r="F50" t="s">
        <v>263</v>
      </c>
    </row>
    <row r="51" spans="1:6" x14ac:dyDescent="0.25">
      <c r="A51">
        <v>53</v>
      </c>
      <c r="B51" s="2">
        <v>46158</v>
      </c>
      <c r="C51" t="s">
        <v>264</v>
      </c>
      <c r="D51" t="s">
        <v>265</v>
      </c>
      <c r="E51" t="s">
        <v>266</v>
      </c>
      <c r="F51" t="s">
        <v>204</v>
      </c>
    </row>
    <row r="52" spans="1:6" x14ac:dyDescent="0.25">
      <c r="A52">
        <v>54</v>
      </c>
      <c r="B52" s="2">
        <v>46158</v>
      </c>
      <c r="C52" t="s">
        <v>267</v>
      </c>
      <c r="D52" t="s">
        <v>268</v>
      </c>
      <c r="E52" t="s">
        <v>269</v>
      </c>
      <c r="F52" t="s">
        <v>270</v>
      </c>
    </row>
    <row r="53" spans="1:6" x14ac:dyDescent="0.25">
      <c r="A53">
        <v>1</v>
      </c>
      <c r="B53" s="2">
        <v>46163</v>
      </c>
      <c r="C53" t="s">
        <v>278</v>
      </c>
      <c r="D53" t="s">
        <v>279</v>
      </c>
      <c r="E53" t="s">
        <v>280</v>
      </c>
      <c r="F53" t="s">
        <v>281</v>
      </c>
    </row>
    <row r="54" spans="1:6" x14ac:dyDescent="0.25">
      <c r="A54">
        <v>55</v>
      </c>
      <c r="B54" s="2">
        <v>46163</v>
      </c>
      <c r="C54" t="s">
        <v>282</v>
      </c>
      <c r="D54" t="s">
        <v>283</v>
      </c>
      <c r="E54" t="s">
        <v>284</v>
      </c>
      <c r="F54" t="s">
        <v>285</v>
      </c>
    </row>
    <row r="55" spans="1:6" x14ac:dyDescent="0.25">
      <c r="A55">
        <v>56</v>
      </c>
      <c r="B55" s="2">
        <v>46163</v>
      </c>
      <c r="C55" t="s">
        <v>286</v>
      </c>
      <c r="D55" t="s">
        <v>287</v>
      </c>
      <c r="E55" t="s">
        <v>288</v>
      </c>
      <c r="F55" t="s">
        <v>289</v>
      </c>
    </row>
    <row r="56" spans="1:6" x14ac:dyDescent="0.25">
      <c r="A56">
        <v>57</v>
      </c>
      <c r="B56" s="2">
        <v>46163</v>
      </c>
      <c r="C56" t="s">
        <v>290</v>
      </c>
      <c r="D56" t="s">
        <v>291</v>
      </c>
      <c r="E56" t="s">
        <v>292</v>
      </c>
      <c r="F56" t="s">
        <v>293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D001D3-7ED7-4B30-BEBF-CFEF77C5A473}">
  <sheetPr codeName="Feuil7"/>
  <dimension ref="A1:B14"/>
  <sheetViews>
    <sheetView showGridLines="0" showRowColHeaders="0" workbookViewId="0">
      <selection sqref="A1:B1"/>
    </sheetView>
  </sheetViews>
  <sheetFormatPr baseColWidth="10" defaultRowHeight="15.75" x14ac:dyDescent="0.25"/>
  <cols>
    <col min="1" max="1" width="42.625" customWidth="1"/>
    <col min="2" max="2" width="24.625" customWidth="1"/>
  </cols>
  <sheetData>
    <row r="1" spans="1:2" ht="38.1" customHeight="1" x14ac:dyDescent="0.35">
      <c r="A1" s="125" t="s">
        <v>347</v>
      </c>
      <c r="B1" s="126"/>
    </row>
    <row r="2" spans="1:2" x14ac:dyDescent="0.25">
      <c r="A2" s="127" t="s">
        <v>348</v>
      </c>
      <c r="B2" s="126"/>
    </row>
    <row r="3" spans="1:2" ht="3.75" customHeight="1" x14ac:dyDescent="0.25"/>
    <row r="4" spans="1:2" ht="26.1" customHeight="1" x14ac:dyDescent="0.25">
      <c r="A4" s="96" t="s">
        <v>349</v>
      </c>
      <c r="B4" s="96" t="s">
        <v>350</v>
      </c>
    </row>
    <row r="5" spans="1:2" ht="26.1" customHeight="1" x14ac:dyDescent="0.3">
      <c r="A5" s="97" t="s">
        <v>351</v>
      </c>
      <c r="B5" s="98">
        <f>IFERROR(SUM(GS_Pleins[Litres])/(MAX(GS_Pleins[Km])-MIN(GS_Pleins[Km]))*100,0)</f>
        <v>6.7528039479587258</v>
      </c>
    </row>
    <row r="6" spans="1:2" ht="26.1" customHeight="1" x14ac:dyDescent="0.3">
      <c r="A6" s="100" t="s">
        <v>352</v>
      </c>
      <c r="B6" s="101">
        <f>IFERROR(SUMPRODUCT(GS_Pleins[Litres],GS_Pleins[PrixL])/(MAX(GS_Pleins[Km])-MIN(GS_Pleins[Km])),0)</f>
        <v>7.4760829968595774E-2</v>
      </c>
    </row>
    <row r="7" spans="1:2" ht="26.1" customHeight="1" x14ac:dyDescent="0.3">
      <c r="A7" s="100" t="s">
        <v>353</v>
      </c>
      <c r="B7" s="102">
        <f ca="1">SUMPRODUCT((YEAR(GS_Pleins[Date])=YEAR(TODAY()))*GS_Pleins[Litres]*GS_Pleins[PrixL])</f>
        <v>166.64188999999999</v>
      </c>
    </row>
    <row r="8" spans="1:2" ht="26.1" customHeight="1" x14ac:dyDescent="0.3">
      <c r="A8" s="100" t="s">
        <v>354</v>
      </c>
      <c r="B8" s="103">
        <f ca="1">SUMPRODUCT((YEAR(GS_Pleins[Date])=YEAR(TODAY()))*1)</f>
        <v>11</v>
      </c>
    </row>
    <row r="9" spans="1:2" ht="26.1" customHeight="1" x14ac:dyDescent="0.3">
      <c r="A9" s="100" t="s">
        <v>355</v>
      </c>
      <c r="B9" s="104">
        <f>IFERROR(COUNTIF(GS_Pleins[Type],"*E85*")/COUNTA(GS_Pleins[Type]),0)</f>
        <v>0.72727272727272729</v>
      </c>
    </row>
    <row r="10" spans="1:2" ht="26.1" customHeight="1" x14ac:dyDescent="0.3">
      <c r="A10" s="100" t="s">
        <v>356</v>
      </c>
      <c r="B10" s="105">
        <f>IFERROR(SUMIF(GS_Pleins[Type],"*E85*",GS_Pleins[Litres])*(AVERAGEIFS(GS_Pleins[SP98 station],GS_Pleins[SP98 station],"&gt;0")-AVERAGEIF(GS_Pleins[Type],"*E85*",GS_Pleins[PrixL])),0)</f>
        <v>140.74416249999999</v>
      </c>
    </row>
    <row r="11" spans="1:2" ht="26.1" customHeight="1" x14ac:dyDescent="0.3">
      <c r="A11" s="100" t="s">
        <v>357</v>
      </c>
      <c r="B11" s="106">
        <f ca="1">IFERROR(AVERAGEIFS(GS_Pleins[PrixL],GS_Pleins[Type],"*E85*",GS_Pleins[Date],"&gt;="&amp;TODAY()-30),0)</f>
        <v>0.78875000000000006</v>
      </c>
    </row>
    <row r="12" spans="1:2" ht="26.1" customHeight="1" x14ac:dyDescent="0.3">
      <c r="A12" s="100" t="s">
        <v>358</v>
      </c>
      <c r="B12" s="107">
        <f>IFERROR(MAX(GS_Pleins[Horodatage]),"")</f>
        <v>46171.162939814814</v>
      </c>
    </row>
    <row r="13" spans="1:2" ht="26.1" customHeight="1" x14ac:dyDescent="0.3">
      <c r="A13" s="100" t="s">
        <v>359</v>
      </c>
      <c r="B13" s="108">
        <f>SUM(GS_Pleins[Litres])</f>
        <v>150.52000000000001</v>
      </c>
    </row>
    <row r="14" spans="1:2" ht="26.1" customHeight="1" x14ac:dyDescent="0.3">
      <c r="A14" s="99" t="s">
        <v>360</v>
      </c>
      <c r="B14" s="109">
        <f>IFERROR(MAX(GS_Pleins[Km])-MIN(GS_Pleins[Km]),0)</f>
        <v>2229</v>
      </c>
    </row>
  </sheetData>
  <mergeCells count="2">
    <mergeCell ref="A1:B1"/>
    <mergeCell ref="A2:B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AFD7C2-B85D-416A-9731-6CDF71811EF9}">
  <sheetPr codeName="Feuil4"/>
  <dimension ref="A1:P12"/>
  <sheetViews>
    <sheetView zoomScale="70" zoomScaleNormal="70" workbookViewId="0">
      <selection activeCell="C19" sqref="C19"/>
    </sheetView>
  </sheetViews>
  <sheetFormatPr baseColWidth="10" defaultRowHeight="15.75" x14ac:dyDescent="0.25"/>
  <cols>
    <col min="1" max="1" width="25.25" style="92" customWidth="1"/>
    <col min="2" max="2" width="15.375" style="92" customWidth="1"/>
    <col min="3" max="3" width="29.25" style="92" customWidth="1"/>
    <col min="4" max="4" width="9.625" style="92" customWidth="1"/>
    <col min="5" max="5" width="11.5" style="92" bestFit="1" customWidth="1"/>
    <col min="6" max="6" width="11" style="92" bestFit="1" customWidth="1"/>
    <col min="7" max="7" width="45.5" style="92" bestFit="1" customWidth="1"/>
    <col min="8" max="8" width="14.375" style="92" bestFit="1" customWidth="1"/>
    <col min="9" max="9" width="16" style="92" bestFit="1" customWidth="1"/>
    <col min="10" max="11" width="17.125" style="92" bestFit="1" customWidth="1"/>
    <col min="12" max="12" width="16" style="92" bestFit="1" customWidth="1"/>
    <col min="13" max="13" width="18.5" style="92" bestFit="1" customWidth="1"/>
    <col min="14" max="14" width="17.125" style="92" bestFit="1" customWidth="1"/>
    <col min="15" max="15" width="40.875" style="92" customWidth="1"/>
    <col min="16" max="16" width="11" style="119"/>
    <col min="17" max="16384" width="11" style="92"/>
  </cols>
  <sheetData>
    <row r="1" spans="1:16" x14ac:dyDescent="0.25">
      <c r="A1" s="75" t="s">
        <v>294</v>
      </c>
      <c r="B1" s="75" t="s">
        <v>1</v>
      </c>
      <c r="C1" s="75" t="s">
        <v>55</v>
      </c>
      <c r="D1" s="75" t="s">
        <v>305</v>
      </c>
      <c r="E1" s="75" t="s">
        <v>306</v>
      </c>
      <c r="F1" s="75" t="s">
        <v>307</v>
      </c>
      <c r="G1" s="75" t="s">
        <v>271</v>
      </c>
      <c r="H1" s="75" t="s">
        <v>308</v>
      </c>
      <c r="I1" s="75" t="s">
        <v>309</v>
      </c>
      <c r="J1" s="75" t="s">
        <v>310</v>
      </c>
      <c r="K1" s="75" t="s">
        <v>311</v>
      </c>
      <c r="L1" s="75" t="s">
        <v>312</v>
      </c>
      <c r="M1" s="75" t="s">
        <v>313</v>
      </c>
      <c r="N1" s="75" t="s">
        <v>314</v>
      </c>
      <c r="O1" s="75" t="s">
        <v>333</v>
      </c>
      <c r="P1" s="118" t="s">
        <v>366</v>
      </c>
    </row>
    <row r="2" spans="1:16" x14ac:dyDescent="0.25">
      <c r="A2" s="95">
        <v>46164.921076388891</v>
      </c>
      <c r="B2" s="137">
        <v>46131.083333333336</v>
      </c>
      <c r="C2" s="93" t="s">
        <v>81</v>
      </c>
      <c r="D2" s="93">
        <v>9812</v>
      </c>
      <c r="E2" s="93">
        <v>11.4</v>
      </c>
      <c r="F2" s="93">
        <v>1.9730000000000001</v>
      </c>
      <c r="G2" s="93" t="s">
        <v>345</v>
      </c>
      <c r="H2" s="93" t="s">
        <v>315</v>
      </c>
      <c r="I2" s="93"/>
      <c r="J2" s="93">
        <v>1.9730000000000001</v>
      </c>
      <c r="K2" s="93"/>
      <c r="L2" s="93"/>
      <c r="M2" s="93"/>
      <c r="N2" s="93"/>
      <c r="O2" s="93" t="s">
        <v>336</v>
      </c>
      <c r="P2" s="95"/>
    </row>
    <row r="3" spans="1:16" x14ac:dyDescent="0.25">
      <c r="A3" s="95">
        <v>46154</v>
      </c>
      <c r="B3" s="137">
        <v>46135.083333333336</v>
      </c>
      <c r="C3" s="93" t="s">
        <v>81</v>
      </c>
      <c r="D3" s="93">
        <v>10094</v>
      </c>
      <c r="E3" s="93">
        <v>15.22</v>
      </c>
      <c r="F3" s="93">
        <v>1.9259999999999999</v>
      </c>
      <c r="G3" s="93" t="s">
        <v>345</v>
      </c>
      <c r="H3" s="93" t="s">
        <v>315</v>
      </c>
      <c r="I3" s="93"/>
      <c r="J3" s="93">
        <v>1.9259999999999999</v>
      </c>
      <c r="K3" s="93"/>
      <c r="L3" s="93"/>
      <c r="M3" s="93"/>
      <c r="N3" s="93"/>
      <c r="O3" s="93" t="s">
        <v>337</v>
      </c>
      <c r="P3" s="95"/>
    </row>
    <row r="4" spans="1:16" x14ac:dyDescent="0.25">
      <c r="A4" s="95">
        <v>46131</v>
      </c>
      <c r="B4" s="137">
        <v>46140.083333333336</v>
      </c>
      <c r="C4" s="93" t="s">
        <v>81</v>
      </c>
      <c r="D4" s="93">
        <v>10349</v>
      </c>
      <c r="E4" s="93">
        <v>13.75</v>
      </c>
      <c r="F4" s="93">
        <v>2.0310000000000001</v>
      </c>
      <c r="G4" s="93" t="s">
        <v>346</v>
      </c>
      <c r="H4" s="93" t="s">
        <v>315</v>
      </c>
      <c r="I4" s="93"/>
      <c r="J4" s="93">
        <v>2.0310000000000001</v>
      </c>
      <c r="K4" s="93"/>
      <c r="L4" s="93"/>
      <c r="M4" s="93"/>
      <c r="N4" s="93"/>
      <c r="O4" s="93" t="s">
        <v>338</v>
      </c>
      <c r="P4" s="95"/>
    </row>
    <row r="5" spans="1:16" x14ac:dyDescent="0.25">
      <c r="A5" s="95">
        <v>46135</v>
      </c>
      <c r="B5" s="137">
        <v>46146.083333333336</v>
      </c>
      <c r="C5" s="93" t="s">
        <v>100</v>
      </c>
      <c r="D5" s="93">
        <v>10553</v>
      </c>
      <c r="E5" s="93">
        <v>11.47</v>
      </c>
      <c r="F5" s="93">
        <v>0.80900000000000005</v>
      </c>
      <c r="G5" s="93" t="s">
        <v>335</v>
      </c>
      <c r="H5" s="93" t="s">
        <v>315</v>
      </c>
      <c r="I5" s="93">
        <v>0.80900000000000005</v>
      </c>
      <c r="J5" s="93">
        <v>2.0790000000000002</v>
      </c>
      <c r="K5" s="93"/>
      <c r="L5" s="93"/>
      <c r="M5" s="93"/>
      <c r="N5" s="93"/>
      <c r="O5" s="93" t="s">
        <v>339</v>
      </c>
      <c r="P5" s="95"/>
    </row>
    <row r="6" spans="1:16" x14ac:dyDescent="0.25">
      <c r="A6" s="95">
        <v>46146</v>
      </c>
      <c r="B6" s="137">
        <v>46148.083333333336</v>
      </c>
      <c r="C6" s="93" t="s">
        <v>100</v>
      </c>
      <c r="D6" s="93">
        <v>10749</v>
      </c>
      <c r="E6" s="93">
        <v>11.71</v>
      </c>
      <c r="F6" s="93">
        <v>0.747</v>
      </c>
      <c r="G6" s="93" t="s">
        <v>335</v>
      </c>
      <c r="H6" s="93" t="s">
        <v>315</v>
      </c>
      <c r="I6" s="93">
        <v>0.747</v>
      </c>
      <c r="J6" s="93">
        <v>2.0979999999999999</v>
      </c>
      <c r="K6" s="93"/>
      <c r="L6" s="93"/>
      <c r="M6" s="93"/>
      <c r="N6" s="93"/>
      <c r="O6" s="93" t="s">
        <v>340</v>
      </c>
      <c r="P6" s="95"/>
    </row>
    <row r="7" spans="1:16" x14ac:dyDescent="0.25">
      <c r="A7" s="95">
        <v>46148</v>
      </c>
      <c r="B7" s="137">
        <v>46151.083333333336</v>
      </c>
      <c r="C7" s="93" t="s">
        <v>100</v>
      </c>
      <c r="D7" s="93">
        <v>10975</v>
      </c>
      <c r="E7" s="93">
        <v>15.28</v>
      </c>
      <c r="F7" s="93">
        <v>0.75700000000000001</v>
      </c>
      <c r="G7" s="93" t="s">
        <v>335</v>
      </c>
      <c r="H7" s="93" t="s">
        <v>315</v>
      </c>
      <c r="I7" s="93">
        <v>0.75700000000000001</v>
      </c>
      <c r="J7" s="93">
        <v>2.0979999999999999</v>
      </c>
      <c r="K7" s="93"/>
      <c r="L7" s="93"/>
      <c r="M7" s="93"/>
      <c r="N7" s="93"/>
      <c r="O7" s="93" t="s">
        <v>341</v>
      </c>
      <c r="P7" s="95"/>
    </row>
    <row r="8" spans="1:16" x14ac:dyDescent="0.25">
      <c r="A8" s="95">
        <v>46151</v>
      </c>
      <c r="B8" s="137">
        <v>46154.083333333336</v>
      </c>
      <c r="C8" s="93" t="s">
        <v>100</v>
      </c>
      <c r="D8" s="93">
        <v>11173</v>
      </c>
      <c r="E8" s="93">
        <v>13.94</v>
      </c>
      <c r="F8" s="93">
        <v>0.83499999999999996</v>
      </c>
      <c r="G8" s="93" t="s">
        <v>335</v>
      </c>
      <c r="H8" s="93" t="s">
        <v>315</v>
      </c>
      <c r="I8" s="93">
        <v>0.83499999999999996</v>
      </c>
      <c r="J8" s="93">
        <v>2.0950000000000002</v>
      </c>
      <c r="K8" s="93"/>
      <c r="L8" s="93"/>
      <c r="M8" s="93"/>
      <c r="N8" s="93"/>
      <c r="O8" s="93" t="s">
        <v>342</v>
      </c>
      <c r="P8" s="95"/>
    </row>
    <row r="9" spans="1:16" x14ac:dyDescent="0.25">
      <c r="A9" s="95">
        <v>46140</v>
      </c>
      <c r="B9" s="137">
        <v>46157.083333333336</v>
      </c>
      <c r="C9" s="93" t="s">
        <v>100</v>
      </c>
      <c r="D9" s="93">
        <v>11376</v>
      </c>
      <c r="E9" s="93">
        <v>13.37</v>
      </c>
      <c r="F9" s="93">
        <v>0.71699999999999997</v>
      </c>
      <c r="G9" s="93" t="s">
        <v>335</v>
      </c>
      <c r="H9" s="93" t="s">
        <v>315</v>
      </c>
      <c r="I9" s="93">
        <v>0.71699999999999997</v>
      </c>
      <c r="J9" s="93">
        <v>2.0950000000000002</v>
      </c>
      <c r="K9" s="93"/>
      <c r="L9" s="93"/>
      <c r="M9" s="93"/>
      <c r="N9" s="93"/>
      <c r="O9" s="93" t="s">
        <v>343</v>
      </c>
      <c r="P9" s="95"/>
    </row>
    <row r="10" spans="1:16" x14ac:dyDescent="0.25">
      <c r="A10" s="95">
        <v>46157</v>
      </c>
      <c r="B10" s="137">
        <v>46161.083333333336</v>
      </c>
      <c r="C10" s="93" t="s">
        <v>100</v>
      </c>
      <c r="D10" s="93">
        <v>11596</v>
      </c>
      <c r="E10" s="93">
        <v>14.9</v>
      </c>
      <c r="F10" s="93">
        <v>0.79800000000000004</v>
      </c>
      <c r="G10" s="93" t="s">
        <v>335</v>
      </c>
      <c r="H10" s="93" t="s">
        <v>315</v>
      </c>
      <c r="I10" s="93">
        <v>0.79800000000000004</v>
      </c>
      <c r="J10" s="93">
        <v>2.0910000000000002</v>
      </c>
      <c r="K10" s="93"/>
      <c r="L10" s="93"/>
      <c r="M10" s="93"/>
      <c r="N10" s="93"/>
      <c r="O10" s="93" t="s">
        <v>344</v>
      </c>
      <c r="P10" s="95"/>
    </row>
    <row r="11" spans="1:16" x14ac:dyDescent="0.25">
      <c r="A11" s="95">
        <v>46161</v>
      </c>
      <c r="B11" s="137">
        <v>46164.083333333336</v>
      </c>
      <c r="C11" s="93" t="s">
        <v>100</v>
      </c>
      <c r="D11" s="93">
        <v>11831</v>
      </c>
      <c r="E11" s="93">
        <v>16.25</v>
      </c>
      <c r="F11" s="93">
        <v>0.79800000000000004</v>
      </c>
      <c r="G11" s="93" t="s">
        <v>335</v>
      </c>
      <c r="H11" s="93" t="s">
        <v>315</v>
      </c>
      <c r="I11" s="93">
        <v>0.79800000000000004</v>
      </c>
      <c r="J11" s="93"/>
      <c r="K11" s="93"/>
      <c r="L11" s="93"/>
      <c r="M11" s="93"/>
      <c r="N11" s="93"/>
      <c r="O11" s="93" t="s">
        <v>334</v>
      </c>
      <c r="P11" s="95"/>
    </row>
    <row r="12" spans="1:16" x14ac:dyDescent="0.25">
      <c r="A12" s="95">
        <v>46171.162939814814</v>
      </c>
      <c r="B12" s="137">
        <v>46170.083333333336</v>
      </c>
      <c r="C12" s="93" t="s">
        <v>100</v>
      </c>
      <c r="D12" s="93">
        <v>12041</v>
      </c>
      <c r="E12" s="93">
        <v>13.23</v>
      </c>
      <c r="F12" s="93">
        <v>0.84899999999999998</v>
      </c>
      <c r="G12" s="93" t="s">
        <v>345</v>
      </c>
      <c r="H12" s="93" t="s">
        <v>315</v>
      </c>
      <c r="I12" s="93">
        <v>0.84899999999999998</v>
      </c>
      <c r="J12" s="93">
        <v>2.1789999999999998</v>
      </c>
      <c r="K12" s="93">
        <v>2.089</v>
      </c>
      <c r="L12" s="93">
        <v>2.0390000000000001</v>
      </c>
      <c r="M12" s="93">
        <v>2.0990000000000002</v>
      </c>
      <c r="N12" s="93">
        <v>0.96899999999999997</v>
      </c>
      <c r="O12" s="93" t="s">
        <v>367</v>
      </c>
      <c r="P12" s="95"/>
    </row>
  </sheetData>
  <conditionalFormatting sqref="F2:F12">
    <cfRule type="expression" dxfId="15" priority="1">
      <formula>AND($F2&lt;&gt;"",ISNUMBER($F2),$F2&lt;AVERAGEIFS(F:F,C:C,$C2,B:B,"&gt;="&amp;$B2-30,B:B," &lt;="&amp;$B2))</formula>
    </cfRule>
    <cfRule type="expression" dxfId="14" priority="2">
      <formula>AND($F2&lt;&gt;"",ISNUMBER($F2),$F2&gt;AVERAGEIFS(F:F,C:C,$C2,B:B,"&gt;="&amp;$B2-30,B:B," &lt;="&amp;$B2))</formula>
    </cfRule>
  </conditionalFormatting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6306D3-939D-40A4-89F3-A79DDC407BB2}">
  <sheetPr codeName="Feuil8"/>
  <dimension ref="A1:J15"/>
  <sheetViews>
    <sheetView workbookViewId="0">
      <pane ySplit="4" topLeftCell="A5" activePane="bottomLeft" state="frozenSplit"/>
      <selection pane="bottomLeft" activeCell="A5" sqref="A5"/>
    </sheetView>
  </sheetViews>
  <sheetFormatPr baseColWidth="10" defaultRowHeight="15.75" x14ac:dyDescent="0.25"/>
  <cols>
    <col min="1" max="1" width="12.625" customWidth="1"/>
    <col min="2" max="2" width="15" bestFit="1" customWidth="1"/>
    <col min="3" max="3" width="8.125" bestFit="1" customWidth="1"/>
    <col min="4" max="4" width="12.5" bestFit="1" customWidth="1"/>
    <col min="5" max="5" width="6.5" bestFit="1" customWidth="1"/>
    <col min="6" max="6" width="9" bestFit="1" customWidth="1"/>
    <col min="7" max="7" width="7.375" bestFit="1" customWidth="1"/>
    <col min="8" max="8" width="12.375" bestFit="1" customWidth="1"/>
    <col min="9" max="9" width="8.75" bestFit="1" customWidth="1"/>
    <col min="10" max="10" width="24.625" customWidth="1"/>
  </cols>
  <sheetData>
    <row r="1" spans="1:10" ht="30" customHeight="1" x14ac:dyDescent="0.3">
      <c r="A1" s="128" t="s">
        <v>370</v>
      </c>
      <c r="B1" s="128"/>
      <c r="C1" s="128"/>
      <c r="D1" s="128"/>
      <c r="E1" s="128"/>
      <c r="F1" s="128"/>
      <c r="G1" s="128"/>
      <c r="H1" s="128"/>
      <c r="I1" s="128"/>
      <c r="J1" s="128"/>
    </row>
    <row r="2" spans="1:10" ht="16.5" customHeight="1" x14ac:dyDescent="0.25">
      <c r="A2" s="129" t="s">
        <v>371</v>
      </c>
      <c r="B2" s="129"/>
      <c r="C2" s="129"/>
      <c r="D2" s="129"/>
      <c r="E2" s="129"/>
      <c r="F2" s="129"/>
      <c r="G2" s="129"/>
      <c r="H2" s="129"/>
      <c r="I2" s="129"/>
      <c r="J2" s="129"/>
    </row>
    <row r="3" spans="1:10" ht="6" customHeight="1" x14ac:dyDescent="0.25"/>
    <row r="4" spans="1:10" ht="24" customHeight="1" x14ac:dyDescent="0.25">
      <c r="A4" s="120" t="s">
        <v>1</v>
      </c>
      <c r="B4" s="120" t="s">
        <v>55</v>
      </c>
      <c r="C4" s="120" t="s">
        <v>308</v>
      </c>
      <c r="D4" s="120" t="s">
        <v>12</v>
      </c>
      <c r="E4" s="120" t="s">
        <v>372</v>
      </c>
      <c r="F4" s="120" t="s">
        <v>56</v>
      </c>
      <c r="G4" s="120" t="s">
        <v>57</v>
      </c>
      <c r="H4" s="120" t="s">
        <v>373</v>
      </c>
      <c r="I4" s="120" t="s">
        <v>365</v>
      </c>
      <c r="J4" s="120" t="s">
        <v>271</v>
      </c>
    </row>
    <row r="5" spans="1:10" x14ac:dyDescent="0.25">
      <c r="A5" s="138">
        <f>IFERROR(INDEX(GS_Pleins[Date],1),"")</f>
        <v>46131.083333333336</v>
      </c>
      <c r="B5" s="121" t="str">
        <f>IFERROR(INDEX(GS_Pleins[Type],1),"")</f>
        <v>Super 98</v>
      </c>
      <c r="C5" s="121" t="str">
        <f>IFERROR(INDEX(GS_Pleins[Vehicule],1),"")</f>
        <v>Z900</v>
      </c>
      <c r="D5" s="122">
        <f>IFERROR(INDEX(GS_Pleins[Km],1),"")</f>
        <v>9812</v>
      </c>
      <c r="E5" s="122"/>
      <c r="F5" s="123">
        <f>IFERROR(INDEX(GS_Pleins[Litres],1),"")</f>
        <v>11.4</v>
      </c>
      <c r="G5" s="124">
        <f>IFERROR(INDEX(GS_Pleins[PrixL],1),"")</f>
        <v>1.9730000000000001</v>
      </c>
      <c r="H5" s="123">
        <f>IFERROR($F5*$G5,"")</f>
        <v>22.4922</v>
      </c>
      <c r="I5" s="123" t="str">
        <f>IFERROR(IF(AND(ISNUMBER($E5),$E5&gt;0),$F5/$E5*100,""),"")</f>
        <v/>
      </c>
      <c r="J5" s="121" t="str">
        <f>IFERROR(INDEX(GS_Pleins[Station essence],1),"")</f>
        <v>Carrefour - Flers</v>
      </c>
    </row>
    <row r="6" spans="1:10" x14ac:dyDescent="0.25">
      <c r="A6" s="138">
        <f>IFERROR(INDEX(GS_Pleins[Date],2),"")</f>
        <v>46135.083333333336</v>
      </c>
      <c r="B6" s="121" t="str">
        <f>IFERROR(INDEX(GS_Pleins[Type],2),"")</f>
        <v>Super 98</v>
      </c>
      <c r="C6" s="121" t="str">
        <f>IFERROR(INDEX(GS_Pleins[Vehicule],2),"")</f>
        <v>Z900</v>
      </c>
      <c r="D6" s="122">
        <f>IFERROR(INDEX(GS_Pleins[Km],2),"")</f>
        <v>10094</v>
      </c>
      <c r="E6" s="122">
        <f>IFERROR(IF($C6=$C5,$D6-$D5,""),"")</f>
        <v>282</v>
      </c>
      <c r="F6" s="123">
        <f>IFERROR(INDEX(GS_Pleins[Litres],2),"")</f>
        <v>15.22</v>
      </c>
      <c r="G6" s="124">
        <f>IFERROR(INDEX(GS_Pleins[PrixL],2),"")</f>
        <v>1.9259999999999999</v>
      </c>
      <c r="H6" s="123">
        <f>IFERROR($F6*$G6,"")</f>
        <v>29.31372</v>
      </c>
      <c r="I6" s="123">
        <f>IFERROR(IF(AND(ISNUMBER($E6),$E6&gt;0),$F6/$E6*100,""),"")</f>
        <v>5.3971631205673765</v>
      </c>
      <c r="J6" s="121" t="str">
        <f>IFERROR(INDEX(GS_Pleins[Station essence],2),"")</f>
        <v>Carrefour - Flers</v>
      </c>
    </row>
    <row r="7" spans="1:10" x14ac:dyDescent="0.25">
      <c r="A7" s="138">
        <f>IFERROR(INDEX(GS_Pleins[Date],3),"")</f>
        <v>46140.083333333336</v>
      </c>
      <c r="B7" s="121" t="str">
        <f>IFERROR(INDEX(GS_Pleins[Type],3),"")</f>
        <v>Super 98</v>
      </c>
      <c r="C7" s="121" t="str">
        <f>IFERROR(INDEX(GS_Pleins[Vehicule],3),"")</f>
        <v>Z900</v>
      </c>
      <c r="D7" s="122">
        <f>IFERROR(INDEX(GS_Pleins[Km],3),"")</f>
        <v>10349</v>
      </c>
      <c r="E7" s="122">
        <f>IFERROR(IF($C7=$C6,$D7-$D6,""),"")</f>
        <v>255</v>
      </c>
      <c r="F7" s="123">
        <f>IFERROR(INDEX(GS_Pleins[Litres],3),"")</f>
        <v>13.75</v>
      </c>
      <c r="G7" s="124">
        <f>IFERROR(INDEX(GS_Pleins[PrixL],3),"")</f>
        <v>2.0310000000000001</v>
      </c>
      <c r="H7" s="123">
        <f>IFERROR($F7*$G7,"")</f>
        <v>27.926250000000003</v>
      </c>
      <c r="I7" s="123">
        <f>IFERROR(IF(AND(ISNUMBER($E7),$E7&gt;0),$F7/$E7*100,""),"")</f>
        <v>5.3921568627450984</v>
      </c>
      <c r="J7" s="121" t="str">
        <f>IFERROR(INDEX(GS_Pleins[Station essence],3),"")</f>
        <v>Leclerc - Douai</v>
      </c>
    </row>
    <row r="8" spans="1:10" x14ac:dyDescent="0.25">
      <c r="A8" s="138">
        <f>IFERROR(INDEX(GS_Pleins[Date],4),"")</f>
        <v>46146.083333333336</v>
      </c>
      <c r="B8" s="121" t="str">
        <f>IFERROR(INDEX(GS_Pleins[Type],4),"")</f>
        <v>SuperEthanol E85</v>
      </c>
      <c r="C8" s="121" t="str">
        <f>IFERROR(INDEX(GS_Pleins[Vehicule],4),"")</f>
        <v>Z900</v>
      </c>
      <c r="D8" s="122">
        <f>IFERROR(INDEX(GS_Pleins[Km],4),"")</f>
        <v>10553</v>
      </c>
      <c r="E8" s="122">
        <f>IFERROR(IF($C8=$C7,$D8-$D7,""),"")</f>
        <v>204</v>
      </c>
      <c r="F8" s="123">
        <f>IFERROR(INDEX(GS_Pleins[Litres],4),"")</f>
        <v>11.47</v>
      </c>
      <c r="G8" s="124">
        <f>IFERROR(INDEX(GS_Pleins[PrixL],4),"")</f>
        <v>0.80900000000000005</v>
      </c>
      <c r="H8" s="123">
        <f>IFERROR($F8*$G8,"")</f>
        <v>9.2792300000000019</v>
      </c>
      <c r="I8" s="123">
        <f>IFERROR(IF(AND(ISNUMBER($E8),$E8&gt;0),$F8/$E8*100,""),"")</f>
        <v>5.6225490196078436</v>
      </c>
      <c r="J8" s="121" t="str">
        <f>IFERROR(INDEX(GS_Pleins[Station essence],4),"")</f>
        <v>E.Leclerc - Beuvry</v>
      </c>
    </row>
    <row r="9" spans="1:10" x14ac:dyDescent="0.25">
      <c r="A9" s="138">
        <f>IFERROR(INDEX(GS_Pleins[Date],5),"")</f>
        <v>46148.083333333336</v>
      </c>
      <c r="B9" s="121" t="str">
        <f>IFERROR(INDEX(GS_Pleins[Type],5),"")</f>
        <v>SuperEthanol E85</v>
      </c>
      <c r="C9" s="121" t="str">
        <f>IFERROR(INDEX(GS_Pleins[Vehicule],5),"")</f>
        <v>Z900</v>
      </c>
      <c r="D9" s="122">
        <f>IFERROR(INDEX(GS_Pleins[Km],5),"")</f>
        <v>10749</v>
      </c>
      <c r="E9" s="122">
        <f>IFERROR(IF($C9=$C8,$D9-$D8,""),"")</f>
        <v>196</v>
      </c>
      <c r="F9" s="123">
        <f>IFERROR(INDEX(GS_Pleins[Litres],5),"")</f>
        <v>11.71</v>
      </c>
      <c r="G9" s="124">
        <f>IFERROR(INDEX(GS_Pleins[PrixL],5),"")</f>
        <v>0.747</v>
      </c>
      <c r="H9" s="123">
        <f>IFERROR($F9*$G9,"")</f>
        <v>8.7473700000000001</v>
      </c>
      <c r="I9" s="123">
        <f>IFERROR(IF(AND(ISNUMBER($E9),$E9&gt;0),$F9/$E9*100,""),"")</f>
        <v>5.9744897959183678</v>
      </c>
      <c r="J9" s="121" t="str">
        <f>IFERROR(INDEX(GS_Pleins[Station essence],5),"")</f>
        <v>E.Leclerc - Beuvry</v>
      </c>
    </row>
    <row r="10" spans="1:10" x14ac:dyDescent="0.25">
      <c r="A10" s="138">
        <f>IFERROR(INDEX(GS_Pleins[Date],6),"")</f>
        <v>46151.083333333336</v>
      </c>
      <c r="B10" s="121" t="str">
        <f>IFERROR(INDEX(GS_Pleins[Type],6),"")</f>
        <v>SuperEthanol E85</v>
      </c>
      <c r="C10" s="121" t="str">
        <f>IFERROR(INDEX(GS_Pleins[Vehicule],6),"")</f>
        <v>Z900</v>
      </c>
      <c r="D10" s="122">
        <f>IFERROR(INDEX(GS_Pleins[Km],6),"")</f>
        <v>10975</v>
      </c>
      <c r="E10" s="122">
        <f>IFERROR(IF($C10=$C9,$D10-$D9,""),"")</f>
        <v>226</v>
      </c>
      <c r="F10" s="123">
        <f>IFERROR(INDEX(GS_Pleins[Litres],6),"")</f>
        <v>15.28</v>
      </c>
      <c r="G10" s="124">
        <f>IFERROR(INDEX(GS_Pleins[PrixL],6),"")</f>
        <v>0.75700000000000001</v>
      </c>
      <c r="H10" s="123">
        <f>IFERROR($F10*$G10,"")</f>
        <v>11.56696</v>
      </c>
      <c r="I10" s="123">
        <f>IFERROR(IF(AND(ISNUMBER($E10),$E10&gt;0),$F10/$E10*100,""),"")</f>
        <v>6.7610619469026547</v>
      </c>
      <c r="J10" s="121" t="str">
        <f>IFERROR(INDEX(GS_Pleins[Station essence],6),"")</f>
        <v>E.Leclerc - Beuvry</v>
      </c>
    </row>
    <row r="11" spans="1:10" x14ac:dyDescent="0.25">
      <c r="A11" s="138">
        <f>IFERROR(INDEX(GS_Pleins[Date],7),"")</f>
        <v>46154.083333333336</v>
      </c>
      <c r="B11" s="121" t="str">
        <f>IFERROR(INDEX(GS_Pleins[Type],7),"")</f>
        <v>SuperEthanol E85</v>
      </c>
      <c r="C11" s="121" t="str">
        <f>IFERROR(INDEX(GS_Pleins[Vehicule],7),"")</f>
        <v>Z900</v>
      </c>
      <c r="D11" s="122">
        <f>IFERROR(INDEX(GS_Pleins[Km],7),"")</f>
        <v>11173</v>
      </c>
      <c r="E11" s="122">
        <f>IFERROR(IF($C11=$C10,$D11-$D10,""),"")</f>
        <v>198</v>
      </c>
      <c r="F11" s="123">
        <f>IFERROR(INDEX(GS_Pleins[Litres],7),"")</f>
        <v>13.94</v>
      </c>
      <c r="G11" s="124">
        <f>IFERROR(INDEX(GS_Pleins[PrixL],7),"")</f>
        <v>0.83499999999999996</v>
      </c>
      <c r="H11" s="123">
        <f>IFERROR($F11*$G11,"")</f>
        <v>11.639899999999999</v>
      </c>
      <c r="I11" s="123">
        <f>IFERROR(IF(AND(ISNUMBER($E11),$E11&gt;0),$F11/$E11*100,""),"")</f>
        <v>7.0404040404040398</v>
      </c>
      <c r="J11" s="121" t="str">
        <f>IFERROR(INDEX(GS_Pleins[Station essence],7),"")</f>
        <v>E.Leclerc - Beuvry</v>
      </c>
    </row>
    <row r="12" spans="1:10" x14ac:dyDescent="0.25">
      <c r="A12" s="138">
        <f>IFERROR(INDEX(GS_Pleins[Date],8),"")</f>
        <v>46157.083333333336</v>
      </c>
      <c r="B12" s="121" t="str">
        <f>IFERROR(INDEX(GS_Pleins[Type],8),"")</f>
        <v>SuperEthanol E85</v>
      </c>
      <c r="C12" s="121" t="str">
        <f>IFERROR(INDEX(GS_Pleins[Vehicule],8),"")</f>
        <v>Z900</v>
      </c>
      <c r="D12" s="122">
        <f>IFERROR(INDEX(GS_Pleins[Km],8),"")</f>
        <v>11376</v>
      </c>
      <c r="E12" s="122">
        <f>IFERROR(IF($C12=$C11,$D12-$D11,""),"")</f>
        <v>203</v>
      </c>
      <c r="F12" s="123">
        <f>IFERROR(INDEX(GS_Pleins[Litres],8),"")</f>
        <v>13.37</v>
      </c>
      <c r="G12" s="124">
        <f>IFERROR(INDEX(GS_Pleins[PrixL],8),"")</f>
        <v>0.71699999999999997</v>
      </c>
      <c r="H12" s="123">
        <f>IFERROR($F12*$G12,"")</f>
        <v>9.5862899999999982</v>
      </c>
      <c r="I12" s="123">
        <f>IFERROR(IF(AND(ISNUMBER($E12),$E12&gt;0),$F12/$E12*100,""),"")</f>
        <v>6.5862068965517233</v>
      </c>
      <c r="J12" s="121" t="str">
        <f>IFERROR(INDEX(GS_Pleins[Station essence],8),"")</f>
        <v>E.Leclerc - Beuvry</v>
      </c>
    </row>
    <row r="13" spans="1:10" x14ac:dyDescent="0.25">
      <c r="A13" s="138">
        <f>IFERROR(INDEX(GS_Pleins[Date],9),"")</f>
        <v>46161.083333333336</v>
      </c>
      <c r="B13" s="121" t="str">
        <f>IFERROR(INDEX(GS_Pleins[Type],9),"")</f>
        <v>SuperEthanol E85</v>
      </c>
      <c r="C13" s="121" t="str">
        <f>IFERROR(INDEX(GS_Pleins[Vehicule],9),"")</f>
        <v>Z900</v>
      </c>
      <c r="D13" s="122">
        <f>IFERROR(INDEX(GS_Pleins[Km],9),"")</f>
        <v>11596</v>
      </c>
      <c r="E13" s="122">
        <f>IFERROR(IF($C13=$C12,$D13-$D12,""),"")</f>
        <v>220</v>
      </c>
      <c r="F13" s="123">
        <f>IFERROR(INDEX(GS_Pleins[Litres],9),"")</f>
        <v>14.9</v>
      </c>
      <c r="G13" s="124">
        <f>IFERROR(INDEX(GS_Pleins[PrixL],9),"")</f>
        <v>0.79800000000000004</v>
      </c>
      <c r="H13" s="123">
        <f>IFERROR($F13*$G13,"")</f>
        <v>11.8902</v>
      </c>
      <c r="I13" s="123">
        <f>IFERROR(IF(AND(ISNUMBER($E13),$E13&gt;0),$F13/$E13*100,""),"")</f>
        <v>6.7727272727272734</v>
      </c>
      <c r="J13" s="121" t="str">
        <f>IFERROR(INDEX(GS_Pleins[Station essence],9),"")</f>
        <v>E.Leclerc - Beuvry</v>
      </c>
    </row>
    <row r="14" spans="1:10" x14ac:dyDescent="0.25">
      <c r="A14" s="138">
        <f>IFERROR(INDEX(GS_Pleins[Date],10),"")</f>
        <v>46164.083333333336</v>
      </c>
      <c r="B14" s="121" t="str">
        <f>IFERROR(INDEX(GS_Pleins[Type],10),"")</f>
        <v>SuperEthanol E85</v>
      </c>
      <c r="C14" s="121" t="str">
        <f>IFERROR(INDEX(GS_Pleins[Vehicule],10),"")</f>
        <v>Z900</v>
      </c>
      <c r="D14" s="122">
        <f>IFERROR(INDEX(GS_Pleins[Km],10),"")</f>
        <v>11831</v>
      </c>
      <c r="E14" s="122">
        <f>IFERROR(IF($C14=$C13,$D14-$D13,""),"")</f>
        <v>235</v>
      </c>
      <c r="F14" s="123">
        <f>IFERROR(INDEX(GS_Pleins[Litres],10),"")</f>
        <v>16.25</v>
      </c>
      <c r="G14" s="124">
        <f>IFERROR(INDEX(GS_Pleins[PrixL],10),"")</f>
        <v>0.79800000000000004</v>
      </c>
      <c r="H14" s="123">
        <f>IFERROR($F14*$G14,"")</f>
        <v>12.967500000000001</v>
      </c>
      <c r="I14" s="123">
        <f>IFERROR(IF(AND(ISNUMBER($E14),$E14&gt;0),$F14/$E14*100,""),"")</f>
        <v>6.9148936170212769</v>
      </c>
      <c r="J14" s="121" t="str">
        <f>IFERROR(INDEX(GS_Pleins[Station essence],10),"")</f>
        <v>E.Leclerc - Beuvry</v>
      </c>
    </row>
    <row r="15" spans="1:10" x14ac:dyDescent="0.25">
      <c r="A15" s="138">
        <f>IFERROR(INDEX(GS_Pleins[Date],11),"")</f>
        <v>46170.083333333336</v>
      </c>
      <c r="B15" s="121" t="str">
        <f>IFERROR(INDEX(GS_Pleins[Type],11),"")</f>
        <v>SuperEthanol E85</v>
      </c>
      <c r="C15" s="121" t="str">
        <f>IFERROR(INDEX(GS_Pleins[Vehicule],11),"")</f>
        <v>Z900</v>
      </c>
      <c r="D15" s="122">
        <f>IFERROR(INDEX(GS_Pleins[Km],11),"")</f>
        <v>12041</v>
      </c>
      <c r="E15" s="122">
        <f>IFERROR(IF($C15=$C14,$D15-$D14,""),"")</f>
        <v>210</v>
      </c>
      <c r="F15" s="123">
        <f>IFERROR(INDEX(GS_Pleins[Litres],11),"")</f>
        <v>13.23</v>
      </c>
      <c r="G15" s="124">
        <f>IFERROR(INDEX(GS_Pleins[PrixL],11),"")</f>
        <v>0.84899999999999998</v>
      </c>
      <c r="H15" s="123">
        <f>IFERROR($F15*$G15,"")</f>
        <v>11.23227</v>
      </c>
      <c r="I15" s="123">
        <f>IFERROR(IF(AND(ISNUMBER($E15),$E15&gt;0),$F15/$E15*100,""),"")</f>
        <v>6.3</v>
      </c>
      <c r="J15" s="121" t="str">
        <f>IFERROR(INDEX(GS_Pleins[Station essence],11),"")</f>
        <v>Carrefour - Flers</v>
      </c>
    </row>
  </sheetData>
  <mergeCells count="2">
    <mergeCell ref="A1:J1"/>
    <mergeCell ref="A2:J2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231D3A-E7C4-4F0D-96D5-079DA685B841}">
  <sheetPr codeName="Feuil6"/>
  <dimension ref="A1:Y12"/>
  <sheetViews>
    <sheetView workbookViewId="0"/>
  </sheetViews>
  <sheetFormatPr baseColWidth="10" defaultRowHeight="15.75" x14ac:dyDescent="0.25"/>
  <cols>
    <col min="1" max="1" width="12.875" customWidth="1"/>
    <col min="4" max="4" width="14.375" customWidth="1"/>
    <col min="7" max="7" width="18" customWidth="1"/>
    <col min="8" max="8" width="16" customWidth="1"/>
    <col min="9" max="9" width="16.75" customWidth="1"/>
    <col min="10" max="12" width="17.875" customWidth="1"/>
    <col min="13" max="14" width="19.375" customWidth="1"/>
    <col min="15" max="15" width="17.875" customWidth="1"/>
    <col min="16" max="16" width="13.375" customWidth="1"/>
    <col min="25" max="26" width="11.75" customWidth="1"/>
  </cols>
  <sheetData>
    <row r="1" spans="1:25" x14ac:dyDescent="0.25">
      <c r="A1" t="s">
        <v>294</v>
      </c>
      <c r="B1" t="s">
        <v>1</v>
      </c>
      <c r="C1" t="s">
        <v>55</v>
      </c>
      <c r="D1" t="s">
        <v>12</v>
      </c>
      <c r="E1" t="s">
        <v>56</v>
      </c>
      <c r="F1" t="s">
        <v>57</v>
      </c>
      <c r="G1" t="s">
        <v>271</v>
      </c>
      <c r="H1" t="s">
        <v>317</v>
      </c>
      <c r="I1" t="s">
        <v>318</v>
      </c>
      <c r="J1" t="s">
        <v>319</v>
      </c>
      <c r="K1" t="s">
        <v>320</v>
      </c>
      <c r="L1" t="s">
        <v>321</v>
      </c>
      <c r="M1" t="s">
        <v>322</v>
      </c>
      <c r="N1" t="s">
        <v>323</v>
      </c>
      <c r="O1" t="s">
        <v>333</v>
      </c>
      <c r="P1" t="s">
        <v>368</v>
      </c>
      <c r="Q1" t="s">
        <v>324</v>
      </c>
      <c r="R1" t="s">
        <v>325</v>
      </c>
      <c r="S1" t="s">
        <v>326</v>
      </c>
      <c r="T1" t="s">
        <v>327</v>
      </c>
      <c r="U1" t="s">
        <v>328</v>
      </c>
      <c r="V1" t="s">
        <v>329</v>
      </c>
      <c r="W1" t="s">
        <v>330</v>
      </c>
      <c r="X1" t="s">
        <v>331</v>
      </c>
      <c r="Y1" t="s">
        <v>332</v>
      </c>
    </row>
    <row r="2" spans="1:25" x14ac:dyDescent="0.25">
      <c r="A2" s="94">
        <v>46164.921076388891</v>
      </c>
      <c r="B2" s="94">
        <v>46164.083333333336</v>
      </c>
      <c r="C2" t="s">
        <v>100</v>
      </c>
      <c r="D2">
        <v>11831</v>
      </c>
      <c r="E2">
        <v>16.25</v>
      </c>
      <c r="F2">
        <v>0.79800000000000004</v>
      </c>
      <c r="G2" t="s">
        <v>335</v>
      </c>
      <c r="H2" t="s">
        <v>315</v>
      </c>
      <c r="I2">
        <v>0.79800000000000004</v>
      </c>
      <c r="O2" t="s">
        <v>334</v>
      </c>
    </row>
    <row r="3" spans="1:25" x14ac:dyDescent="0.25">
      <c r="A3" s="113">
        <v>46131</v>
      </c>
      <c r="B3" s="94">
        <v>46131.083333333336</v>
      </c>
      <c r="C3" t="s">
        <v>81</v>
      </c>
      <c r="D3">
        <v>9812</v>
      </c>
      <c r="E3">
        <v>11.4</v>
      </c>
      <c r="F3">
        <v>1.9730000000000001</v>
      </c>
      <c r="G3" t="s">
        <v>345</v>
      </c>
      <c r="H3" t="s">
        <v>315</v>
      </c>
      <c r="J3">
        <v>1.9730000000000001</v>
      </c>
      <c r="O3" t="s">
        <v>336</v>
      </c>
    </row>
    <row r="4" spans="1:25" x14ac:dyDescent="0.25">
      <c r="A4" s="113">
        <v>46135</v>
      </c>
      <c r="B4" s="94">
        <v>46135.083333333336</v>
      </c>
      <c r="C4" t="s">
        <v>81</v>
      </c>
      <c r="D4">
        <v>10094</v>
      </c>
      <c r="E4">
        <v>15.22</v>
      </c>
      <c r="F4">
        <v>1.9259999999999999</v>
      </c>
      <c r="G4" t="s">
        <v>345</v>
      </c>
      <c r="H4" t="s">
        <v>315</v>
      </c>
      <c r="J4">
        <v>1.9259999999999999</v>
      </c>
      <c r="O4" t="s">
        <v>337</v>
      </c>
    </row>
    <row r="5" spans="1:25" x14ac:dyDescent="0.25">
      <c r="A5" s="113">
        <v>46140</v>
      </c>
      <c r="B5" s="94">
        <v>46140.083333333336</v>
      </c>
      <c r="C5" t="s">
        <v>81</v>
      </c>
      <c r="D5">
        <v>10349</v>
      </c>
      <c r="E5">
        <v>13.75</v>
      </c>
      <c r="F5">
        <v>2.0310000000000001</v>
      </c>
      <c r="G5" t="s">
        <v>346</v>
      </c>
      <c r="H5" t="s">
        <v>315</v>
      </c>
      <c r="J5">
        <v>2.0310000000000001</v>
      </c>
      <c r="O5" t="s">
        <v>338</v>
      </c>
    </row>
    <row r="6" spans="1:25" x14ac:dyDescent="0.25">
      <c r="A6" s="113">
        <v>46146</v>
      </c>
      <c r="B6" s="94">
        <v>46146.083333333336</v>
      </c>
      <c r="C6" t="s">
        <v>100</v>
      </c>
      <c r="D6">
        <v>10553</v>
      </c>
      <c r="E6">
        <v>11.47</v>
      </c>
      <c r="F6">
        <v>0.80900000000000005</v>
      </c>
      <c r="G6" t="s">
        <v>335</v>
      </c>
      <c r="H6" t="s">
        <v>315</v>
      </c>
      <c r="I6">
        <v>0.80900000000000005</v>
      </c>
      <c r="J6">
        <v>2.0790000000000002</v>
      </c>
      <c r="O6" t="s">
        <v>339</v>
      </c>
    </row>
    <row r="7" spans="1:25" x14ac:dyDescent="0.25">
      <c r="A7" s="113">
        <v>46148</v>
      </c>
      <c r="B7" s="94">
        <v>46148.083333333336</v>
      </c>
      <c r="C7" t="s">
        <v>100</v>
      </c>
      <c r="D7">
        <v>10749</v>
      </c>
      <c r="E7">
        <v>11.71</v>
      </c>
      <c r="F7">
        <v>0.747</v>
      </c>
      <c r="G7" t="s">
        <v>335</v>
      </c>
      <c r="H7" t="s">
        <v>315</v>
      </c>
      <c r="I7">
        <v>0.747</v>
      </c>
      <c r="J7">
        <v>2.0979999999999999</v>
      </c>
      <c r="O7" t="s">
        <v>340</v>
      </c>
    </row>
    <row r="8" spans="1:25" x14ac:dyDescent="0.25">
      <c r="A8" s="113">
        <v>46151</v>
      </c>
      <c r="B8" s="94">
        <v>46151.083333333336</v>
      </c>
      <c r="C8" t="s">
        <v>100</v>
      </c>
      <c r="D8">
        <v>10975</v>
      </c>
      <c r="E8">
        <v>15.28</v>
      </c>
      <c r="F8">
        <v>0.75700000000000001</v>
      </c>
      <c r="G8" t="s">
        <v>335</v>
      </c>
      <c r="H8" t="s">
        <v>315</v>
      </c>
      <c r="I8">
        <v>0.75700000000000001</v>
      </c>
      <c r="J8">
        <v>2.0979999999999999</v>
      </c>
      <c r="O8" t="s">
        <v>341</v>
      </c>
    </row>
    <row r="9" spans="1:25" x14ac:dyDescent="0.25">
      <c r="A9" s="113">
        <v>46154</v>
      </c>
      <c r="B9" s="94">
        <v>46154.083333333336</v>
      </c>
      <c r="C9" t="s">
        <v>100</v>
      </c>
      <c r="D9">
        <v>11173</v>
      </c>
      <c r="E9">
        <v>13.94</v>
      </c>
      <c r="F9">
        <v>0.83499999999999996</v>
      </c>
      <c r="G9" t="s">
        <v>335</v>
      </c>
      <c r="H9" t="s">
        <v>315</v>
      </c>
      <c r="I9">
        <v>0.83499999999999996</v>
      </c>
      <c r="J9">
        <v>2.0950000000000002</v>
      </c>
      <c r="O9" t="s">
        <v>342</v>
      </c>
    </row>
    <row r="10" spans="1:25" x14ac:dyDescent="0.25">
      <c r="A10" s="113">
        <v>46157</v>
      </c>
      <c r="B10" s="94">
        <v>46157.083333333336</v>
      </c>
      <c r="C10" t="s">
        <v>100</v>
      </c>
      <c r="D10">
        <v>11376</v>
      </c>
      <c r="E10">
        <v>13.37</v>
      </c>
      <c r="F10">
        <v>0.71699999999999997</v>
      </c>
      <c r="G10" t="s">
        <v>335</v>
      </c>
      <c r="H10" t="s">
        <v>315</v>
      </c>
      <c r="I10">
        <v>0.71699999999999997</v>
      </c>
      <c r="J10">
        <v>2.0950000000000002</v>
      </c>
      <c r="O10" t="s">
        <v>343</v>
      </c>
    </row>
    <row r="11" spans="1:25" x14ac:dyDescent="0.25">
      <c r="A11" s="113">
        <v>46161</v>
      </c>
      <c r="B11" s="94">
        <v>46161.083333333336</v>
      </c>
      <c r="C11" t="s">
        <v>100</v>
      </c>
      <c r="D11">
        <v>11596</v>
      </c>
      <c r="E11">
        <v>14.9</v>
      </c>
      <c r="F11">
        <v>0.79800000000000004</v>
      </c>
      <c r="G11" t="s">
        <v>335</v>
      </c>
      <c r="H11" t="s">
        <v>315</v>
      </c>
      <c r="I11">
        <v>0.79800000000000004</v>
      </c>
      <c r="J11">
        <v>2.0910000000000002</v>
      </c>
      <c r="O11" t="s">
        <v>344</v>
      </c>
    </row>
    <row r="12" spans="1:25" x14ac:dyDescent="0.25">
      <c r="A12" s="94">
        <v>46171.162939814814</v>
      </c>
      <c r="B12" s="94">
        <v>46170.083333333336</v>
      </c>
      <c r="C12" t="s">
        <v>100</v>
      </c>
      <c r="D12">
        <v>12041</v>
      </c>
      <c r="E12">
        <v>13.23</v>
      </c>
      <c r="F12">
        <v>0.84899999999999998</v>
      </c>
      <c r="G12" t="s">
        <v>345</v>
      </c>
      <c r="H12" t="s">
        <v>315</v>
      </c>
      <c r="I12">
        <v>0.84899999999999998</v>
      </c>
      <c r="J12">
        <v>2.1789999999999998</v>
      </c>
      <c r="K12">
        <v>2.089</v>
      </c>
      <c r="L12">
        <v>2.0390000000000001</v>
      </c>
      <c r="M12">
        <v>2.0990000000000002</v>
      </c>
      <c r="N12">
        <v>0.96899999999999997</v>
      </c>
      <c r="O12" t="s">
        <v>367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B79ACC-FF57-4E66-A274-8AE10F8BE490}">
  <sheetPr codeName="Feuil2"/>
  <dimension ref="A1:AA39"/>
  <sheetViews>
    <sheetView tabSelected="1" zoomScale="70" zoomScaleNormal="70" workbookViewId="0">
      <selection activeCell="C21" sqref="C21"/>
    </sheetView>
  </sheetViews>
  <sheetFormatPr baseColWidth="10" defaultRowHeight="15.75" outlineLevelCol="1" x14ac:dyDescent="0.25"/>
  <cols>
    <col min="1" max="1" width="32" style="3" customWidth="1"/>
    <col min="2" max="2" width="18.375" style="3" customWidth="1"/>
    <col min="3" max="3" width="18.5" style="3" customWidth="1"/>
    <col min="4" max="4" width="14.25" style="3" customWidth="1"/>
    <col min="5" max="5" width="10.875" style="3" customWidth="1"/>
    <col min="6" max="6" width="12.125" style="3" customWidth="1"/>
    <col min="7" max="7" width="12.75" style="3" customWidth="1"/>
    <col min="8" max="8" width="14.5" style="3" customWidth="1"/>
    <col min="9" max="9" width="14.375" style="3" customWidth="1"/>
    <col min="10" max="10" width="16.875" style="3" customWidth="1"/>
    <col min="11" max="11" width="18.75" style="3" customWidth="1"/>
    <col min="12" max="12" width="21.5" style="3" customWidth="1"/>
    <col min="13" max="13" width="20" style="3" customWidth="1"/>
    <col min="14" max="14" width="20.25" style="3" customWidth="1"/>
    <col min="15" max="15" width="32.75" style="3" customWidth="1"/>
    <col min="16" max="16" width="1.625" style="3" hidden="1" customWidth="1"/>
    <col min="17" max="17" width="11.125" style="3" hidden="1" customWidth="1" outlineLevel="1"/>
    <col min="18" max="18" width="20.125" style="3" hidden="1" customWidth="1" outlineLevel="1"/>
    <col min="19" max="19" width="13.25" style="3" hidden="1" customWidth="1" outlineLevel="1"/>
    <col min="20" max="20" width="11" style="3" collapsed="1"/>
    <col min="21" max="25" width="11" style="3"/>
    <col min="26" max="26" width="19.25" style="3" bestFit="1" customWidth="1"/>
    <col min="27" max="27" width="19.5" style="3" bestFit="1" customWidth="1"/>
    <col min="28" max="16384" width="11" style="3"/>
  </cols>
  <sheetData>
    <row r="1" spans="1:27" ht="50.1" customHeight="1" x14ac:dyDescent="0.25">
      <c r="A1" s="131" t="s">
        <v>72</v>
      </c>
      <c r="B1" s="131"/>
      <c r="C1" s="131"/>
      <c r="D1" s="131"/>
      <c r="E1" s="131"/>
      <c r="F1" s="131"/>
      <c r="G1" s="131"/>
      <c r="H1" s="131"/>
      <c r="I1" s="131"/>
      <c r="J1" s="131"/>
      <c r="K1" s="131"/>
      <c r="L1" s="131"/>
      <c r="M1" s="131"/>
      <c r="N1" s="131"/>
      <c r="O1" s="131"/>
      <c r="Z1" s="72">
        <v>46361</v>
      </c>
      <c r="AA1" s="72">
        <v>2</v>
      </c>
    </row>
    <row r="2" spans="1:27" ht="3.95" customHeight="1" x14ac:dyDescent="0.25">
      <c r="A2" s="25"/>
      <c r="B2" s="25"/>
      <c r="C2" s="25"/>
      <c r="D2" s="25"/>
      <c r="E2" s="25"/>
      <c r="F2" s="25"/>
      <c r="G2" s="25"/>
      <c r="H2" s="25"/>
      <c r="I2" s="25"/>
      <c r="J2" s="25"/>
      <c r="K2" s="25"/>
      <c r="L2" s="25"/>
      <c r="M2" s="25"/>
      <c r="N2" s="25"/>
      <c r="O2" s="25"/>
    </row>
    <row r="3" spans="1:27" ht="14.25" customHeight="1" x14ac:dyDescent="0.25">
      <c r="A3" s="26"/>
      <c r="B3" s="26"/>
      <c r="C3" s="26"/>
      <c r="D3" s="26"/>
      <c r="E3" s="26"/>
      <c r="F3" s="26"/>
      <c r="G3" s="26"/>
      <c r="H3" s="26"/>
      <c r="I3" s="26"/>
      <c r="J3"/>
      <c r="K3"/>
      <c r="L3"/>
      <c r="M3"/>
    </row>
    <row r="4" spans="1:27" ht="18.75" x14ac:dyDescent="0.25">
      <c r="A4" s="146" t="s">
        <v>6</v>
      </c>
      <c r="B4" s="27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</row>
    <row r="5" spans="1:27" x14ac:dyDescent="0.25">
      <c r="A5" s="6" t="s">
        <v>7</v>
      </c>
      <c r="B5" s="38">
        <v>514.54</v>
      </c>
      <c r="C5" s="7" t="s">
        <v>8</v>
      </c>
      <c r="D5" s="4"/>
      <c r="E5" s="4"/>
      <c r="F5" s="4"/>
      <c r="G5" s="6" t="s">
        <v>125</v>
      </c>
      <c r="H5" s="6"/>
      <c r="I5" s="6"/>
      <c r="J5" s="42">
        <f>IFERROR(AVERAGEIFS(Tableau2[Conso. (L/100km)],Tableau2[Type],"SuperEthanol E85"),"")</f>
        <v>6.4965415736416467</v>
      </c>
      <c r="K5" s="24" t="s">
        <v>126</v>
      </c>
      <c r="L5" s="4"/>
      <c r="M5" s="4"/>
    </row>
    <row r="6" spans="1:27" x14ac:dyDescent="0.25">
      <c r="A6" s="6" t="s">
        <v>41</v>
      </c>
      <c r="B6" s="42">
        <f>IFERROR(AVERAGEIFS(Tableau2[Conso. (L/100km)],Tableau2[Type],"Super 98"),"")</f>
        <v>5.394659991656237</v>
      </c>
      <c r="C6" s="24" t="s">
        <v>59</v>
      </c>
      <c r="D6" s="4"/>
      <c r="E6" s="4"/>
      <c r="F6" s="4"/>
      <c r="G6" s="6" t="s">
        <v>191</v>
      </c>
      <c r="H6" s="6"/>
      <c r="I6" s="6"/>
      <c r="J6" s="71" cm="1">
        <f t="array" ref="J6">IFERROR(AVERAGE(IF((Tableau2[Type]="SuperEthanol E85")*(Tableau2[Nb. km]&lt;&gt;"")*(Tableau2[Nb. Litres]&lt;&gt;""),Tableau2[Nb. km]/Tableau2[Nb. Litres])),"")</f>
        <v>15.475070705564583</v>
      </c>
      <c r="K6" s="24" t="s">
        <v>126</v>
      </c>
      <c r="L6" s="4"/>
      <c r="M6" s="4"/>
    </row>
    <row r="7" spans="1:27" x14ac:dyDescent="0.25">
      <c r="A7" s="6" t="s">
        <v>186</v>
      </c>
      <c r="B7" s="71" cm="1">
        <f t="array" ref="B7">IFERROR(AVERAGE(IF((Tableau2[Type]="Super 98")*(Tableau2[Nb. km]&lt;&gt;"")*(Tableau2[Nb. Litres]&lt;&gt;""),Tableau2[Nb. km]/Tableau2[Nb. Litres])),"")</f>
        <v>18.536853422530164</v>
      </c>
      <c r="C7" s="24" t="s">
        <v>59</v>
      </c>
      <c r="D7" s="4"/>
      <c r="E7" s="4"/>
      <c r="F7" s="4"/>
      <c r="G7" s="55" t="s">
        <v>9</v>
      </c>
      <c r="H7" s="55"/>
      <c r="I7" s="55"/>
      <c r="J7" s="39">
        <f>IF(OR(B6="",B6=0,COUNTIF(Tableau2[Type],"SuperEthanol E85")=0),0.2,AVERAGEIFS(Tableau2[Conso. (L/100km)],Tableau2[Type],"SuperEthanol E85")/B6-1)</f>
        <v>0.20425412976715074</v>
      </c>
      <c r="K7" s="7" t="s">
        <v>42</v>
      </c>
      <c r="L7" s="4"/>
      <c r="M7" s="4"/>
    </row>
    <row r="8" spans="1:27" ht="7.5" customHeight="1" x14ac:dyDescent="0.25">
      <c r="A8" s="32"/>
      <c r="B8" s="32"/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</row>
    <row r="9" spans="1:27" ht="18.75" x14ac:dyDescent="0.25">
      <c r="A9" s="145" t="s">
        <v>102</v>
      </c>
      <c r="B9" s="29"/>
      <c r="C9" s="30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</row>
    <row r="10" spans="1:27" x14ac:dyDescent="0.25">
      <c r="A10" s="6" t="s">
        <v>103</v>
      </c>
      <c r="B10" s="40">
        <f>IFERROR(LOOKUP(9.99999999999999E+307,Tableau2[Économie cumulée (€)]),0)</f>
        <v>105.7995381736649</v>
      </c>
      <c r="C10" s="7" t="s">
        <v>104</v>
      </c>
      <c r="D10" s="4"/>
      <c r="E10" s="4"/>
      <c r="F10" s="4"/>
      <c r="G10" s="130" t="s">
        <v>107</v>
      </c>
      <c r="H10" s="130"/>
      <c r="I10" s="41"/>
      <c r="J10" s="37">
        <f>IFERROR(IF(B11=0,LOOKUP(9.99999999999999E+307,Tableau2[Date]),LOOKUP(9.99999999999999E+307,Tableau2[Date])+(J11-LOOKUP(9.99999999999999E+307,Tableau2[Km compteur]))/((LOOKUP(9.99999999999999E+307,Tableau2[Km compteur])-INDEX(Tableau2[Km compteur],1))/(LOOKUP(9.99999999999999E+307,Tableau2[Date])-INDEX(Tableau2[Date],1)))),"En attente de plus de pleins")</f>
        <v>46284.455080777108</v>
      </c>
      <c r="K10" s="34" t="s">
        <v>108</v>
      </c>
      <c r="L10" s="34"/>
      <c r="M10" s="34"/>
      <c r="N10" s="4"/>
    </row>
    <row r="11" spans="1:27" x14ac:dyDescent="0.25">
      <c r="A11" s="6" t="s">
        <v>105</v>
      </c>
      <c r="B11" s="40">
        <f>MAX(0,B5-B10)</f>
        <v>408.74046182633504</v>
      </c>
      <c r="C11" s="7" t="s">
        <v>106</v>
      </c>
      <c r="D11" s="4"/>
      <c r="E11" s="4"/>
      <c r="F11" s="4"/>
      <c r="G11" s="6" t="s">
        <v>114</v>
      </c>
      <c r="H11" s="6"/>
      <c r="I11" s="6"/>
      <c r="J11" s="36">
        <f>IFERROR(IF(B11=0,LOOKUP(9.99999999999999E+307,Tableau2[Km compteur]),IF(OR(B12="-",B12=0),"En attente d'un plein E85",LOOKUP(9.99999999999999E+307,Tableau2[Km compteur])+B11/B12)),"En attente d'un plein E85")</f>
        <v>18577.785257747993</v>
      </c>
      <c r="K11" s="34" t="s">
        <v>196</v>
      </c>
      <c r="L11" s="34"/>
      <c r="M11" s="34"/>
      <c r="N11" s="4"/>
      <c r="O11" s="4"/>
      <c r="P11" s="4"/>
    </row>
    <row r="12" spans="1:27" x14ac:dyDescent="0.25">
      <c r="A12" s="6" t="s">
        <v>109</v>
      </c>
      <c r="B12" s="43" cm="1">
        <f t="array" ref="B12">IFERROR(IF(COUNTIF(Tableau2[Type],"SuperEthanol E85")=0,"-",B10/(LOOKUP(9.99999999999999E+307,IF(Tableau2[Type]="SuperEthanol E85",Tableau2[Km compteur]))-INDEX(Tableau2[Km compteur],MATCH("SuperEthanol E85",Tableau2[Type],0)-1))),"-")</f>
        <v>6.2529277880416609E-2</v>
      </c>
      <c r="C12" s="32"/>
      <c r="D12" s="32"/>
      <c r="E12" s="4"/>
      <c r="F12" s="4"/>
      <c r="G12" s="6" t="s">
        <v>119</v>
      </c>
      <c r="H12" s="6"/>
      <c r="I12" s="6"/>
      <c r="J12" s="35">
        <f>IFERROR(MIN(B10/B5,1),0)</f>
        <v>0.20561965672963212</v>
      </c>
      <c r="K12" s="34" t="s">
        <v>120</v>
      </c>
      <c r="L12" s="34"/>
      <c r="M12" s="34"/>
      <c r="N12" s="4"/>
      <c r="O12" s="4"/>
      <c r="P12" s="4"/>
    </row>
    <row r="13" spans="1:27" ht="11.25" customHeight="1" x14ac:dyDescent="0.25">
      <c r="A13" s="32"/>
      <c r="B13" s="32"/>
      <c r="C13" s="32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</row>
    <row r="14" spans="1:27" ht="18.75" x14ac:dyDescent="0.25">
      <c r="A14" s="145" t="s">
        <v>10</v>
      </c>
      <c r="B14" s="33"/>
      <c r="C14" s="31"/>
      <c r="D14" s="28"/>
      <c r="E14" s="28"/>
      <c r="F14" s="28"/>
      <c r="G14" s="28"/>
      <c r="H14" s="28"/>
      <c r="I14" s="28"/>
      <c r="J14" s="28"/>
      <c r="K14" s="28"/>
      <c r="L14" s="28"/>
      <c r="M14" s="28"/>
      <c r="N14" s="28"/>
      <c r="O14" s="28"/>
    </row>
    <row r="15" spans="1:27" ht="37.5" customHeight="1" x14ac:dyDescent="0.25">
      <c r="A15" s="88" t="s">
        <v>11</v>
      </c>
      <c r="B15" s="89" t="s">
        <v>1</v>
      </c>
      <c r="C15" s="89" t="s">
        <v>55</v>
      </c>
      <c r="D15" s="89" t="s">
        <v>12</v>
      </c>
      <c r="E15" s="89" t="s">
        <v>185</v>
      </c>
      <c r="F15" s="89" t="s">
        <v>56</v>
      </c>
      <c r="G15" s="89" t="s">
        <v>57</v>
      </c>
      <c r="H15" s="89" t="s">
        <v>99</v>
      </c>
      <c r="I15" s="90" t="s">
        <v>58</v>
      </c>
      <c r="J15" s="90" t="s">
        <v>13</v>
      </c>
      <c r="K15" s="89" t="s">
        <v>135</v>
      </c>
      <c r="L15" s="90" t="s">
        <v>82</v>
      </c>
      <c r="M15" s="91" t="s">
        <v>101</v>
      </c>
      <c r="N15" s="91" t="s">
        <v>14</v>
      </c>
      <c r="O15" s="90" t="s">
        <v>271</v>
      </c>
      <c r="Q15" s="44" t="s">
        <v>149</v>
      </c>
      <c r="R15" s="44" t="s">
        <v>14</v>
      </c>
      <c r="S15" s="44" t="s">
        <v>136</v>
      </c>
    </row>
    <row r="16" spans="1:27" x14ac:dyDescent="0.25">
      <c r="A16" s="45">
        <v>1</v>
      </c>
      <c r="B16" s="139">
        <f>IFERROR(INDEX(GS_Pleins[Date],ROW()-15),"")</f>
        <v>46131.083333333336</v>
      </c>
      <c r="C16" s="140" t="str" cm="1">
        <f t="array" ref="C16">IFERROR(INDEX(GS_Pleins[Type],ROW()-ROW(Tableau2[#Headers])),"")</f>
        <v>Super 98</v>
      </c>
      <c r="D16" s="46">
        <f>IFERROR(INDEX(GS_Pleins[Km],ROW()-15),"")</f>
        <v>9812</v>
      </c>
      <c r="E16" s="60" t="str">
        <f>IF(AND(ISNUMBER(D15),Tableau2[[#This Row],[Km compteur]]&lt;&gt;""),Tableau2[[#This Row],[Km compteur]]-D15,"")</f>
        <v/>
      </c>
      <c r="F16" s="47">
        <f>IFERROR(INDEX(GS_Pleins[Litres],ROW()-15),"")</f>
        <v>11.4</v>
      </c>
      <c r="G16" s="48">
        <f>IFERROR(INDEX(GS_Pleins[PrixL],ROW()-15),"")</f>
        <v>1.9730000000000001</v>
      </c>
      <c r="H16" s="49" t="str">
        <f t="shared" ref="H16:H23" si="0">IF(OR(D16="",D15="",I16="",ISTEXT(D15)),"",F16/(D16-D15)*100)</f>
        <v/>
      </c>
      <c r="I16" s="50">
        <f t="shared" ref="I16:I23" si="1">IF(F16="","",F16*G16)</f>
        <v>22.4922</v>
      </c>
      <c r="J16" s="51" t="str">
        <f t="shared" ref="J16:J23" si="2">IF(OR(D16="",D15="",F16="",ISTEXT(D15)),"",F16/(D16-D15)*100)</f>
        <v/>
      </c>
      <c r="K16" s="52">
        <f>IF(Tableau2[[#This Row],[Type]]="Super 98",Tableau2[[#This Row],[Prix €/L]],"")</f>
        <v>1.9730000000000001</v>
      </c>
      <c r="L16" s="50" t="str">
        <f>IF(OR(Tableau2[[#This Row],[Type]]&lt;&gt;"SuperEthanol E85",Tableau2[[#This Row],[Nb. Litres]]="",Tableau2[[#This Row],[Prix S98 jour (€/L)]]=""),"",Tableau2[[#This Row],[Nb. Litres]]/(1+$J$7)*Tableau2[[#This Row],[Prix S98 jour (€/L)]])</f>
        <v/>
      </c>
      <c r="M16" s="53"/>
      <c r="N16" s="54" t="str">
        <f>IF(Tableau2[[#This Row],[Type]]&lt;&gt;"SuperEthanol E85","",IF(Tableau2[[#This Row],[Coût Plein (€)]]="","",IF(N15&lt;&gt;"",N15+(L16-Tableau2[[#This Row],[Coût Plein (€)]]),L16-Tableau2[[#This Row],[Coût Plein (€)]])))</f>
        <v/>
      </c>
      <c r="O16" s="142" t="str" cm="1">
        <f t="array" ref="O16">IFERROR(INDEX(GS_Pleins[Station essence],ROW()-15),"")</f>
        <v>Carrefour - Flers</v>
      </c>
      <c r="Q16" s="3">
        <v>0</v>
      </c>
      <c r="R16" s="3">
        <v>0</v>
      </c>
      <c r="S16" s="3">
        <f>$B$5</f>
        <v>514.54</v>
      </c>
    </row>
    <row r="17" spans="1:19" x14ac:dyDescent="0.25">
      <c r="A17" s="45">
        <f t="shared" ref="A17:A23" si="3">IF(B17="","",A16+1)</f>
        <v>2</v>
      </c>
      <c r="B17" s="139">
        <f>IFERROR(INDEX(GS_Pleins[Date],ROW()-15),"")</f>
        <v>46135.083333333336</v>
      </c>
      <c r="C17" s="140" t="str" cm="1">
        <f t="array" ref="C17">IFERROR(INDEX(GS_Pleins[Type],ROW()-ROW(Tableau2[#Headers])),"")</f>
        <v>Super 98</v>
      </c>
      <c r="D17" s="46">
        <f>IFERROR(INDEX(GS_Pleins[Km],ROW()-15),"")</f>
        <v>10094</v>
      </c>
      <c r="E17" s="60">
        <f>IF(AND(ISNUMBER(D16),Tableau2[[#This Row],[Km compteur]]&lt;&gt;""),Tableau2[[#This Row],[Km compteur]]-D16,"")</f>
        <v>282</v>
      </c>
      <c r="F17" s="47">
        <f>IFERROR(INDEX(GS_Pleins[Litres],ROW()-15),"")</f>
        <v>15.22</v>
      </c>
      <c r="G17" s="48">
        <f>IFERROR(INDEX(GS_Pleins[PrixL],ROW()-15),"")</f>
        <v>1.9259999999999999</v>
      </c>
      <c r="H17" s="49">
        <f t="shared" si="0"/>
        <v>5.3971631205673765</v>
      </c>
      <c r="I17" s="50">
        <f>IF(F17="","",F17*G17)</f>
        <v>29.31372</v>
      </c>
      <c r="J17" s="51">
        <f t="shared" si="2"/>
        <v>5.3971631205673765</v>
      </c>
      <c r="K17" s="52">
        <f>IF(Tableau2[[#This Row],[Type]]="Super 98",Tableau2[[#This Row],[Prix €/L]],"")</f>
        <v>1.9259999999999999</v>
      </c>
      <c r="L17" s="50" t="str">
        <f>IF(OR(Tableau2[[#This Row],[Type]]&lt;&gt;"SuperEthanol E85",Tableau2[[#This Row],[Nb. Litres]]="",Tableau2[[#This Row],[Prix S98 jour (€/L)]]=""),"",Tableau2[[#This Row],[Nb. Litres]]/(1+$J$7)*Tableau2[[#This Row],[Prix S98 jour (€/L)]])</f>
        <v/>
      </c>
      <c r="M17" s="53" t="str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/>
      </c>
      <c r="N17" s="54" t="str">
        <f>IF(Tableau2[[#This Row],[Type]]&lt;&gt;"SuperEthanol E85","",IF(Tableau2[[#This Row],[Coût Plein (€)]]="","",IF(N16&lt;&gt;"",N16+(L17-Tableau2[[#This Row],[Coût Plein (€)]]),L17-Tableau2[[#This Row],[Coût Plein (€)]])))</f>
        <v/>
      </c>
      <c r="O17" s="143" t="str" cm="1">
        <f t="array" ref="O17">IFERROR(INDEX(GS_Pleins[Station essence],ROW()-15),"")</f>
        <v>Carrefour - Flers</v>
      </c>
      <c r="Q17" s="3" cm="1">
        <f t="array" ref="Q17">IFERROR(IF(SMALL(IF((Tableau2[Type]="SuperEthanol E85")*(Tableau2[Économie cumulée (€)]&lt;&gt;""),ROW(Tableau2[Type])),1)&gt;0,1,NA()),NA())</f>
        <v>1</v>
      </c>
      <c r="R17" s="3" cm="1">
        <f t="array" ref="R17">IFERROR(INDEX(Tableau2[Économie cumulée (€)],SMALL(IF((Tableau2[Type]="SuperEthanol E85")*(Tableau2[Économie cumulée (€)]&lt;&gt;""),ROW(Tableau2[Type])-ROW(Tableau2[#Headers])),1)),NA())</f>
        <v>10.522346270791598</v>
      </c>
      <c r="S17" s="3">
        <f t="shared" ref="R17:S32" si="4">IF(ISNA(Q17),NA(),$B$5)</f>
        <v>514.54</v>
      </c>
    </row>
    <row r="18" spans="1:19" x14ac:dyDescent="0.25">
      <c r="A18" s="45">
        <f t="shared" si="3"/>
        <v>3</v>
      </c>
      <c r="B18" s="139">
        <f>IFERROR(INDEX(GS_Pleins[Date],ROW()-15),"")</f>
        <v>46140.083333333336</v>
      </c>
      <c r="C18" s="140" t="str" cm="1">
        <f t="array" ref="C18">IFERROR(INDEX(GS_Pleins[Type],ROW()-ROW(Tableau2[#Headers])),"")</f>
        <v>Super 98</v>
      </c>
      <c r="D18" s="46">
        <f>IFERROR(INDEX(GS_Pleins[Km],ROW()-15),"")</f>
        <v>10349</v>
      </c>
      <c r="E18" s="60">
        <f>IF(AND(ISNUMBER(D17),Tableau2[[#This Row],[Km compteur]]&lt;&gt;""),Tableau2[[#This Row],[Km compteur]]-D17,"")</f>
        <v>255</v>
      </c>
      <c r="F18" s="47">
        <f>IFERROR(INDEX(GS_Pleins[Litres],ROW()-15),"")</f>
        <v>13.75</v>
      </c>
      <c r="G18" s="48">
        <f>IFERROR(INDEX(GS_Pleins[PrixL],ROW()-15),"")</f>
        <v>2.0310000000000001</v>
      </c>
      <c r="H18" s="49">
        <f t="shared" si="0"/>
        <v>5.3921568627450984</v>
      </c>
      <c r="I18" s="50">
        <f t="shared" si="1"/>
        <v>27.926250000000003</v>
      </c>
      <c r="J18" s="51">
        <f t="shared" si="2"/>
        <v>5.3921568627450984</v>
      </c>
      <c r="K18" s="52">
        <f>IF(Tableau2[[#This Row],[Type]]="Super 98",Tableau2[[#This Row],[Prix €/L]],"")</f>
        <v>2.0310000000000001</v>
      </c>
      <c r="L18" s="50" t="str">
        <f>IF(OR(Tableau2[[#This Row],[Type]]&lt;&gt;"SuperEthanol E85",Tableau2[[#This Row],[Nb. Litres]]="",Tableau2[[#This Row],[Prix S98 jour (€/L)]]=""),"",Tableau2[[#This Row],[Nb. Litres]]/(1+$J$7)*Tableau2[[#This Row],[Prix S98 jour (€/L)]])</f>
        <v/>
      </c>
      <c r="M18" s="53" t="str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/>
      </c>
      <c r="N18" s="54" t="str">
        <f>IF(Tableau2[[#This Row],[Type]]&lt;&gt;"SuperEthanol E85","",IF(Tableau2[[#This Row],[Coût Plein (€)]]="","",IF(N17&lt;&gt;"",N17+(L18-Tableau2[[#This Row],[Coût Plein (€)]]),L18-Tableau2[[#This Row],[Coût Plein (€)]])))</f>
        <v/>
      </c>
      <c r="O18" s="142" t="str" cm="1">
        <f t="array" ref="O18">IFERROR(INDEX(GS_Pleins[Station essence],ROW()-15),"")</f>
        <v>Leclerc - Douai</v>
      </c>
      <c r="Q18" s="3" cm="1">
        <f t="array" ref="Q18">IFERROR(IF(SMALL(IF((Tableau2[Type]="SuperEthanol E85")*(Tableau2[Économie cumulée (€)]&lt;&gt;""),ROW(Tableau2[Type])),2)&gt;0,2,NA()),NA())</f>
        <v>2</v>
      </c>
      <c r="R18" s="3" cm="1">
        <f t="array" ref="R18">IFERROR(INDEX(Tableau2[Économie cumulée (€)],SMALL(IF((Tableau2[Type]="SuperEthanol E85")*(Tableau2[Économie cumulée (€)]&lt;&gt;""),ROW(Tableau2[Type])-ROW(Tableau2[#Headers])),2)),NA())</f>
        <v>22.175637055530014</v>
      </c>
      <c r="S18" s="3">
        <f t="shared" si="4"/>
        <v>514.54</v>
      </c>
    </row>
    <row r="19" spans="1:19" x14ac:dyDescent="0.25">
      <c r="A19" s="45">
        <f t="shared" si="3"/>
        <v>4</v>
      </c>
      <c r="B19" s="139">
        <f>IFERROR(INDEX(GS_Pleins[Date],ROW()-15),"")</f>
        <v>46146.083333333336</v>
      </c>
      <c r="C19" s="140" t="str" cm="1">
        <f t="array" ref="C19">IFERROR(INDEX(GS_Pleins[Type],ROW()-ROW(Tableau2[#Headers])),"")</f>
        <v>SuperEthanol E85</v>
      </c>
      <c r="D19" s="46">
        <f>IFERROR(INDEX(GS_Pleins[Km],ROW()-15),"")</f>
        <v>10553</v>
      </c>
      <c r="E19" s="60">
        <f>IF(AND(ISNUMBER(D18),Tableau2[[#This Row],[Km compteur]]&lt;&gt;""),Tableau2[[#This Row],[Km compteur]]-D18,"")</f>
        <v>204</v>
      </c>
      <c r="F19" s="47">
        <f>IFERROR(INDEX(GS_Pleins[Litres],ROW()-15),"")</f>
        <v>11.47</v>
      </c>
      <c r="G19" s="48">
        <f>IFERROR(INDEX(GS_Pleins[PrixL],ROW()-15),"")</f>
        <v>0.80900000000000005</v>
      </c>
      <c r="H19" s="49">
        <f t="shared" si="0"/>
        <v>5.6225490196078436</v>
      </c>
      <c r="I19" s="50">
        <f t="shared" si="1"/>
        <v>9.2792300000000019</v>
      </c>
      <c r="J19" s="51">
        <f t="shared" si="2"/>
        <v>5.6225490196078436</v>
      </c>
      <c r="K19" s="52">
        <v>2.0790000000000002</v>
      </c>
      <c r="L19" s="50">
        <f>IF(OR(Tableau2[[#This Row],[Type]]&lt;&gt;"SuperEthanol E85",Tableau2[[#This Row],[Nb. Litres]]="",Tableau2[[#This Row],[Prix S98 jour (€/L)]]=""),"",Tableau2[[#This Row],[Nb. Litres]]/(1+$J$7)*Tableau2[[#This Row],[Prix S98 jour (€/L)]])</f>
        <v>19.8015762707916</v>
      </c>
      <c r="M19" s="53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0.53138932612716439</v>
      </c>
      <c r="N19" s="54">
        <f>IF(Tableau2[[#This Row],[Type]]&lt;&gt;"SuperEthanol E85","",IF(Tableau2[[#This Row],[Coût Plein (€)]]="","",IF(N18&lt;&gt;"",N18+(L19-Tableau2[[#This Row],[Coût Plein (€)]]),L19-Tableau2[[#This Row],[Coût Plein (€)]])))</f>
        <v>10.522346270791598</v>
      </c>
      <c r="O19" s="142" t="str" cm="1">
        <f t="array" ref="O19">IFERROR(INDEX(GS_Pleins[Station essence],ROW()-15),"")</f>
        <v>E.Leclerc - Beuvry</v>
      </c>
      <c r="Q19" s="3" cm="1">
        <f t="array" ref="Q19">IFERROR(IF(SMALL(IF((Tableau2[Type]="SuperEthanol E85")*(Tableau2[Économie cumulée (€)]&lt;&gt;""),ROW(Tableau2[Type])),3)&gt;0,3,NA()),NA())</f>
        <v>3</v>
      </c>
      <c r="R19" s="3" cm="1">
        <f t="array" ref="R19">IFERROR(INDEX(Tableau2[Économie cumulée (€)],SMALL(IF((Tableau2[Type]="SuperEthanol E85")*(Tableau2[Économie cumulée (€)]&lt;&gt;""),ROW(Tableau2[Type])-ROW(Tableau2[#Headers])),3)),NA())</f>
        <v>37.22883903595725</v>
      </c>
      <c r="S19" s="3">
        <f t="shared" si="4"/>
        <v>514.54</v>
      </c>
    </row>
    <row r="20" spans="1:19" x14ac:dyDescent="0.25">
      <c r="A20" s="45">
        <f t="shared" si="3"/>
        <v>5</v>
      </c>
      <c r="B20" s="139">
        <f>IFERROR(INDEX(GS_Pleins[Date],ROW()-15),"")</f>
        <v>46148.083333333336</v>
      </c>
      <c r="C20" s="140" t="str" cm="1">
        <f t="array" ref="C20">IFERROR(INDEX(GS_Pleins[Type],ROW()-ROW(Tableau2[#Headers])),"")</f>
        <v>SuperEthanol E85</v>
      </c>
      <c r="D20" s="46">
        <f>IFERROR(INDEX(GS_Pleins[Km],ROW()-15),"")</f>
        <v>10749</v>
      </c>
      <c r="E20" s="60">
        <f>IF(AND(ISNUMBER(D19),Tableau2[[#This Row],[Km compteur]]&lt;&gt;""),Tableau2[[#This Row],[Km compteur]]-D19,"")</f>
        <v>196</v>
      </c>
      <c r="F20" s="47">
        <f>IFERROR(INDEX(GS_Pleins[Litres],ROW()-15),"")</f>
        <v>11.71</v>
      </c>
      <c r="G20" s="48">
        <f>IFERROR(INDEX(GS_Pleins[PrixL],ROW()-15),"")</f>
        <v>0.747</v>
      </c>
      <c r="H20" s="49">
        <f t="shared" si="0"/>
        <v>5.9744897959183678</v>
      </c>
      <c r="I20" s="50">
        <f t="shared" si="1"/>
        <v>8.7473700000000001</v>
      </c>
      <c r="J20" s="51">
        <f t="shared" si="2"/>
        <v>5.9744897959183678</v>
      </c>
      <c r="K20" s="52">
        <v>2.0979999999999999</v>
      </c>
      <c r="L20" s="50">
        <f>IF(OR(Tableau2[[#This Row],[Type]]&lt;&gt;"SuperEthanol E85",Tableau2[[#This Row],[Nb. Litres]]="",Tableau2[[#This Row],[Prix S98 jour (€/L)]]=""),"",Tableau2[[#This Row],[Nb. Litres]]/(1+$J$7)*Tableau2[[#This Row],[Prix S98 jour (€/L)]])</f>
        <v>20.400660784738417</v>
      </c>
      <c r="M20" s="53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0.57122124168919852</v>
      </c>
      <c r="N20" s="54">
        <f>IF(Tableau2[[#This Row],[Type]]&lt;&gt;"SuperEthanol E85","",IF(Tableau2[[#This Row],[Coût Plein (€)]]="","",IF(N19&lt;&gt;"",N19+(L20-Tableau2[[#This Row],[Coût Plein (€)]]),L20-Tableau2[[#This Row],[Coût Plein (€)]])))</f>
        <v>22.175637055530014</v>
      </c>
      <c r="O20" s="142" t="str" cm="1">
        <f t="array" ref="O20">IFERROR(INDEX(GS_Pleins[Station essence],ROW()-15),"")</f>
        <v>E.Leclerc - Beuvry</v>
      </c>
      <c r="Q20" s="3" cm="1">
        <f t="array" ref="Q20">IFERROR(IF(SMALL(IF((Tableau2[Type]="SuperEthanol E85")*(Tableau2[Économie cumulée (€)]&lt;&gt;""),ROW(Tableau2[Type])),4)&gt;0,4,NA()),NA())</f>
        <v>4</v>
      </c>
      <c r="R20" s="3" cm="1">
        <f t="array" ref="R20">IFERROR(INDEX(Tableau2[Économie cumulée (€)],SMALL(IF((Tableau2[Type]="SuperEthanol E85")*(Tableau2[Économie cumulée (€)]&lt;&gt;""),ROW(Tableau2[Type])-ROW(Tableau2[#Headers])),4)),NA())</f>
        <v>49.839883482082435</v>
      </c>
      <c r="S20" s="3">
        <f t="shared" si="4"/>
        <v>514.54</v>
      </c>
    </row>
    <row r="21" spans="1:19" x14ac:dyDescent="0.25">
      <c r="A21" s="45">
        <f t="shared" si="3"/>
        <v>6</v>
      </c>
      <c r="B21" s="139">
        <f>IFERROR(INDEX(GS_Pleins[Date],ROW()-15),"")</f>
        <v>46151.083333333336</v>
      </c>
      <c r="C21" s="140" t="str" cm="1">
        <f t="array" ref="C21">IFERROR(INDEX(GS_Pleins[Type],ROW()-ROW(Tableau2[#Headers])),"")</f>
        <v>SuperEthanol E85</v>
      </c>
      <c r="D21" s="46">
        <f>IFERROR(INDEX(GS_Pleins[Km],ROW()-15),"")</f>
        <v>10975</v>
      </c>
      <c r="E21" s="60">
        <f>IF(AND(ISNUMBER(D20),Tableau2[[#This Row],[Km compteur]]&lt;&gt;""),Tableau2[[#This Row],[Km compteur]]-D20,"")</f>
        <v>226</v>
      </c>
      <c r="F21" s="47">
        <f>IFERROR(INDEX(GS_Pleins[Litres],ROW()-15),"")</f>
        <v>15.28</v>
      </c>
      <c r="G21" s="48">
        <f>IFERROR(INDEX(GS_Pleins[PrixL],ROW()-15),"")</f>
        <v>0.75700000000000001</v>
      </c>
      <c r="H21" s="49">
        <f t="shared" si="0"/>
        <v>6.7610619469026547</v>
      </c>
      <c r="I21" s="50">
        <f t="shared" si="1"/>
        <v>11.56696</v>
      </c>
      <c r="J21" s="51">
        <f t="shared" si="2"/>
        <v>6.7610619469026547</v>
      </c>
      <c r="K21" s="52">
        <v>2.0979999999999999</v>
      </c>
      <c r="L21" s="50">
        <f>IF(OR(Tableau2[[#This Row],[Type]]&lt;&gt;"SuperEthanol E85",Tableau2[[#This Row],[Nb. Litres]]="",Tableau2[[#This Row],[Prix S98 jour (€/L)]]=""),"",Tableau2[[#This Row],[Nb. Litres]]/(1+$J$7)*Tableau2[[#This Row],[Prix S98 jour (€/L)]])</f>
        <v>26.620161980427238</v>
      </c>
      <c r="M21" s="53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0.56548123153778207</v>
      </c>
      <c r="N21" s="54">
        <f>IF(Tableau2[[#This Row],[Type]]&lt;&gt;"SuperEthanol E85","",IF(Tableau2[[#This Row],[Coût Plein (€)]]="","",IF(N20&lt;&gt;"",N20+(L21-Tableau2[[#This Row],[Coût Plein (€)]]),L21-Tableau2[[#This Row],[Coût Plein (€)]])))</f>
        <v>37.22883903595725</v>
      </c>
      <c r="O21" s="142" t="str" cm="1">
        <f t="array" ref="O21">IFERROR(INDEX(GS_Pleins[Station essence],ROW()-15),"")</f>
        <v>E.Leclerc - Beuvry</v>
      </c>
      <c r="Q21" s="3" cm="1">
        <f t="array" ref="Q21">IFERROR(IF(SMALL(IF((Tableau2[Type]="SuperEthanol E85")*(Tableau2[Économie cumulée (€)]&lt;&gt;""),ROW(Tableau2[Type])),5)&gt;0,5,NA()),NA())</f>
        <v>5</v>
      </c>
      <c r="R21" s="3" cm="1">
        <f t="array" ref="R21">IFERROR(INDEX(Tableau2[Économie cumulée (€)],SMALL(IF((Tableau2[Type]="SuperEthanol E85")*(Tableau2[Économie cumulée (€)]&lt;&gt;""),ROW(Tableau2[Type])-ROW(Tableau2[#Headers])),5)),NA())</f>
        <v>63.512928291601355</v>
      </c>
      <c r="S21" s="3">
        <f t="shared" si="4"/>
        <v>514.54</v>
      </c>
    </row>
    <row r="22" spans="1:19" x14ac:dyDescent="0.25">
      <c r="A22" s="45">
        <f t="shared" si="3"/>
        <v>7</v>
      </c>
      <c r="B22" s="139">
        <f>IFERROR(INDEX(GS_Pleins[Date],ROW()-15),"")</f>
        <v>46154.083333333336</v>
      </c>
      <c r="C22" s="141" t="str" cm="1">
        <f t="array" ref="C22">IFERROR(INDEX(GS_Pleins[Type],ROW()-ROW(Tableau2[#Headers])),"")</f>
        <v>SuperEthanol E85</v>
      </c>
      <c r="D22" s="60">
        <f>IFERROR(INDEX(GS_Pleins[Km],ROW()-15),"")</f>
        <v>11173</v>
      </c>
      <c r="E22" s="60">
        <f>IF(AND(ISNUMBER(D21),Tableau2[[#This Row],[Km compteur]]&lt;&gt;""),Tableau2[[#This Row],[Km compteur]]-D21,"")</f>
        <v>198</v>
      </c>
      <c r="F22" s="61">
        <f>IFERROR(INDEX(GS_Pleins[Litres],ROW()-15),"")</f>
        <v>13.94</v>
      </c>
      <c r="G22" s="62">
        <f>IFERROR(INDEX(GS_Pleins[PrixL],ROW()-15),"")</f>
        <v>0.83499999999999996</v>
      </c>
      <c r="H22" s="49">
        <f t="shared" si="0"/>
        <v>7.0404040404040398</v>
      </c>
      <c r="I22" s="50">
        <f>IF(F22="","",F22*G22)</f>
        <v>11.639899999999999</v>
      </c>
      <c r="J22" s="51">
        <f t="shared" si="2"/>
        <v>7.0404040404040398</v>
      </c>
      <c r="K22" s="63">
        <v>2.0950000000000002</v>
      </c>
      <c r="L22" s="50">
        <f>IF(OR(Tableau2[[#This Row],[Type]]&lt;&gt;"SuperEthanol E85",Tableau2[[#This Row],[Nb. Litres]]="",Tableau2[[#This Row],[Prix S98 jour (€/L)]]=""),"",Tableau2[[#This Row],[Nb. Litres]]/(1+$J$7)*Tableau2[[#This Row],[Prix S98 jour (€/L)]])</f>
        <v>24.250944446125185</v>
      </c>
      <c r="M22" s="59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0.5200228170140474</v>
      </c>
      <c r="N22" s="54">
        <f>IF(Tableau2[[#This Row],[Type]]&lt;&gt;"SuperEthanol E85","",IF(Tableau2[[#This Row],[Coût Plein (€)]]="","",IF(N21&lt;&gt;"",N21+(L22-Tableau2[[#This Row],[Coût Plein (€)]]),L22-Tableau2[[#This Row],[Coût Plein (€)]])))</f>
        <v>49.839883482082435</v>
      </c>
      <c r="O22" s="142" t="str" cm="1">
        <f t="array" ref="O22">IFERROR(INDEX(GS_Pleins[Station essence],ROW()-15),"")</f>
        <v>E.Leclerc - Beuvry</v>
      </c>
      <c r="Q22" s="3" cm="1">
        <f t="array" ref="Q22">IFERROR(IF(SMALL(IF((Tableau2[Type]="SuperEthanol E85")*(Tableau2[Économie cumulée (€)]&lt;&gt;""),ROW(Tableau2[Type])),6)&gt;0,6,NA()),NA())</f>
        <v>6</v>
      </c>
      <c r="R22" s="3" cm="1">
        <f t="array" ref="R22">IFERROR(INDEX(Tableau2[Économie cumulée (€)],SMALL(IF((Tableau2[Type]="SuperEthanol E85")*(Tableau2[Économie cumulée (€)]&lt;&gt;""),ROW(Tableau2[Type])-ROW(Tableau2[#Headers])),6)),NA())</f>
        <v>77.494260910737296</v>
      </c>
      <c r="S22" s="3">
        <f t="shared" si="4"/>
        <v>514.54</v>
      </c>
    </row>
    <row r="23" spans="1:19" x14ac:dyDescent="0.25">
      <c r="A23" s="45">
        <f t="shared" si="3"/>
        <v>8</v>
      </c>
      <c r="B23" s="139">
        <f>IFERROR(INDEX(GS_Pleins[Date],ROW()-15),"")</f>
        <v>46157.083333333336</v>
      </c>
      <c r="C23" s="140" t="str" cm="1">
        <f t="array" ref="C23">IFERROR(INDEX(GS_Pleins[Type],ROW()-ROW(Tableau2[#Headers])),"")</f>
        <v>SuperEthanol E85</v>
      </c>
      <c r="D23" s="46">
        <f>IFERROR(INDEX(GS_Pleins[Km],ROW()-15),"")</f>
        <v>11376</v>
      </c>
      <c r="E23" s="60">
        <f>IF(AND(ISNUMBER(D22),Tableau2[[#This Row],[Km compteur]]&lt;&gt;""),Tableau2[[#This Row],[Km compteur]]-D22,"")</f>
        <v>203</v>
      </c>
      <c r="F23" s="47">
        <f>IFERROR(INDEX(GS_Pleins[Litres],ROW()-15),"")</f>
        <v>13.37</v>
      </c>
      <c r="G23" s="48">
        <f>IFERROR(INDEX(GS_Pleins[PrixL],ROW()-15),"")</f>
        <v>0.71699999999999997</v>
      </c>
      <c r="H23" s="49">
        <f t="shared" si="0"/>
        <v>6.5862068965517233</v>
      </c>
      <c r="I23" s="50">
        <f t="shared" si="1"/>
        <v>9.5862899999999982</v>
      </c>
      <c r="J23" s="51">
        <f t="shared" si="2"/>
        <v>6.5862068965517233</v>
      </c>
      <c r="K23" s="52">
        <v>2.0950000000000002</v>
      </c>
      <c r="L23" s="50">
        <f>IF(OR(Tableau2[[#This Row],[Type]]&lt;&gt;"SuperEthanol E85",Tableau2[[#This Row],[Nb. Litres]]="",Tableau2[[#This Row],[Prix S98 jour (€/L)]]=""),"",Tableau2[[#This Row],[Nb. Litres]]/(1+$J$7)*Tableau2[[#This Row],[Prix S98 jour (€/L)]])</f>
        <v>23.259334809518919</v>
      </c>
      <c r="M23" s="53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0.58785192790308027</v>
      </c>
      <c r="N23" s="54">
        <f>IF(Tableau2[[#This Row],[Type]]&lt;&gt;"SuperEthanol E85","",IF(Tableau2[[#This Row],[Coût Plein (€)]]="","",IF(N22&lt;&gt;"",N22+(L23-Tableau2[[#This Row],[Coût Plein (€)]]),L23-Tableau2[[#This Row],[Coût Plein (€)]])))</f>
        <v>63.512928291601355</v>
      </c>
      <c r="O23" s="142" t="str" cm="1">
        <f t="array" ref="O23">IFERROR(INDEX(GS_Pleins[Station essence],ROW()-15),"")</f>
        <v>E.Leclerc - Beuvry</v>
      </c>
      <c r="Q23" s="3" cm="1">
        <f t="array" ref="Q23">IFERROR(IF(SMALL(IF((Tableau2[Type]="SuperEthanol E85")*(Tableau2[Économie cumulée (€)]&lt;&gt;""),ROW(Tableau2[Type])),7)&gt;0,7,NA()),NA())</f>
        <v>7</v>
      </c>
      <c r="R23" s="3" cm="1">
        <f t="array" ref="R23">IFERROR(INDEX(Tableau2[Économie cumulée (€)],SMALL(IF((Tableau2[Type]="SuperEthanol E85")*(Tableau2[Économie cumulée (€)]&lt;&gt;""),ROW(Tableau2[Type])-ROW(Tableau2[#Headers])),7)),NA())</f>
        <v>93.093198134956467</v>
      </c>
      <c r="S23" s="3">
        <f t="shared" si="4"/>
        <v>514.54</v>
      </c>
    </row>
    <row r="24" spans="1:19" x14ac:dyDescent="0.25">
      <c r="A24" s="74">
        <f>IF(B24="","",A23+1)</f>
        <v>9</v>
      </c>
      <c r="B24" s="139">
        <f>IFERROR(INDEX(GS_Pleins[Date],ROW()-15),"")</f>
        <v>46161.083333333336</v>
      </c>
      <c r="C24" s="141" t="str" cm="1">
        <f t="array" ref="C24">IFERROR(INDEX(GS_Pleins[Type],ROW()-ROW(Tableau2[#Headers])),"")</f>
        <v>SuperEthanol E85</v>
      </c>
      <c r="D24" s="60">
        <f>IFERROR(INDEX(GS_Pleins[Km],ROW()-15),"")</f>
        <v>11596</v>
      </c>
      <c r="E24" s="60">
        <f>IF(AND(ISNUMBER(D23),Tableau2[[#This Row],[Km compteur]]&lt;&gt;""),Tableau2[[#This Row],[Km compteur]]-D23,"")</f>
        <v>220</v>
      </c>
      <c r="F24" s="61">
        <f>IFERROR(INDEX(GS_Pleins[Litres],ROW()-15),"")</f>
        <v>14.9</v>
      </c>
      <c r="G24" s="62">
        <f>IFERROR(INDEX(GS_Pleins[PrixL],ROW()-15),"")</f>
        <v>0.79800000000000004</v>
      </c>
      <c r="H24" s="73">
        <f>IF(OR(D24="",D23="",I24="",ISTEXT(D23)),"",F24/(D24-D23)*100)</f>
        <v>6.7727272727272734</v>
      </c>
      <c r="I24" s="50">
        <f>IF(F24="","",F24*G24)</f>
        <v>11.8902</v>
      </c>
      <c r="J24" s="51">
        <f>IF(OR(D24="",D23="",F24="",ISTEXT(D23)),"",F24/(D24-D23)*100)</f>
        <v>6.7727272727272734</v>
      </c>
      <c r="K24" s="63">
        <v>2.0910000000000002</v>
      </c>
      <c r="L24" s="50">
        <f>IF(OR(Tableau2[[#This Row],[Type]]&lt;&gt;"SuperEthanol E85",Tableau2[[#This Row],[Nb. Litres]]="",Tableau2[[#This Row],[Prix S98 jour (€/L)]]=""),"",Tableau2[[#This Row],[Nb. Litres]]/(1+$J$7)*Tableau2[[#This Row],[Prix S98 jour (€/L)]])</f>
        <v>25.871532619135941</v>
      </c>
      <c r="M24" s="59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0.54041377544037006</v>
      </c>
      <c r="N24" s="54">
        <f>IF(Tableau2[[#This Row],[Type]]&lt;&gt;"SuperEthanol E85","",IF(Tableau2[[#This Row],[Coût Plein (€)]]="","",IF(N23&lt;&gt;"",N23+(L24-Tableau2[[#This Row],[Coût Plein (€)]]),L24-Tableau2[[#This Row],[Coût Plein (€)]])))</f>
        <v>77.494260910737296</v>
      </c>
      <c r="O24" s="142" t="str" cm="1">
        <f t="array" ref="O24">IFERROR(INDEX(GS_Pleins[Station essence],ROW()-15),"")</f>
        <v>E.Leclerc - Beuvry</v>
      </c>
      <c r="Q24" s="3" t="e" cm="1">
        <f t="array" ref="Q24">IFERROR(IF(SMALL(IF((Tableau2[Type]="SuperEthanol E85")*(Tableau2[Économie cumulée (€)]&lt;&gt;""),ROW(Tableau2[Type])),11)&gt;0,11,NA()),NA())</f>
        <v>#N/A</v>
      </c>
      <c r="R24" s="3" t="e" cm="1">
        <f t="array" ref="R24">IFERROR(INDEX(Tableau2[Économie cumulée (€)],SMALL(IF((Tableau2[Type]="SuperEthanol E85")*(Tableau2[Économie cumulée (€)]&lt;&gt;""),ROW(Tableau2[Type])-ROW(Tableau2[#Headers])),11)),NA())</f>
        <v>#N/A</v>
      </c>
      <c r="S24" s="3" t="e">
        <f t="shared" si="4"/>
        <v>#N/A</v>
      </c>
    </row>
    <row r="25" spans="1:19" x14ac:dyDescent="0.25">
      <c r="A25" s="74">
        <f>IF(B25="","",A24+1)</f>
        <v>10</v>
      </c>
      <c r="B25" s="139">
        <f>IFERROR(INDEX(GS_Pleins[Date],ROW()-15),"")</f>
        <v>46164.083333333336</v>
      </c>
      <c r="C25" s="141" t="str" cm="1">
        <f t="array" ref="C25">IFERROR(INDEX(GS_Pleins[Type],ROW()-ROW(Tableau2[#Headers])),"")</f>
        <v>SuperEthanol E85</v>
      </c>
      <c r="D25" s="60">
        <f>IFERROR(INDEX(GS_Pleins[Km],ROW()-15),"")</f>
        <v>11831</v>
      </c>
      <c r="E25" s="60">
        <f>IF(AND(ISNUMBER(D24),Tableau2[[#This Row],[Km compteur]]&lt;&gt;""),Tableau2[[#This Row],[Km compteur]]-D24,"")</f>
        <v>235</v>
      </c>
      <c r="F25" s="61">
        <f>IFERROR(INDEX(GS_Pleins[Litres],ROW()-15),"")</f>
        <v>16.25</v>
      </c>
      <c r="G25" s="62">
        <f>IFERROR(INDEX(GS_Pleins[PrixL],ROW()-15),"")</f>
        <v>0.79800000000000004</v>
      </c>
      <c r="H25" s="73">
        <f>IF(OR(D25="",D24="",I25="",ISTEXT(D24)),"",F25/(D25-D24)*100)</f>
        <v>6.9148936170212769</v>
      </c>
      <c r="I25" s="50">
        <f>IF(F25="","",F25*G25)</f>
        <v>12.967500000000001</v>
      </c>
      <c r="J25" s="51">
        <f>IF(OR(D25="",D24="",F25="",ISTEXT(D24)),"",F25/(D25-D24)*100)</f>
        <v>6.9148936170212769</v>
      </c>
      <c r="K25" s="63">
        <v>2.117</v>
      </c>
      <c r="L25" s="50">
        <f>IF(OR(Tableau2[[#This Row],[Type]]&lt;&gt;"SuperEthanol E85",Tableau2[[#This Row],[Nb. Litres]]="",Tableau2[[#This Row],[Prix S98 jour (€/L)]]=""),"",Tableau2[[#This Row],[Nb. Litres]]/(1+$J$7)*Tableau2[[#This Row],[Prix S98 jour (€/L)]])</f>
        <v>28.566437224219172</v>
      </c>
      <c r="M25" s="59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0.54605819765980801</v>
      </c>
      <c r="N25" s="50">
        <f>IF(Tableau2[[#This Row],[Type]]&lt;&gt;"SuperEthanol E85","",IF(Tableau2[[#This Row],[Coût Plein (€)]]="","",IF(N24&lt;&gt;"",N24+(L25-Tableau2[[#This Row],[Coût Plein (€)]]),L25-Tableau2[[#This Row],[Coût Plein (€)]])))</f>
        <v>93.093198134956467</v>
      </c>
      <c r="O25" s="142" t="str" cm="1">
        <f t="array" ref="O25">IFERROR(INDEX(GS_Pleins[Station essence],ROW()-15),"")</f>
        <v>E.Leclerc - Beuvry</v>
      </c>
      <c r="Q25" s="3" t="e" cm="1">
        <f t="array" ref="Q25">IFERROR(IF(SMALL(IF((Tableau2[Type]="SuperEthanol E85")*(Tableau2[Économie cumulée (€)]&lt;&gt;""),ROW(Tableau2[Type])),14)&gt;0,14,NA()),NA())</f>
        <v>#N/A</v>
      </c>
      <c r="R25" s="3" t="e" cm="1">
        <f t="array" ref="R25">IFERROR(INDEX(Tableau2[Économie cumulée (€)],SMALL(IF((Tableau2[Type]="SuperEthanol E85")*(Tableau2[Économie cumulée (€)]&lt;&gt;""),ROW(Tableau2[Type])-ROW(Tableau2[#Headers])),14)),NA())</f>
        <v>#N/A</v>
      </c>
      <c r="S25" s="3" t="e">
        <f t="shared" si="4"/>
        <v>#N/A</v>
      </c>
    </row>
    <row r="26" spans="1:19" x14ac:dyDescent="0.25">
      <c r="A26" s="74">
        <f>IF(B26="","",A25+1)</f>
        <v>11</v>
      </c>
      <c r="B26" s="139">
        <f>IFERROR(INDEX(GS_Pleins[Date],ROW()-15),"")</f>
        <v>46170.083333333336</v>
      </c>
      <c r="C26" s="141" t="str" cm="1">
        <f t="array" ref="C26">IFERROR(INDEX(GS_Pleins[Type],ROW()-ROW(Tableau2[#Headers])),"")</f>
        <v>SuperEthanol E85</v>
      </c>
      <c r="D26" s="60">
        <f>IFERROR(INDEX(GS_Pleins[Km],ROW()-15),"")</f>
        <v>12041</v>
      </c>
      <c r="E26" s="60">
        <f>IF(AND(ISNUMBER(D25),Tableau2[[#This Row],[Km compteur]]&lt;&gt;""),Tableau2[[#This Row],[Km compteur]]-D25,"")</f>
        <v>210</v>
      </c>
      <c r="F26" s="61">
        <f>IFERROR(INDEX(GS_Pleins[Litres],ROW()-15),"")</f>
        <v>13.23</v>
      </c>
      <c r="G26" s="62">
        <f>IFERROR(INDEX(GS_Pleins[PrixL],ROW()-15),"")</f>
        <v>0.84899999999999998</v>
      </c>
      <c r="H26" s="73">
        <f>IF(OR(D26="",D25="",I26="",ISTEXT(D25)),"",F26/(D26-D25)*100)</f>
        <v>6.3</v>
      </c>
      <c r="I26" s="50">
        <f>IF(F26="","",F26*G26)</f>
        <v>11.23227</v>
      </c>
      <c r="J26" s="51">
        <f>IF(OR(D26="",D25="",F26="",ISTEXT(D25)),"",F26/(D26-D25)*100)</f>
        <v>6.3</v>
      </c>
      <c r="K26" s="63">
        <v>2.1789999999999998</v>
      </c>
      <c r="L26" s="50">
        <f>IF(OR(Tableau2[[#This Row],[Type]]&lt;&gt;"SuperEthanol E85",Tableau2[[#This Row],[Nb. Litres]]="",Tableau2[[#This Row],[Prix S98 jour (€/L)]]=""),"",Tableau2[[#This Row],[Nb. Litres]]/(1+$J$7)*Tableau2[[#This Row],[Prix S98 jour (€/L)]])</f>
        <v>23.938610038708429</v>
      </c>
      <c r="M26" s="59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0.53078854696084854</v>
      </c>
      <c r="N26" s="50">
        <f>IF(Tableau2[[#This Row],[Type]]&lt;&gt;"SuperEthanol E85","",IF(Tableau2[[#This Row],[Coût Plein (€)]]="","",IF(N25&lt;&gt;"",N25+(L26-Tableau2[[#This Row],[Coût Plein (€)]]),L26-Tableau2[[#This Row],[Coût Plein (€)]])))</f>
        <v>105.7995381736649</v>
      </c>
      <c r="O26" s="142" t="str" cm="1">
        <f t="array" ref="O26">IFERROR(INDEX(GS_Pleins[Station essence],ROW()-15),"")</f>
        <v>Carrefour - Flers</v>
      </c>
      <c r="Q26" s="3" t="e" cm="1">
        <f t="array" ref="Q26">IFERROR(IF(SMALL(IF((Tableau2[Type]="SuperEthanol E85")*(Tableau2[Économie cumulée (€)]&lt;&gt;""),ROW(Tableau2[Type])),15)&gt;0,15,NA()),NA())</f>
        <v>#N/A</v>
      </c>
      <c r="R26" s="3" t="e" cm="1">
        <f t="array" ref="R26">IFERROR(INDEX(Tableau2[Économie cumulée (€)],SMALL(IF((Tableau2[Type]="SuperEthanol E85")*(Tableau2[Économie cumulée (€)]&lt;&gt;""),ROW(Tableau2[Type])-ROW(Tableau2[#Headers])),15)),NA())</f>
        <v>#N/A</v>
      </c>
      <c r="S26" s="3" t="e">
        <f t="shared" si="4"/>
        <v>#N/A</v>
      </c>
    </row>
    <row r="27" spans="1:19" x14ac:dyDescent="0.25">
      <c r="A27" s="4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Q27" s="3" t="e" cm="1">
        <f t="array" ref="Q27">IFERROR(IF(SMALL(IF((Tableau2[Type]="SuperEthanol E85")*(Tableau2[Économie cumulée (€)]&lt;&gt;""),ROW(Tableau2[Type])),16)&gt;0,16,NA()),NA())</f>
        <v>#N/A</v>
      </c>
      <c r="R27" s="3" t="e" cm="1">
        <f t="array" ref="R27">IFERROR(INDEX(Tableau2[Économie cumulée (€)],SMALL(IF((Tableau2[Type]="SuperEthanol E85")*(Tableau2[Économie cumulée (€)]&lt;&gt;""),ROW(Tableau2[Type])-ROW(Tableau2[#Headers])),16)),NA())</f>
        <v>#N/A</v>
      </c>
      <c r="S27" s="3" t="e">
        <f t="shared" si="4"/>
        <v>#N/A</v>
      </c>
    </row>
    <row r="28" spans="1:19" ht="18.75" x14ac:dyDescent="0.25">
      <c r="A28" s="146" t="s">
        <v>15</v>
      </c>
      <c r="B28" s="5"/>
      <c r="C28" s="5"/>
      <c r="D28" s="5"/>
      <c r="E28" s="5"/>
      <c r="F28" s="4"/>
      <c r="G28" s="15" t="s">
        <v>19</v>
      </c>
      <c r="H28" s="16"/>
      <c r="I28" s="16"/>
      <c r="J28" s="16"/>
      <c r="K28" s="16"/>
      <c r="L28" s="16"/>
      <c r="M28" s="4"/>
      <c r="Q28" s="3" t="e" cm="1">
        <f t="array" ref="Q28">IFERROR(IF(SMALL(IF((Tableau2[Type]="SuperEthanol E85")*(Tableau2[Économie cumulée (€)]&lt;&gt;""),ROW(Tableau2[Type])),17)&gt;0,17,NA()),NA())</f>
        <v>#N/A</v>
      </c>
      <c r="R28" s="3" t="e" cm="1">
        <f t="array" ref="R28">IFERROR(INDEX(Tableau2[Économie cumulée (€)],SMALL(IF((Tableau2[Type]="SuperEthanol E85")*(Tableau2[Économie cumulée (€)]&lt;&gt;""),ROW(Tableau2[Type])-ROW(Tableau2[#Headers])),17)),NA())</f>
        <v>#N/A</v>
      </c>
      <c r="S28" s="3" t="e">
        <f t="shared" si="4"/>
        <v>#N/A</v>
      </c>
    </row>
    <row r="29" spans="1:19" x14ac:dyDescent="0.25">
      <c r="A29" s="6" t="s">
        <v>67</v>
      </c>
      <c r="B29" s="8">
        <f>COUNTIF(C16:C26,"SuperEthanol E85")</f>
        <v>8</v>
      </c>
      <c r="C29" s="8"/>
      <c r="D29" s="8"/>
      <c r="E29" s="8"/>
      <c r="F29" s="4"/>
      <c r="G29" s="17" t="s">
        <v>20</v>
      </c>
      <c r="H29" s="17"/>
      <c r="I29" s="17"/>
      <c r="J29" s="64">
        <f>SUM(L16:L26)</f>
        <v>192.70925817366492</v>
      </c>
      <c r="K29" s="17"/>
      <c r="L29" s="17"/>
      <c r="M29" s="7" t="s">
        <v>21</v>
      </c>
      <c r="Q29" s="3" t="e" cm="1">
        <f t="array" ref="Q29">IFERROR(IF(SMALL(IF((Tableau2[Type]="SuperEthanol E85")*(Tableau2[Économie cumulée (€)]&lt;&gt;""),ROW(Tableau2[Type])),18)&gt;0,18,NA()),NA())</f>
        <v>#N/A</v>
      </c>
      <c r="R29" s="3" t="e" cm="1">
        <f t="array" ref="R29">IFERROR(INDEX(Tableau2[Économie cumulée (€)],SMALL(IF((Tableau2[Type]="SuperEthanol E85")*(Tableau2[Économie cumulée (€)]&lt;&gt;""),ROW(Tableau2[Type])-ROW(Tableau2[#Headers])),18)),NA())</f>
        <v>#N/A</v>
      </c>
      <c r="S29" s="3" t="e">
        <f t="shared" si="4"/>
        <v>#N/A</v>
      </c>
    </row>
    <row r="30" spans="1:19" x14ac:dyDescent="0.25">
      <c r="A30" s="9" t="s">
        <v>66</v>
      </c>
      <c r="B30" s="20">
        <f>COUNTIF(C16:C26,"Super 98")</f>
        <v>3</v>
      </c>
      <c r="C30" s="10"/>
      <c r="D30" s="10"/>
      <c r="E30" s="10"/>
      <c r="F30" s="4"/>
      <c r="G30" s="18" t="s">
        <v>22</v>
      </c>
      <c r="H30" s="18"/>
      <c r="I30" s="18"/>
      <c r="J30" s="65">
        <f>IF(J29=0,"",J29-B35)</f>
        <v>105.79953817366493</v>
      </c>
      <c r="K30" s="18"/>
      <c r="L30" s="18"/>
      <c r="M30" s="7" t="s">
        <v>23</v>
      </c>
      <c r="Q30" s="3" t="e" cm="1">
        <f t="array" ref="Q30">IFERROR(IF(SMALL(IF((Tableau2[Type]="SuperEthanol E85")*(Tableau2[Économie cumulée (€)]&lt;&gt;""),ROW(Tableau2[Type])),19)&gt;0,19,NA()),NA())</f>
        <v>#N/A</v>
      </c>
      <c r="R30" s="3" t="e" cm="1">
        <f t="array" ref="R30">IFERROR(INDEX(Tableau2[Économie cumulée (€)],SMALL(IF((Tableau2[Type]="SuperEthanol E85")*(Tableau2[Économie cumulée (€)]&lt;&gt;""),ROW(Tableau2[Type])-ROW(Tableau2[#Headers])),19)),NA())</f>
        <v>#N/A</v>
      </c>
      <c r="S30" s="3" t="e">
        <f t="shared" si="4"/>
        <v>#N/A</v>
      </c>
    </row>
    <row r="31" spans="1:19" x14ac:dyDescent="0.25">
      <c r="A31" s="6" t="s">
        <v>16</v>
      </c>
      <c r="B31" s="21">
        <f>IF(COUNTA(D16:D26)&lt;2,"",MAX(D16:D26)-MIN(D16:D26))</f>
        <v>2229</v>
      </c>
      <c r="C31" s="11"/>
      <c r="D31" s="11"/>
      <c r="E31" s="11"/>
      <c r="F31" s="4"/>
      <c r="G31" s="19" t="s">
        <v>24</v>
      </c>
      <c r="H31" s="17"/>
      <c r="I31" s="17"/>
      <c r="J31" s="66">
        <f>IF(J30="","",J30-B5)</f>
        <v>-408.74046182633504</v>
      </c>
      <c r="K31" s="17"/>
      <c r="L31" s="17"/>
      <c r="M31" s="7" t="s">
        <v>25</v>
      </c>
      <c r="P31" s="3" t="e" cm="1">
        <f t="array" ref="P31">IFERROR(IF(SMALL(IF((Tableau2[Type]="SuperEthanol E85")*(Tableau2[Économie cumulée (€)]&lt;&gt;""),ROW(Tableau2[Type])),20)&gt;0,20,NA()),NA())</f>
        <v>#N/A</v>
      </c>
      <c r="Q31" s="3" t="e" cm="1">
        <f t="array" ref="Q31">IFERROR(INDEX(Tableau2[Économie cumulée (€)],SMALL(IF((Tableau2[Type]="SuperEthanol E85")*(Tableau2[Économie cumulée (€)]&lt;&gt;""),ROW(Tableau2[Type])-ROW(Tableau2[#Headers])),20)),NA())</f>
        <v>#N/A</v>
      </c>
      <c r="R31" s="3" t="e">
        <f t="shared" si="4"/>
        <v>#N/A</v>
      </c>
    </row>
    <row r="32" spans="1:19" x14ac:dyDescent="0.25">
      <c r="A32" s="57" t="s">
        <v>182</v>
      </c>
      <c r="B32" s="58">
        <f>IFERROR((LOOKUP(9.99999999999999E+307,Tableau2[Km compteur])-INDEX(Tableau2[Km compteur],1))/(LOOKUP(9.99999999999999E+307,Tableau2[Date])-INDEX(Tableau2[Date],1))*7,"-")</f>
        <v>400.07692307692309</v>
      </c>
      <c r="C32" s="10"/>
      <c r="D32" s="10"/>
      <c r="E32" s="10"/>
      <c r="F32" s="4"/>
      <c r="G32" s="18" t="s">
        <v>26</v>
      </c>
      <c r="H32" s="18"/>
      <c r="I32" s="18"/>
      <c r="J32" s="67">
        <f>IF(OR(B5="",B5=0,J30=""),"",MIN(J30/B5,1))</f>
        <v>0.20561965672963217</v>
      </c>
      <c r="K32" s="18"/>
      <c r="L32" s="18"/>
      <c r="M32" s="4"/>
      <c r="P32" s="3" t="e" cm="1">
        <f t="array" ref="P32">IFERROR(IF(SMALL(IF((Tableau2[Type]="SuperEthanol E85")*(Tableau2[Économie cumulée (€)]&lt;&gt;""),ROW(Tableau2[Type])),21)&gt;0,21,NA()),NA())</f>
        <v>#N/A</v>
      </c>
      <c r="Q32" s="3" t="e" cm="1">
        <f t="array" ref="Q32">IFERROR(INDEX(Tableau2[Économie cumulée (€)],SMALL(IF((Tableau2[Type]="SuperEthanol E85")*(Tableau2[Économie cumulée (€)]&lt;&gt;""),ROW(Tableau2[Type])-ROW(Tableau2[#Headers])),21)),NA())</f>
        <v>#N/A</v>
      </c>
      <c r="R32" s="3" t="e">
        <f t="shared" si="4"/>
        <v>#N/A</v>
      </c>
    </row>
    <row r="33" spans="1:27" x14ac:dyDescent="0.25">
      <c r="A33" s="6" t="s">
        <v>183</v>
      </c>
      <c r="B33" s="56">
        <f>IFERROR((LOOKUP(9.99999999999999E+307,Tableau2[Km compteur])-INDEX(Tableau2[Km compteur],1))/(LOOKUP(9.99999999999999E+307,Tableau2[Date])-INDEX(Tableau2[Date],1))*30.4375,"-")</f>
        <v>1739.6201923076924</v>
      </c>
      <c r="C33" s="11"/>
      <c r="D33" s="11"/>
      <c r="E33" s="11"/>
      <c r="F33" s="4"/>
      <c r="G33" s="17" t="s">
        <v>27</v>
      </c>
      <c r="H33" s="17"/>
      <c r="I33" s="17"/>
      <c r="J33" s="17" t="str">
        <f>IF(J31="","",IF(J31&gt;=0,"✅ OUI ! Rentabilisé !","❌ Pas encore... Encore "&amp;TEXT(ABS(J31),"#,##")&amp;" € à économiser"))</f>
        <v>❌ Pas encore... Encore 408,74 € à économiser</v>
      </c>
      <c r="K33" s="17"/>
      <c r="L33" s="17"/>
      <c r="M33" s="4"/>
    </row>
    <row r="34" spans="1:27" x14ac:dyDescent="0.25">
      <c r="A34" s="9" t="s">
        <v>17</v>
      </c>
      <c r="B34" s="22">
        <f>SUMIF(C16:C26,"SuperEthanol E85",F16:F26)</f>
        <v>110.15</v>
      </c>
      <c r="C34" s="12"/>
      <c r="D34" s="12"/>
      <c r="E34" s="12"/>
      <c r="F34" s="4"/>
      <c r="G34" s="68"/>
      <c r="H34" s="68"/>
      <c r="I34" s="68"/>
      <c r="J34" s="68"/>
      <c r="K34" s="68"/>
      <c r="L34" s="68"/>
      <c r="M34" s="4"/>
    </row>
    <row r="35" spans="1:27" x14ac:dyDescent="0.25">
      <c r="A35" s="6" t="s">
        <v>18</v>
      </c>
      <c r="B35" s="23">
        <f>SUMIF(C16:C26,"SuperEthanol E85",I16:I26)</f>
        <v>86.909719999999993</v>
      </c>
      <c r="C35" s="11"/>
      <c r="D35" s="11"/>
      <c r="E35" s="11"/>
      <c r="F35" s="4"/>
      <c r="G35" s="17" t="s">
        <v>40</v>
      </c>
      <c r="H35" s="17"/>
      <c r="I35" s="17"/>
      <c r="J35" s="70">
        <f>IF(OR(J30="",B31="",B31=0),"",J30/B31*100)</f>
        <v>4.7465023855390278</v>
      </c>
      <c r="K35" s="17"/>
      <c r="L35" s="17"/>
      <c r="M35" s="4"/>
    </row>
    <row r="36" spans="1:27" x14ac:dyDescent="0.25">
      <c r="A36" s="9" t="s">
        <v>60</v>
      </c>
      <c r="B36" s="22">
        <f>IFERROR(AVERAGEIFS(J16:J26,C16:C26,"SuperEthanol E85"),"")</f>
        <v>6.4965415736416467</v>
      </c>
      <c r="C36" s="13"/>
      <c r="D36" s="13"/>
      <c r="E36" s="13"/>
      <c r="F36" s="4"/>
      <c r="G36" s="18" t="s">
        <v>184</v>
      </c>
      <c r="H36" s="18"/>
      <c r="I36" s="18"/>
      <c r="J36" s="69">
        <f>IF(OR(J35="",J35&lt;=0,J31=""),"",IF(J31&gt;=0,0,ROUNDUP(ABS(J31)/J35*100,0)))</f>
        <v>8612</v>
      </c>
      <c r="K36" s="18"/>
      <c r="L36" s="18"/>
      <c r="M36" s="4"/>
    </row>
    <row r="37" spans="1:27" x14ac:dyDescent="0.25">
      <c r="A37" s="6" t="s">
        <v>61</v>
      </c>
      <c r="B37" s="11">
        <f>IFERROR(AVERAGEIFS(J16:J26,C16:C26,"Super 98"),"")</f>
        <v>5.394659991656237</v>
      </c>
      <c r="C37" s="14"/>
      <c r="D37" s="14"/>
      <c r="E37" s="14"/>
      <c r="F37" s="4"/>
      <c r="G37" s="4"/>
      <c r="H37" s="4"/>
      <c r="I37" s="4"/>
      <c r="J37" s="4"/>
      <c r="K37" s="4"/>
      <c r="L37" s="4"/>
    </row>
    <row r="38" spans="1:27" x14ac:dyDescent="0.25">
      <c r="A38" s="4"/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</row>
    <row r="39" spans="1:27" x14ac:dyDescent="0.25">
      <c r="AA39"/>
    </row>
  </sheetData>
  <sheetProtection selectLockedCells="1"/>
  <mergeCells count="2">
    <mergeCell ref="G10:H10"/>
    <mergeCell ref="A1:O1"/>
  </mergeCells>
  <phoneticPr fontId="15" type="noConversion"/>
  <conditionalFormatting sqref="K16:K26">
    <cfRule type="expression" dxfId="13" priority="2">
      <formula>AND($C16="SuperEthanol E85",$K16="")</formula>
    </cfRule>
  </conditionalFormatting>
  <conditionalFormatting sqref="G16:G26">
    <cfRule type="expression" dxfId="4" priority="3">
      <formula>AND($G16&lt;&gt;"",ISNUMBER($G16),$G16&lt;AVERAGEIFS(G:G,C:C,$C16,G:G,"&gt;="&amp;$G16-30,G:G," &lt;="&amp;$G16))</formula>
    </cfRule>
    <cfRule type="expression" dxfId="3" priority="4">
      <formula>AND($G16&lt;&gt;"",ISNUMBER($G16),$G16&gt;AVERAGEIFS(G:G,C:C,$C16,G:G,"&gt;="&amp;$G16-30,G:G," &lt;="&amp;$G16))</formula>
    </cfRule>
  </conditionalFormatting>
  <dataValidations count="2">
    <dataValidation type="list" allowBlank="1" showInputMessage="1" errorTitle="Type de carburant invalide" error="Veuillez choisir Super 98 ou SuperEthanol E85" promptTitle="Type de carburant" prompt="Veuillez choisir le carburant utilisé pour le plein." sqref="C16:C26" xr:uid="{E0D5BD24-8C11-4F18-83E1-1642F4D5B17B}">
      <formula1>INDIRECT("tbl_carburant")</formula1>
    </dataValidation>
    <dataValidation type="list" allowBlank="1" showInputMessage="1" promptTitle="Station essence" prompt="Veuillez renseigner la station essence choisie ou en renseigner une nouvelle." sqref="O16:O26" xr:uid="{B8AC8B16-C3E6-421D-BC21-6925A81F4C04}">
      <formula1>INDIRECT("tbl_stationEssence")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C15433-CE97-4C47-82F8-022732A70CB1}">
  <sheetPr codeName="Feuil10"/>
  <dimension ref="B1:I20"/>
  <sheetViews>
    <sheetView workbookViewId="0">
      <selection activeCell="F9" sqref="F9"/>
    </sheetView>
  </sheetViews>
  <sheetFormatPr baseColWidth="10" defaultColWidth="9" defaultRowHeight="15.75" x14ac:dyDescent="0.25"/>
  <cols>
    <col min="1" max="1" width="3" style="77" customWidth="1"/>
    <col min="2" max="2" width="43.125" style="77" customWidth="1"/>
    <col min="3" max="6" width="16" style="77" customWidth="1"/>
    <col min="7" max="9" width="13" style="77" customWidth="1"/>
    <col min="10" max="16384" width="9" style="77"/>
  </cols>
  <sheetData>
    <row r="1" spans="2:9" ht="8.1" customHeight="1" x14ac:dyDescent="0.25">
      <c r="B1" s="76"/>
      <c r="C1" s="76"/>
      <c r="D1" s="76"/>
      <c r="E1" s="76"/>
      <c r="F1" s="76"/>
      <c r="G1" s="76"/>
    </row>
    <row r="2" spans="2:9" ht="36" customHeight="1" x14ac:dyDescent="0.25">
      <c r="B2" s="132" t="s">
        <v>296</v>
      </c>
      <c r="C2" s="133"/>
      <c r="D2" s="133"/>
      <c r="E2" s="133"/>
      <c r="F2" s="133"/>
      <c r="G2" s="133"/>
    </row>
    <row r="3" spans="2:9" ht="6" customHeight="1" x14ac:dyDescent="0.25">
      <c r="B3" s="78"/>
      <c r="C3" s="78"/>
      <c r="D3" s="78"/>
      <c r="E3" s="78"/>
      <c r="F3" s="78"/>
      <c r="G3" s="78"/>
    </row>
    <row r="4" spans="2:9" ht="27.95" customHeight="1" x14ac:dyDescent="0.25">
      <c r="B4" s="134" t="s">
        <v>316</v>
      </c>
      <c r="C4" s="133"/>
      <c r="D4" s="133"/>
      <c r="E4" s="133"/>
      <c r="F4" s="133"/>
      <c r="G4" s="133"/>
    </row>
    <row r="5" spans="2:9" ht="32.1" customHeight="1" x14ac:dyDescent="0.25">
      <c r="B5" s="79" t="s">
        <v>276</v>
      </c>
      <c r="C5" s="80" t="s">
        <v>297</v>
      </c>
      <c r="D5" s="80" t="s">
        <v>298</v>
      </c>
      <c r="E5" s="80" t="s">
        <v>299</v>
      </c>
      <c r="F5" s="80" t="s">
        <v>300</v>
      </c>
      <c r="G5" s="80" t="s">
        <v>301</v>
      </c>
      <c r="H5" s="80" t="s">
        <v>302</v>
      </c>
      <c r="I5" s="79" t="s">
        <v>303</v>
      </c>
    </row>
    <row r="6" spans="2:9" ht="21.95" customHeight="1" x14ac:dyDescent="0.25">
      <c r="B6" s="82" t="str">
        <f>IF(Notes!$D$3="","",Notes!$D$3)</f>
        <v/>
      </c>
      <c r="C6" s="83" t="str">
        <f>IFERROR(AVERAGEIF(GS_Pleins[Station essence],$B6,GS_Pleins[E85 station]),"")</f>
        <v/>
      </c>
      <c r="D6" s="83" t="str">
        <f>IFERROR(AVERAGEIF(GS_Pleins[Station essence],$B6,GS_Pleins[SP98 station]),"")</f>
        <v/>
      </c>
      <c r="E6" s="83" t="str">
        <f>IFERROR(AVERAGEIF(GS_Pleins[Station essence],$B6,GS_Pleins[SP95 station]),"")</f>
        <v/>
      </c>
      <c r="F6" s="83" t="str">
        <f>IFERROR(AVERAGEIF(GS_Pleins[Station essence],$B6,GS_Pleins[E10 station]),"")</f>
        <v/>
      </c>
      <c r="G6" s="83" t="str">
        <f>IFERROR(AVERAGEIF(GS_Pleins[Station essence],$B6,GS_Pleins[Gazole station]),"")</f>
        <v/>
      </c>
      <c r="H6" s="83" t="str">
        <f>IFERROR(AVERAGEIF(GS_Pleins[Station essence],$B6,GS_Pleins[GPLc station]),"")</f>
        <v/>
      </c>
      <c r="I6" s="84" t="str">
        <f>IF(Notes!$D3="","",COUNTIF(GS_Pleins!$G:$G,B6))</f>
        <v/>
      </c>
    </row>
    <row r="7" spans="2:9" ht="21.95" customHeight="1" x14ac:dyDescent="0.25">
      <c r="B7" s="81" t="str">
        <f>IF(Notes!$D$4="","",Notes!$D$4)</f>
        <v/>
      </c>
      <c r="C7" s="83" t="str">
        <f>IFERROR(AVERAGEIF(GS_Pleins[Station essence],$B7,GS_Pleins[E85 station]),"")</f>
        <v/>
      </c>
      <c r="D7" s="83" t="str">
        <f>IFERROR(AVERAGEIF(GS_Pleins[Station essence],$B7,GS_Pleins[SP98 station]),"")</f>
        <v/>
      </c>
      <c r="E7" s="83" t="str">
        <f>IFERROR(AVERAGEIF(GS_Pleins[Station essence],$B7,GS_Pleins[SP95 station]),"")</f>
        <v/>
      </c>
      <c r="F7" s="83" t="str">
        <f>IFERROR(AVERAGEIF(GS_Pleins[Station essence],$B7,GS_Pleins[E10 station]),"")</f>
        <v/>
      </c>
      <c r="G7" s="83" t="str">
        <f>IFERROR(AVERAGEIF(GS_Pleins[Station essence],$B7,GS_Pleins[Gazole station]),"")</f>
        <v/>
      </c>
      <c r="H7" s="83" t="str">
        <f>IFERROR(AVERAGEIF(GS_Pleins[Station essence],$B7,GS_Pleins[GPLc station]),"")</f>
        <v/>
      </c>
      <c r="I7" s="84" t="str">
        <f>IF(Notes!$D4="","",COUNTIF(GS_Pleins!$G:$G,B7))</f>
        <v/>
      </c>
    </row>
    <row r="8" spans="2:9" ht="21.95" customHeight="1" x14ac:dyDescent="0.25">
      <c r="B8" s="82" t="str">
        <f>IF(Notes!$D$5="","",Notes!$D$5)</f>
        <v/>
      </c>
      <c r="C8" s="83" t="str">
        <f>IFERROR(AVERAGEIF(GS_Pleins[Station essence],$B8,GS_Pleins[E85 station]),"")</f>
        <v/>
      </c>
      <c r="D8" s="83" t="str">
        <f>IFERROR(AVERAGEIF(GS_Pleins[Station essence],$B8,GS_Pleins[SP98 station]),"")</f>
        <v/>
      </c>
      <c r="E8" s="83" t="str">
        <f>IFERROR(AVERAGEIF(GS_Pleins[Station essence],$B8,GS_Pleins[SP95 station]),"")</f>
        <v/>
      </c>
      <c r="F8" s="83" t="str">
        <f>IFERROR(AVERAGEIF(GS_Pleins[Station essence],$B8,GS_Pleins[E10 station]),"")</f>
        <v/>
      </c>
      <c r="G8" s="83" t="str">
        <f>IFERROR(AVERAGEIF(GS_Pleins[Station essence],$B8,GS_Pleins[Gazole station]),"")</f>
        <v/>
      </c>
      <c r="H8" s="83" t="str">
        <f>IFERROR(AVERAGEIF(GS_Pleins[Station essence],$B8,GS_Pleins[GPLc station]),"")</f>
        <v/>
      </c>
      <c r="I8" s="84" t="str">
        <f>IF(Notes!$D5="","",COUNTIF(GS_Pleins!$G:$G,B8))</f>
        <v/>
      </c>
    </row>
    <row r="9" spans="2:9" ht="21.95" customHeight="1" x14ac:dyDescent="0.25">
      <c r="B9" s="81" t="str">
        <f>IF(Notes!$D$6="","",Notes!$D$6)</f>
        <v/>
      </c>
      <c r="C9" s="83" t="str">
        <f>IFERROR(AVERAGEIF(GS_Pleins[Station essence],$B9,GS_Pleins[E85 station]),"")</f>
        <v/>
      </c>
      <c r="D9" s="83" t="str">
        <f>IFERROR(AVERAGEIF(GS_Pleins[Station essence],$B9,GS_Pleins[SP98 station]),"")</f>
        <v/>
      </c>
      <c r="E9" s="83" t="str">
        <f>IFERROR(AVERAGEIF(GS_Pleins[Station essence],$B9,GS_Pleins[SP95 station]),"")</f>
        <v/>
      </c>
      <c r="F9" s="83" t="str">
        <f>IFERROR(AVERAGEIF(GS_Pleins[Station essence],$B9,GS_Pleins[E10 station]),"")</f>
        <v/>
      </c>
      <c r="G9" s="83" t="str">
        <f>IFERROR(AVERAGEIF(GS_Pleins[Station essence],$B9,GS_Pleins[Gazole station]),"")</f>
        <v/>
      </c>
      <c r="H9" s="83" t="str">
        <f>IFERROR(AVERAGEIF(GS_Pleins[Station essence],$B9,GS_Pleins[GPLc station]),"")</f>
        <v/>
      </c>
      <c r="I9" s="84" t="str">
        <f>IF(Notes!$D6="","",COUNTIF(GS_Pleins!$G:$G,B9))</f>
        <v/>
      </c>
    </row>
    <row r="10" spans="2:9" ht="21.95" customHeight="1" x14ac:dyDescent="0.25">
      <c r="B10" s="82" t="str">
        <f>IF(Notes!$D$7="","",Notes!$D$7)</f>
        <v/>
      </c>
      <c r="C10" s="83" t="str">
        <f>IFERROR(AVERAGEIF(GS_Pleins[Station essence],$B10,GS_Pleins[E85 station]),"")</f>
        <v/>
      </c>
      <c r="D10" s="83" t="str">
        <f>IFERROR(AVERAGEIF(GS_Pleins[Station essence],$B10,GS_Pleins[SP98 station]),"")</f>
        <v/>
      </c>
      <c r="E10" s="83" t="str">
        <f>IFERROR(AVERAGEIF(GS_Pleins[Station essence],$B10,GS_Pleins[SP95 station]),"")</f>
        <v/>
      </c>
      <c r="F10" s="83" t="str">
        <f>IFERROR(AVERAGEIF(GS_Pleins[Station essence],$B10,GS_Pleins[E10 station]),"")</f>
        <v/>
      </c>
      <c r="G10" s="83" t="str">
        <f>IFERROR(AVERAGEIF(GS_Pleins[Station essence],$B10,GS_Pleins[Gazole station]),"")</f>
        <v/>
      </c>
      <c r="H10" s="83" t="str">
        <f>IFERROR(AVERAGEIF(GS_Pleins[Station essence],$B10,GS_Pleins[GPLc station]),"")</f>
        <v/>
      </c>
      <c r="I10" s="84" t="str">
        <f>IF(Notes!$D7="","",COUNTIF(GS_Pleins!$G:$G,B10))</f>
        <v/>
      </c>
    </row>
    <row r="11" spans="2:9" ht="21.95" customHeight="1" x14ac:dyDescent="0.25">
      <c r="B11" s="81" t="str">
        <f>IF(Notes!$D$8="","",Notes!$D$8)</f>
        <v/>
      </c>
      <c r="C11" s="83" t="str">
        <f>IFERROR(AVERAGEIF(GS_Pleins[Station essence],$B11,GS_Pleins[E85 station]),"")</f>
        <v/>
      </c>
      <c r="D11" s="83" t="str">
        <f>IFERROR(AVERAGEIF(GS_Pleins[Station essence],$B11,GS_Pleins[SP98 station]),"")</f>
        <v/>
      </c>
      <c r="E11" s="83" t="str">
        <f>IFERROR(AVERAGEIF(GS_Pleins[Station essence],$B11,GS_Pleins[SP95 station]),"")</f>
        <v/>
      </c>
      <c r="F11" s="83" t="str">
        <f>IFERROR(AVERAGEIF(GS_Pleins[Station essence],$B11,GS_Pleins[E10 station]),"")</f>
        <v/>
      </c>
      <c r="G11" s="83" t="str">
        <f>IFERROR(AVERAGEIF(GS_Pleins[Station essence],$B11,GS_Pleins[Gazole station]),"")</f>
        <v/>
      </c>
      <c r="H11" s="83" t="str">
        <f>IFERROR(AVERAGEIF(GS_Pleins[Station essence],$B11,GS_Pleins[GPLc station]),"")</f>
        <v/>
      </c>
      <c r="I11" s="84" t="str">
        <f>IF(Notes!$D8="","",COUNTIF(GS_Pleins!$G:$G,B11))</f>
        <v/>
      </c>
    </row>
    <row r="12" spans="2:9" ht="21.95" customHeight="1" x14ac:dyDescent="0.25">
      <c r="B12" s="82" t="str">
        <f>IF(Notes!$D$9="","",Notes!$D$9)</f>
        <v/>
      </c>
      <c r="C12" s="83" t="str">
        <f>IFERROR(AVERAGEIF(GS_Pleins[Station essence],$B12,GS_Pleins[E85 station]),"")</f>
        <v/>
      </c>
      <c r="D12" s="83" t="str">
        <f>IFERROR(AVERAGEIF(GS_Pleins[Station essence],$B12,GS_Pleins[SP98 station]),"")</f>
        <v/>
      </c>
      <c r="E12" s="83" t="str">
        <f>IFERROR(AVERAGEIF(GS_Pleins[Station essence],$B12,GS_Pleins[SP95 station]),"")</f>
        <v/>
      </c>
      <c r="F12" s="83" t="str">
        <f>IFERROR(AVERAGEIF(GS_Pleins[Station essence],$B12,GS_Pleins[E10 station]),"")</f>
        <v/>
      </c>
      <c r="G12" s="83" t="str">
        <f>IFERROR(AVERAGEIF(GS_Pleins[Station essence],$B12,GS_Pleins[Gazole station]),"")</f>
        <v/>
      </c>
      <c r="H12" s="83" t="str">
        <f>IFERROR(AVERAGEIF(GS_Pleins[Station essence],$B12,GS_Pleins[GPLc station]),"")</f>
        <v/>
      </c>
      <c r="I12" s="84" t="str">
        <f>IF(Notes!$D9="","",COUNTIF(GS_Pleins!$G:$G,B12))</f>
        <v/>
      </c>
    </row>
    <row r="13" spans="2:9" ht="21.95" customHeight="1" x14ac:dyDescent="0.25">
      <c r="B13" s="81" t="str">
        <f>IF(Notes!$D$10="","",Notes!$D$10)</f>
        <v/>
      </c>
      <c r="C13" s="83" t="str">
        <f>IFERROR(AVERAGEIF(GS_Pleins[Station essence],$B13,GS_Pleins[E85 station]),"")</f>
        <v/>
      </c>
      <c r="D13" s="83" t="str">
        <f>IFERROR(AVERAGEIF(GS_Pleins[Station essence],$B13,GS_Pleins[SP98 station]),"")</f>
        <v/>
      </c>
      <c r="E13" s="83" t="str">
        <f>IFERROR(AVERAGEIF(GS_Pleins[Station essence],$B13,GS_Pleins[SP95 station]),"")</f>
        <v/>
      </c>
      <c r="F13" s="83" t="str">
        <f>IFERROR(AVERAGEIF(GS_Pleins[Station essence],$B13,GS_Pleins[E10 station]),"")</f>
        <v/>
      </c>
      <c r="G13" s="83" t="str">
        <f>IFERROR(AVERAGEIF(GS_Pleins[Station essence],$B13,GS_Pleins[Gazole station]),"")</f>
        <v/>
      </c>
      <c r="H13" s="83" t="str">
        <f>IFERROR(AVERAGEIF(GS_Pleins[Station essence],$B13,GS_Pleins[GPLc station]),"")</f>
        <v/>
      </c>
      <c r="I13" s="84" t="str">
        <f>IF(Notes!$D10="","",COUNTIF(GS_Pleins!$G:$G,B13))</f>
        <v/>
      </c>
    </row>
    <row r="14" spans="2:9" ht="21.95" customHeight="1" x14ac:dyDescent="0.25">
      <c r="B14" s="82" t="str">
        <f>IF(Notes!$D$11="","",Notes!$D$11)</f>
        <v/>
      </c>
      <c r="C14" s="83" t="str">
        <f>IFERROR(AVERAGEIF(GS_Pleins[Station essence],$B14,GS_Pleins[E85 station]),"")</f>
        <v/>
      </c>
      <c r="D14" s="83" t="str">
        <f>IFERROR(AVERAGEIF(GS_Pleins[Station essence],$B14,GS_Pleins[SP98 station]),"")</f>
        <v/>
      </c>
      <c r="E14" s="83" t="str">
        <f>IFERROR(AVERAGEIF(GS_Pleins[Station essence],$B14,GS_Pleins[SP95 station]),"")</f>
        <v/>
      </c>
      <c r="F14" s="83" t="str">
        <f>IFERROR(AVERAGEIF(GS_Pleins[Station essence],$B14,GS_Pleins[E10 station]),"")</f>
        <v/>
      </c>
      <c r="G14" s="83" t="str">
        <f>IFERROR(AVERAGEIF(GS_Pleins[Station essence],$B14,GS_Pleins[Gazole station]),"")</f>
        <v/>
      </c>
      <c r="H14" s="83" t="str">
        <f>IFERROR(AVERAGEIF(GS_Pleins[Station essence],$B14,GS_Pleins[GPLc station]),"")</f>
        <v/>
      </c>
      <c r="I14" s="84" t="str">
        <f>IF(Notes!$D11="","",COUNTIF(GS_Pleins!$G:$G,B14))</f>
        <v/>
      </c>
    </row>
    <row r="15" spans="2:9" ht="21.95" customHeight="1" x14ac:dyDescent="0.25">
      <c r="B15" s="81" t="str">
        <f>IF(Notes!$D$12="","",Notes!$D$12)</f>
        <v/>
      </c>
      <c r="C15" s="83" t="str">
        <f>IFERROR(AVERAGEIF(GS_Pleins[Station essence],$B15,GS_Pleins[E85 station]),"")</f>
        <v/>
      </c>
      <c r="D15" s="83" t="str">
        <f>IFERROR(AVERAGEIF(GS_Pleins[Station essence],$B15,GS_Pleins[SP98 station]),"")</f>
        <v/>
      </c>
      <c r="E15" s="83" t="str">
        <f>IFERROR(AVERAGEIF(GS_Pleins[Station essence],$B15,GS_Pleins[SP95 station]),"")</f>
        <v/>
      </c>
      <c r="F15" s="83" t="str">
        <f>IFERROR(AVERAGEIF(GS_Pleins[Station essence],$B15,GS_Pleins[E10 station]),"")</f>
        <v/>
      </c>
      <c r="G15" s="83" t="str">
        <f>IFERROR(AVERAGEIF(GS_Pleins[Station essence],$B15,GS_Pleins[Gazole station]),"")</f>
        <v/>
      </c>
      <c r="H15" s="83" t="str">
        <f>IFERROR(AVERAGEIF(GS_Pleins[Station essence],$B15,GS_Pleins[GPLc station]),"")</f>
        <v/>
      </c>
      <c r="I15" s="84" t="str">
        <f>IF(Notes!$D12="","",COUNTIF(GS_Pleins!$G:$G,B15))</f>
        <v/>
      </c>
    </row>
    <row r="16" spans="2:9" ht="21.95" customHeight="1" x14ac:dyDescent="0.25">
      <c r="B16" s="82" t="str">
        <f>IF(Notes!$D$13="","",Notes!$D$13)</f>
        <v/>
      </c>
      <c r="C16" s="83" t="str">
        <f>IFERROR(AVERAGEIF(GS_Pleins[Station essence],$B16,GS_Pleins[E85 station]),"")</f>
        <v/>
      </c>
      <c r="D16" s="83" t="str">
        <f>IFERROR(AVERAGEIF(GS_Pleins[Station essence],$B16,GS_Pleins[SP98 station]),"")</f>
        <v/>
      </c>
      <c r="E16" s="83" t="str">
        <f>IFERROR(AVERAGEIF(GS_Pleins[Station essence],$B16,GS_Pleins[SP95 station]),"")</f>
        <v/>
      </c>
      <c r="F16" s="83" t="str">
        <f>IFERROR(AVERAGEIF(GS_Pleins[Station essence],$B16,GS_Pleins[E10 station]),"")</f>
        <v/>
      </c>
      <c r="G16" s="83" t="str">
        <f>IFERROR(AVERAGEIF(GS_Pleins[Station essence],$B16,GS_Pleins[Gazole station]),"")</f>
        <v/>
      </c>
      <c r="H16" s="83" t="str">
        <f>IFERROR(AVERAGEIF(GS_Pleins[Station essence],$B16,GS_Pleins[GPLc station]),"")</f>
        <v/>
      </c>
      <c r="I16" s="84" t="str">
        <f>IF(Notes!$D13="","",COUNTIF(GS_Pleins!$G:$G,B16))</f>
        <v/>
      </c>
    </row>
    <row r="17" spans="2:9" ht="26.1" customHeight="1" x14ac:dyDescent="0.25">
      <c r="B17" s="85" t="s">
        <v>277</v>
      </c>
      <c r="C17" s="86" t="str">
        <f>IFERROR(AVERAGEIF(#REF!,"&gt;"&amp;0),"")</f>
        <v/>
      </c>
      <c r="D17" s="86" t="str">
        <f>IFERROR(AVERAGEIF(#REF!,"&gt;"&amp;0),"")</f>
        <v/>
      </c>
      <c r="E17" s="86" t="str">
        <f>IFERROR(AVERAGEIF(#REF!,"&gt;"&amp;0),"")</f>
        <v/>
      </c>
      <c r="F17" s="86" t="str">
        <f>IFERROR(AVERAGEIF(#REF!,"&gt;"&amp;0),"")</f>
        <v/>
      </c>
      <c r="G17" s="86" t="str">
        <f>IFERROR(AVERAGEIF(#REF!,"&gt;"&amp;0),"")</f>
        <v/>
      </c>
      <c r="H17" s="86" t="str">
        <f>IFERROR(AVERAGEIF(#REF!,"&gt;"&amp;0),"")</f>
        <v/>
      </c>
      <c r="I17" s="87"/>
    </row>
    <row r="18" spans="2:9" ht="6.75" customHeight="1" x14ac:dyDescent="0.25"/>
    <row r="19" spans="2:9" ht="20.100000000000001" customHeight="1" x14ac:dyDescent="0.25">
      <c r="B19" s="135" t="s">
        <v>304</v>
      </c>
      <c r="C19" s="136"/>
      <c r="D19" s="136"/>
      <c r="E19" s="136"/>
      <c r="F19" s="136"/>
      <c r="G19" s="136"/>
    </row>
    <row r="20" spans="2:9" ht="18" customHeight="1" x14ac:dyDescent="0.25">
      <c r="B20" s="135"/>
      <c r="C20" s="136"/>
      <c r="D20" s="136"/>
      <c r="E20" s="136"/>
      <c r="F20" s="136"/>
      <c r="G20" s="136"/>
    </row>
  </sheetData>
  <mergeCells count="3">
    <mergeCell ref="B2:G2"/>
    <mergeCell ref="B4:G4"/>
    <mergeCell ref="B19:G20"/>
  </mergeCells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B0C392-3CAD-45AA-8B84-A79E749C962F}">
  <sheetPr codeName="Feuil3"/>
  <dimension ref="A1:AJ53"/>
  <sheetViews>
    <sheetView showGridLines="0" showRowColHeaders="0" workbookViewId="0"/>
  </sheetViews>
  <sheetFormatPr baseColWidth="10" defaultRowHeight="15.75" outlineLevelCol="1" x14ac:dyDescent="0.25"/>
  <cols>
    <col min="1" max="1" width="40.125" bestFit="1" customWidth="1"/>
    <col min="2" max="2" width="12.125" bestFit="1" customWidth="1"/>
    <col min="3" max="3" width="15.25" bestFit="1" customWidth="1"/>
    <col min="14" max="14" width="7.375" customWidth="1"/>
    <col min="15" max="15" width="11" hidden="1" customWidth="1" outlineLevel="1"/>
    <col min="16" max="16" width="17.125" hidden="1" customWidth="1" outlineLevel="1"/>
    <col min="17" max="17" width="10.375" hidden="1" customWidth="1" outlineLevel="1"/>
    <col min="18" max="18" width="1.625" hidden="1" customWidth="1" outlineLevel="1"/>
    <col min="19" max="19" width="11" hidden="1" customWidth="1" outlineLevel="1"/>
    <col min="20" max="20" width="21.625" hidden="1" customWidth="1" outlineLevel="1"/>
    <col min="21" max="21" width="18.75" hidden="1" customWidth="1" outlineLevel="1"/>
    <col min="22" max="22" width="1.5" hidden="1" customWidth="1" outlineLevel="1"/>
    <col min="23" max="23" width="7.625" hidden="1" customWidth="1" outlineLevel="1"/>
    <col min="24" max="25" width="15.5" hidden="1" customWidth="1" outlineLevel="1"/>
    <col min="26" max="26" width="1.5" hidden="1" customWidth="1" outlineLevel="1"/>
    <col min="27" max="27" width="7.625" hidden="1" customWidth="1" outlineLevel="1"/>
    <col min="28" max="28" width="13.25" hidden="1" customWidth="1" outlineLevel="1"/>
    <col min="29" max="29" width="19" hidden="1" customWidth="1" outlineLevel="1"/>
    <col min="30" max="30" width="1.5" hidden="1" customWidth="1" outlineLevel="1"/>
    <col min="31" max="31" width="10.875" hidden="1" customWidth="1" outlineLevel="1"/>
    <col min="32" max="32" width="19.875" hidden="1" customWidth="1" outlineLevel="1"/>
    <col min="33" max="33" width="13.125" hidden="1" customWidth="1" outlineLevel="1"/>
    <col min="34" max="34" width="16" hidden="1" customWidth="1" outlineLevel="1"/>
    <col min="35" max="35" width="15.125" hidden="1" customWidth="1" outlineLevel="1"/>
    <col min="36" max="36" width="11" collapsed="1"/>
  </cols>
  <sheetData>
    <row r="1" spans="1:3" ht="30" customHeight="1" x14ac:dyDescent="0.3">
      <c r="A1" s="110" t="s">
        <v>362</v>
      </c>
    </row>
    <row r="3" spans="1:3" x14ac:dyDescent="0.25">
      <c r="A3" s="111" t="s">
        <v>363</v>
      </c>
    </row>
    <row r="4" spans="1:3" x14ac:dyDescent="0.25">
      <c r="A4" s="112" t="s">
        <v>1</v>
      </c>
      <c r="B4" s="112" t="s">
        <v>361</v>
      </c>
      <c r="C4" s="112" t="s">
        <v>276</v>
      </c>
    </row>
    <row r="5" spans="1:3" x14ac:dyDescent="0.25">
      <c r="A5" s="113">
        <v>46146</v>
      </c>
      <c r="B5" s="114">
        <v>0.80900000000000005</v>
      </c>
      <c r="C5" t="s">
        <v>335</v>
      </c>
    </row>
    <row r="6" spans="1:3" x14ac:dyDescent="0.25">
      <c r="A6" s="113">
        <v>46148</v>
      </c>
      <c r="B6" s="114">
        <v>0.747</v>
      </c>
      <c r="C6" t="s">
        <v>335</v>
      </c>
    </row>
    <row r="7" spans="1:3" x14ac:dyDescent="0.25">
      <c r="A7" s="113">
        <v>46151</v>
      </c>
      <c r="B7" s="114">
        <v>0.75700000000000001</v>
      </c>
      <c r="C7" t="s">
        <v>335</v>
      </c>
    </row>
    <row r="8" spans="1:3" x14ac:dyDescent="0.25">
      <c r="A8" s="113">
        <v>46154</v>
      </c>
      <c r="B8" s="114">
        <v>0.83499999999999996</v>
      </c>
      <c r="C8" t="s">
        <v>335</v>
      </c>
    </row>
    <row r="9" spans="1:3" x14ac:dyDescent="0.25">
      <c r="A9" s="113">
        <v>46157</v>
      </c>
      <c r="B9" s="114">
        <v>0.71699999999999997</v>
      </c>
      <c r="C9" t="s">
        <v>335</v>
      </c>
    </row>
    <row r="10" spans="1:3" x14ac:dyDescent="0.25">
      <c r="A10" s="113">
        <v>46161</v>
      </c>
      <c r="B10" s="114">
        <v>0.79800000000000004</v>
      </c>
      <c r="C10" t="s">
        <v>335</v>
      </c>
    </row>
    <row r="11" spans="1:3" x14ac:dyDescent="0.25">
      <c r="A11" s="113">
        <v>46164.083333333336</v>
      </c>
      <c r="B11" s="114">
        <v>0.79800000000000004</v>
      </c>
      <c r="C11" t="s">
        <v>335</v>
      </c>
    </row>
    <row r="43" spans="1:3" x14ac:dyDescent="0.25">
      <c r="A43" s="115" t="s">
        <v>364</v>
      </c>
    </row>
    <row r="44" spans="1:3" x14ac:dyDescent="0.25">
      <c r="A44" s="116" t="s">
        <v>1</v>
      </c>
      <c r="B44" s="116" t="s">
        <v>365</v>
      </c>
      <c r="C44" s="116" t="s">
        <v>308</v>
      </c>
    </row>
    <row r="45" spans="1:3" x14ac:dyDescent="0.25">
      <c r="A45" s="113">
        <v>46135</v>
      </c>
      <c r="B45" s="117">
        <v>5.4</v>
      </c>
      <c r="C45" t="s">
        <v>315</v>
      </c>
    </row>
    <row r="46" spans="1:3" x14ac:dyDescent="0.25">
      <c r="A46" s="113">
        <v>46140</v>
      </c>
      <c r="B46" s="117">
        <v>5.39</v>
      </c>
      <c r="C46" t="s">
        <v>315</v>
      </c>
    </row>
    <row r="47" spans="1:3" x14ac:dyDescent="0.25">
      <c r="A47" s="113">
        <v>46146</v>
      </c>
      <c r="B47" s="117">
        <v>5.62</v>
      </c>
      <c r="C47" t="s">
        <v>315</v>
      </c>
    </row>
    <row r="48" spans="1:3" x14ac:dyDescent="0.25">
      <c r="A48" s="113">
        <v>46148</v>
      </c>
      <c r="B48" s="117">
        <v>5.97</v>
      </c>
      <c r="C48" t="s">
        <v>315</v>
      </c>
    </row>
    <row r="49" spans="1:3" x14ac:dyDescent="0.25">
      <c r="A49" s="113">
        <v>46151</v>
      </c>
      <c r="B49" s="117">
        <v>6.76</v>
      </c>
      <c r="C49" t="s">
        <v>315</v>
      </c>
    </row>
    <row r="50" spans="1:3" x14ac:dyDescent="0.25">
      <c r="A50" s="113">
        <v>46154</v>
      </c>
      <c r="B50" s="117">
        <v>7.04</v>
      </c>
      <c r="C50" t="s">
        <v>315</v>
      </c>
    </row>
    <row r="51" spans="1:3" x14ac:dyDescent="0.25">
      <c r="A51" s="113">
        <v>46157</v>
      </c>
      <c r="B51" s="117">
        <v>6.59</v>
      </c>
      <c r="C51" t="s">
        <v>315</v>
      </c>
    </row>
    <row r="52" spans="1:3" x14ac:dyDescent="0.25">
      <c r="A52" s="113">
        <v>46161</v>
      </c>
      <c r="B52" s="117">
        <v>6.77</v>
      </c>
      <c r="C52" t="s">
        <v>315</v>
      </c>
    </row>
    <row r="53" spans="1:3" x14ac:dyDescent="0.25">
      <c r="A53" s="113">
        <v>46164.083333333336</v>
      </c>
      <c r="B53" s="117">
        <v>6.91</v>
      </c>
      <c r="C53" t="s">
        <v>315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73D732-D911-4134-BC68-11CA97994A66}">
  <sheetPr codeName="Feuil5"/>
  <dimension ref="B1:D50"/>
  <sheetViews>
    <sheetView zoomScale="90" zoomScaleNormal="90" workbookViewId="0">
      <selection activeCell="D33" sqref="D33"/>
    </sheetView>
  </sheetViews>
  <sheetFormatPr baseColWidth="10" defaultColWidth="14" defaultRowHeight="15.75" x14ac:dyDescent="0.25"/>
  <cols>
    <col min="1" max="1" width="3.25" style="75" customWidth="1"/>
    <col min="2" max="2" width="19.375" style="75" customWidth="1"/>
    <col min="3" max="3" width="1.125" style="75" customWidth="1"/>
    <col min="4" max="4" width="45.125" style="75" customWidth="1"/>
    <col min="5" max="16384" width="14" style="75"/>
  </cols>
  <sheetData>
    <row r="1" spans="2:4" ht="9.75" customHeight="1" x14ac:dyDescent="0.25"/>
    <row r="2" spans="2:4" x14ac:dyDescent="0.25">
      <c r="B2" s="75" t="s">
        <v>272</v>
      </c>
      <c r="D2" s="75" t="s">
        <v>275</v>
      </c>
    </row>
    <row r="3" spans="2:4" x14ac:dyDescent="0.25">
      <c r="B3" s="75" t="s">
        <v>274</v>
      </c>
    </row>
    <row r="4" spans="2:4" x14ac:dyDescent="0.25">
      <c r="B4" s="75" t="s">
        <v>273</v>
      </c>
    </row>
    <row r="5" spans="2:4" x14ac:dyDescent="0.25">
      <c r="B5" s="75" t="s">
        <v>81</v>
      </c>
    </row>
    <row r="6" spans="2:4" x14ac:dyDescent="0.25">
      <c r="B6" s="75" t="s">
        <v>100</v>
      </c>
    </row>
    <row r="8" spans="2:4" hidden="1" x14ac:dyDescent="0.25"/>
    <row r="9" spans="2:4" hidden="1" x14ac:dyDescent="0.25"/>
    <row r="10" spans="2:4" hidden="1" x14ac:dyDescent="0.25"/>
    <row r="11" spans="2:4" hidden="1" x14ac:dyDescent="0.25"/>
    <row r="12" spans="2:4" hidden="1" x14ac:dyDescent="0.25"/>
    <row r="13" spans="2:4" hidden="1" x14ac:dyDescent="0.25"/>
    <row r="14" spans="2:4" hidden="1" x14ac:dyDescent="0.25"/>
    <row r="15" spans="2:4" hidden="1" x14ac:dyDescent="0.25"/>
    <row r="16" spans="2:4" hidden="1" x14ac:dyDescent="0.25"/>
    <row r="17" hidden="1" x14ac:dyDescent="0.25"/>
    <row r="18" hidden="1" x14ac:dyDescent="0.25"/>
    <row r="19" hidden="1" x14ac:dyDescent="0.25"/>
    <row r="20" hidden="1" x14ac:dyDescent="0.25"/>
    <row r="21" hidden="1" x14ac:dyDescent="0.25"/>
    <row r="22" hidden="1" x14ac:dyDescent="0.25"/>
    <row r="23" hidden="1" x14ac:dyDescent="0.25"/>
    <row r="24" hidden="1" x14ac:dyDescent="0.25"/>
    <row r="25" hidden="1" x14ac:dyDescent="0.25"/>
    <row r="26" hidden="1" x14ac:dyDescent="0.25"/>
    <row r="27" hidden="1" x14ac:dyDescent="0.25"/>
    <row r="45" spans="4:4" x14ac:dyDescent="0.25">
      <c r="D45" s="75">
        <v>2117</v>
      </c>
    </row>
    <row r="46" spans="4:4" x14ac:dyDescent="0.25">
      <c r="D46" s="75" t="s">
        <v>345</v>
      </c>
    </row>
    <row r="47" spans="4:4" x14ac:dyDescent="0.25">
      <c r="D47" s="75" t="s">
        <v>335</v>
      </c>
    </row>
    <row r="48" spans="4:4" x14ac:dyDescent="0.25">
      <c r="D48" s="75" t="s">
        <v>346</v>
      </c>
    </row>
    <row r="49" spans="4:4" x14ac:dyDescent="0.25">
      <c r="D49" s="75" t="s">
        <v>369</v>
      </c>
    </row>
    <row r="50" spans="4:4" x14ac:dyDescent="0.25">
      <c r="D50" s="144" t="s">
        <v>295</v>
      </c>
    </row>
  </sheetData>
  <sortState xmlns:xlrd2="http://schemas.microsoft.com/office/spreadsheetml/2017/richdata2" ref="D3:D21">
    <sortCondition ref="D2"/>
  </sortState>
  <pageMargins left="0.7" right="0.7" top="0.75" bottom="0.75" header="0.3" footer="0.3"/>
  <tableParts count="2">
    <tablePart r:id="rId1"/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Document_x0020_Purpose xmlns="f577acbf-5b0b-4b4f-9948-268e97f8d3a4">Informational</Document_x0020_Purpose>
    <Initiatives xmlns="f577acbf-5b0b-4b4f-9948-268e97f8d3a4"/>
  </documentManagement>
</p:properties>
</file>

<file path=customXml/item3.xml>�� 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D401524DC532D42A0E0ED886331A72B" ma:contentTypeVersion="13" ma:contentTypeDescription="Create a new document." ma:contentTypeScope="" ma:versionID="d936d863d335d354da51eb78ca1ae338">
  <xsd:schema xmlns:xsd="http://www.w3.org/2001/XMLSchema" xmlns:xs="http://www.w3.org/2001/XMLSchema" xmlns:p="http://schemas.microsoft.com/office/2006/metadata/properties" xmlns:ns2="f577acbf-5b0b-4b4f-9948-268e97f8d3a4" xmlns:ns3="b1e4d6ee-9f6f-43f8-a618-24f3d84da28f" targetNamespace="http://schemas.microsoft.com/office/2006/metadata/properties" ma:root="true" ma:fieldsID="5fbac08d56b1b04aa33acbc31e882ce9" ns2:_="" ns3:_="">
    <xsd:import namespace="f577acbf-5b0b-4b4f-9948-268e97f8d3a4"/>
    <xsd:import namespace="b1e4d6ee-9f6f-43f8-a618-24f3d84da28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3:LastSharedByUser" minOccurs="0"/>
                <xsd:element ref="ns3:LastSharedByTime" minOccurs="0"/>
                <xsd:element ref="ns2:Document_x0020_Purpose" minOccurs="0"/>
                <xsd:element ref="ns2:Initiatives" minOccurs="0"/>
                <xsd:element ref="ns2:MediaServiceDateTaken" minOccurs="0"/>
                <xsd:element ref="ns2:MediaServiceAutoTags" minOccurs="0"/>
                <xsd:element ref="ns2:MediaServiceOCR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577acbf-5b0b-4b4f-9948-268e97f8d3a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Document_x0020_Purpose" ma:index="14" nillable="true" ma:displayName="Document Purpose" ma:default="Informational" ma:format="Dropdown" ma:internalName="Document_x0020_Purpose">
      <xsd:simpleType>
        <xsd:restriction base="dms:Choice">
          <xsd:enumeration value="Informational"/>
          <xsd:enumeration value="Feature Spec"/>
          <xsd:enumeration value="Engineering Design"/>
          <xsd:enumeration value="Planning"/>
        </xsd:restriction>
      </xsd:simpleType>
    </xsd:element>
    <xsd:element name="Initiatives" ma:index="15" nillable="true" ma:displayName="Initiatives" ma:description="List of initiatives related to this document" ma:internalName="Initiatives">
      <xsd:complexType>
        <xsd:complexContent>
          <xsd:extension base="dms:MultiChoice">
            <xsd:sequence>
              <xsd:element name="Value" maxOccurs="unbounded" minOccurs="0" nillable="true">
                <xsd:simpleType>
                  <xsd:restriction base="dms:Choice">
                    <xsd:enumeration value="Add-in MAU"/>
                    <xsd:enumeration value="Custom Functions"/>
                    <xsd:enumeration value="Data &amp; Analytics"/>
                    <xsd:enumeration value="DevEx: Portals &amp; Programs"/>
                    <xsd:enumeration value="DevEx: Tools &amp; Libraries"/>
                    <xsd:enumeration value="Engineering"/>
                    <xsd:enumeration value="Excel API"/>
                    <xsd:enumeration value="In-Market Support"/>
                    <xsd:enumeration value="Maker Access"/>
                    <xsd:enumeration value="SDX Runtime &amp; Partners"/>
                    <xsd:enumeration value="SDX Service Delivery"/>
                    <xsd:enumeration value="SDX API &amp; Pipeline"/>
                    <xsd:enumeration value="Shield &amp; OCE"/>
                  </xsd:restriction>
                </xsd:simpleType>
              </xsd:element>
            </xsd:sequence>
          </xsd:extension>
        </xsd:complexContent>
      </xsd:complex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7" nillable="true" ma:displayName="MediaServiceAutoTags" ma:internalName="MediaServiceAutoTags" ma:readOnly="true">
      <xsd:simpleType>
        <xsd:restriction base="dms:Text"/>
      </xsd:simpleType>
    </xsd:element>
    <xsd:element name="MediaServiceOCR" ma:index="18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9" nillable="true" ma:displayName="MediaServiceLocation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e4d6ee-9f6f-43f8-a618-24f3d84da28f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LastSharedByUser" ma:index="12" nillable="true" ma:displayName="Last Shared By User" ma:hidden="true" ma:internalName="LastSharedByUser" ma:readOnly="true">
      <xsd:simpleType>
        <xsd:restriction base="dms:Note"/>
      </xsd:simpleType>
    </xsd:element>
    <xsd:element name="LastSharedByTime" ma:index="13" nillable="true" ma:displayName="Last Shared By Time" ma:hidden="true" ma:internalName="LastSharedByTime" ma:readOnly="true">
      <xsd:simpleType>
        <xsd:restriction base="dms:DateTim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1F48E296-90D9-4A92-A29D-759F46DCA7D9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70FB5453-596E-4CE8-BCCA-8DF4D5465AF4}">
  <ds:schemaRefs>
    <ds:schemaRef ds:uri="http://schemas.microsoft.com/office/2006/metadata/properties"/>
    <ds:schemaRef ds:uri="b1e4d6ee-9f6f-43f8-a618-24f3d84da28f"/>
    <ds:schemaRef ds:uri="http://purl.org/dc/terms/"/>
    <ds:schemaRef ds:uri="http://schemas.openxmlformats.org/package/2006/metadata/core-properties"/>
    <ds:schemaRef ds:uri="f577acbf-5b0b-4b4f-9948-268e97f8d3a4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C516F438-6E41-4568-A809-BC028790F5FC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2426A393-DB36-49FF-B8B1-6D5559B7ABF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577acbf-5b0b-4b4f-9948-268e97f8d3a4"/>
    <ds:schemaRef ds:uri="b1e4d6ee-9f6f-43f8-a618-24f3d84da28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8</vt:i4>
      </vt:variant>
    </vt:vector>
  </HeadingPairs>
  <TitlesOfParts>
    <vt:vector size="8" baseType="lpstr">
      <vt:lpstr>Claude Log</vt:lpstr>
      <vt:lpstr>Tableau de bord</vt:lpstr>
      <vt:lpstr>GS_Pleins</vt:lpstr>
      <vt:lpstr>Suivi (auto)</vt:lpstr>
      <vt:lpstr>Suivi Carburant</vt:lpstr>
      <vt:lpstr>Prix par Station</vt:lpstr>
      <vt:lpstr>Graphiques</vt:lpstr>
      <vt:lpstr>Notes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Frédéric Daubercy</cp:lastModifiedBy>
  <dcterms:created xsi:type="dcterms:W3CDTF">2018-06-07T17:34:22Z</dcterms:created>
  <dcterms:modified xsi:type="dcterms:W3CDTF">2026-05-30T04:41:23Z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0x010100CD401524DC532D42A0E0ED886331A72B</vt:lpwstr>
  </property>
  <property fmtid="{D5CDD505-2E9C-101B-9397-08002B2CF9AE}" pid="3" name="MSIP_Label_f42aa342-8706-4288-bd11-ebb85995028c_Enabled">
    <vt:lpwstr>True</vt:lpwstr>
  </property>
  <property fmtid="{D5CDD505-2E9C-101B-9397-08002B2CF9AE}" pid="4" name="MSIP_Label_f42aa342-8706-4288-bd11-ebb85995028c_SiteId">
    <vt:lpwstr>72f988bf-86f1-41af-91ab-2d7cd011db47</vt:lpwstr>
  </property>
  <property fmtid="{D5CDD505-2E9C-101B-9397-08002B2CF9AE}" pid="5" name="MSIP_Label_f42aa342-8706-4288-bd11-ebb85995028c_Owner">
    <vt:lpwstr>t-dahop@microsoft.com</vt:lpwstr>
  </property>
  <property fmtid="{D5CDD505-2E9C-101B-9397-08002B2CF9AE}" pid="6" name="MSIP_Label_f42aa342-8706-4288-bd11-ebb85995028c_SetDate">
    <vt:lpwstr>2018-06-18T14:22:57.3833839Z</vt:lpwstr>
  </property>
  <property fmtid="{D5CDD505-2E9C-101B-9397-08002B2CF9AE}" pid="7" name="MSIP_Label_f42aa342-8706-4288-bd11-ebb85995028c_Name">
    <vt:lpwstr>General</vt:lpwstr>
  </property>
  <property fmtid="{D5CDD505-2E9C-101B-9397-08002B2CF9AE}" pid="8" name="MSIP_Label_f42aa342-8706-4288-bd11-ebb85995028c_Application">
    <vt:lpwstr>Microsoft Azure Information Protection</vt:lpwstr>
  </property>
  <property fmtid="{D5CDD505-2E9C-101B-9397-08002B2CF9AE}" pid="9" name="MSIP_Label_f42aa342-8706-4288-bd11-ebb85995028c_Extended_MSFT_Method">
    <vt:lpwstr>Automatic</vt:lpwstr>
  </property>
  <property fmtid="{D5CDD505-2E9C-101B-9397-08002B2CF9AE}" pid="10" name="Sensitivity">
    <vt:lpwstr>General</vt:lpwstr>
  </property>
</Properties>
</file>