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2C695EC6-2EB1-471C-ABB2-26D7A4488BE3}" xr6:coauthVersionLast="47" xr6:coauthVersionMax="47" xr10:uidLastSave="{00000000-0000-0000-0000-000000000000}"/>
  <bookViews>
    <workbookView xWindow="-120" yWindow="-120" windowWidth="24240" windowHeight="13020" firstSheet="4" activeTab="7" xr2:uid="{51658058-8315-A640-B733-1DFC39D6EEC8}"/>
  </bookViews>
  <sheets>
    <sheet name="Claude Log" sheetId="3" state="hidden" r:id="rId1"/>
    <sheet name="Suivi (auto)" sheetId="11" state="hidden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r:id="rId11"/>
    <sheet name="_PrixHistory" sheetId="13" state="hidden" r:id="rId12"/>
    <sheet name="Notes" sheetId="6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functionGroup name="ChatGPT for Excel"/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Fuel">Carte!$C$4</definedName>
    <definedName name="Carte_Position">Carte!$C$5</definedName>
    <definedName name="DonnéesExternes_1" localSheetId="11" hidden="1">_PrixHistory!$A$1:$P$18</definedName>
    <definedName name="DonnéesExternes_1" localSheetId="10" hidden="1">GS_Pleins!$A$2:$P$18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12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" i="2" l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E31" i="2" s="1"/>
  <c r="D31" i="2"/>
  <c r="D32" i="2"/>
  <c r="C17" i="2"/>
  <c r="B35" i="2" s="1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B17" i="2"/>
  <c r="B18" i="2"/>
  <c r="B19" i="2"/>
  <c r="B20" i="2"/>
  <c r="B21" i="2"/>
  <c r="B22" i="2"/>
  <c r="B23" i="2"/>
  <c r="B24" i="2"/>
  <c r="B25" i="2"/>
  <c r="B26" i="2"/>
  <c r="B27" i="2"/>
  <c r="B29" i="2"/>
  <c r="B30" i="2"/>
  <c r="B31" i="2"/>
  <c r="B32" i="2"/>
  <c r="I32" i="2"/>
  <c r="I30" i="2"/>
  <c r="M18" i="2"/>
  <c r="M19" i="2"/>
  <c r="K31" i="2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B40" i="2" l="1"/>
  <c r="J32" i="2"/>
  <c r="B37" i="2"/>
  <c r="N17" i="2"/>
  <c r="B36" i="2"/>
  <c r="H32" i="2"/>
  <c r="K32" i="2"/>
  <c r="L32" i="2"/>
  <c r="M32" i="2" s="1"/>
  <c r="E32" i="2"/>
  <c r="H7" i="11"/>
  <c r="H11" i="11"/>
  <c r="I31" i="2"/>
  <c r="H31" i="2" s="1"/>
  <c r="I28" i="2"/>
  <c r="H28" i="2" s="1"/>
  <c r="E30" i="2"/>
  <c r="M17" i="2"/>
  <c r="N19" i="2"/>
  <c r="H9" i="11"/>
  <c r="H13" i="11"/>
  <c r="N18" i="2"/>
  <c r="I29" i="2"/>
  <c r="H29" i="2" s="1"/>
  <c r="L31" i="2"/>
  <c r="J31" i="2"/>
  <c r="H30" i="2"/>
  <c r="E28" i="2"/>
  <c r="J30" i="2"/>
  <c r="E7" i="11"/>
  <c r="I7" i="11" s="1"/>
  <c r="E11" i="11"/>
  <c r="I11" i="11" s="1"/>
  <c r="E15" i="11"/>
  <c r="I15" i="11" s="1"/>
  <c r="H6" i="11"/>
  <c r="J28" i="2"/>
  <c r="J29" i="2"/>
  <c r="E29" i="2"/>
  <c r="H15" i="11"/>
  <c r="E6" i="11"/>
  <c r="I6" i="11" s="1"/>
  <c r="H8" i="11"/>
  <c r="E10" i="11"/>
  <c r="I10" i="11" s="1"/>
  <c r="H12" i="11"/>
  <c r="E14" i="11"/>
  <c r="I14" i="11" s="1"/>
  <c r="E9" i="11"/>
  <c r="I9" i="11" s="1"/>
  <c r="E13" i="11"/>
  <c r="I13" i="11" s="1"/>
  <c r="H5" i="11"/>
  <c r="E8" i="11"/>
  <c r="I8" i="11" s="1"/>
  <c r="H10" i="11"/>
  <c r="E12" i="11"/>
  <c r="I12" i="11" s="1"/>
  <c r="H14" i="11"/>
  <c r="E27" i="2"/>
  <c r="K17" i="2"/>
  <c r="I27" i="2"/>
  <c r="H27" i="2" s="1"/>
  <c r="J27" i="2"/>
  <c r="E26" i="2"/>
  <c r="I26" i="2"/>
  <c r="H26" i="2" s="1"/>
  <c r="J26" i="2"/>
  <c r="M31" i="2" l="1"/>
  <c r="E25" i="2"/>
  <c r="I25" i="2"/>
  <c r="J25" i="2"/>
  <c r="E17" i="2"/>
  <c r="E18" i="2"/>
  <c r="E19" i="2"/>
  <c r="E20" i="2"/>
  <c r="E21" i="2"/>
  <c r="E22" i="2"/>
  <c r="E23" i="2"/>
  <c r="E24" i="2"/>
  <c r="J17" i="2"/>
  <c r="B43" i="2" s="1"/>
  <c r="J18" i="2"/>
  <c r="J19" i="2"/>
  <c r="J20" i="2"/>
  <c r="J21" i="2"/>
  <c r="J22" i="2"/>
  <c r="J23" i="2"/>
  <c r="J24" i="2"/>
  <c r="A18" i="2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I23" i="2"/>
  <c r="B39" i="2"/>
  <c r="B38" i="2"/>
  <c r="S17" i="2"/>
  <c r="K18" i="2"/>
  <c r="I18" i="2"/>
  <c r="H18" i="2" s="1"/>
  <c r="B42" i="2" l="1"/>
  <c r="H25" i="2"/>
  <c r="H23" i="2"/>
  <c r="J6" i="2"/>
  <c r="J7" i="2" a="1"/>
  <c r="J7" i="2" s="1"/>
  <c r="B7" i="2"/>
  <c r="J8" i="2" s="1"/>
  <c r="L18" i="2"/>
  <c r="B8" i="2" a="1"/>
  <c r="B8" i="2" s="1"/>
  <c r="L29" i="2" l="1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K19" i="2"/>
  <c r="I19" i="2"/>
  <c r="H19" i="2" s="1"/>
  <c r="I20" i="2"/>
  <c r="I21" i="2"/>
  <c r="I22" i="2"/>
  <c r="I24" i="2"/>
  <c r="I17" i="2"/>
  <c r="B41" i="2" l="1"/>
  <c r="H21" i="2"/>
  <c r="M21" i="2"/>
  <c r="M20" i="2"/>
  <c r="N20" i="2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H24" i="2"/>
  <c r="M24" i="2"/>
  <c r="H22" i="2"/>
  <c r="M22" i="2"/>
  <c r="H17" i="2"/>
  <c r="L19" i="2"/>
  <c r="J35" i="2" s="1"/>
  <c r="H20" i="2"/>
  <c r="J36" i="2" l="1"/>
  <c r="J37" i="2" s="1"/>
  <c r="J41" i="2" l="1"/>
  <c r="J42" i="2" s="1"/>
  <c r="J38" i="2"/>
  <c r="J39" i="2"/>
  <c r="Q25" i="2" l="1" a="1"/>
  <c r="Q25" i="2" s="1"/>
  <c r="S25" i="2" s="1"/>
  <c r="R20" i="2" a="1"/>
  <c r="R20" i="2" s="1"/>
  <c r="Q28" i="2" l="1" a="1"/>
  <c r="Q28" i="2" s="1"/>
  <c r="S28" i="2" s="1"/>
  <c r="Q19" i="2" a="1"/>
  <c r="Q19" i="2" s="1"/>
  <c r="S19" i="2" s="1"/>
  <c r="R27" i="2" a="1"/>
  <c r="R27" i="2" s="1"/>
  <c r="Q32" i="2" a="1"/>
  <c r="Q32" i="2" s="1"/>
  <c r="R30" i="2" a="1"/>
  <c r="R30" i="2" s="1"/>
  <c r="R31" i="2" a="1"/>
  <c r="R31" i="2" s="1"/>
  <c r="Q26" i="2" a="1"/>
  <c r="Q26" i="2" s="1"/>
  <c r="S26" i="2" s="1"/>
  <c r="B11" i="2"/>
  <c r="Q33" i="2" a="1"/>
  <c r="Q33" i="2" s="1"/>
  <c r="Q18" i="2" a="1"/>
  <c r="Q18" i="2" s="1"/>
  <c r="S18" i="2" s="1"/>
  <c r="R21" i="2" a="1"/>
  <c r="R21" i="2" s="1"/>
  <c r="R18" i="2" a="1"/>
  <c r="R18" i="2" s="1"/>
  <c r="Q23" i="2" a="1"/>
  <c r="Q23" i="2" s="1"/>
  <c r="S23" i="2" s="1"/>
  <c r="P33" i="2" a="1"/>
  <c r="P33" i="2" s="1"/>
  <c r="R33" i="2" s="1"/>
  <c r="R19" i="2" a="1"/>
  <c r="R19" i="2" s="1"/>
  <c r="Q22" i="2" a="1"/>
  <c r="Q22" i="2" s="1"/>
  <c r="S22" i="2" s="1"/>
  <c r="R26" i="2" a="1"/>
  <c r="R26" i="2" s="1"/>
  <c r="Q24" i="2" a="1"/>
  <c r="Q24" i="2" s="1"/>
  <c r="S24" i="2" s="1"/>
  <c r="Q27" i="2" a="1"/>
  <c r="Q27" i="2" s="1"/>
  <c r="S27" i="2" s="1"/>
  <c r="Q29" i="2" a="1"/>
  <c r="Q29" i="2" s="1"/>
  <c r="S29" i="2" s="1"/>
  <c r="R28" i="2" a="1"/>
  <c r="R28" i="2" s="1"/>
  <c r="R23" i="2" a="1"/>
  <c r="R23" i="2" s="1"/>
  <c r="P32" i="2" a="1"/>
  <c r="P32" i="2" s="1"/>
  <c r="R32" i="2" s="1"/>
  <c r="Q21" i="2" a="1"/>
  <c r="Q21" i="2" s="1"/>
  <c r="S21" i="2" s="1"/>
  <c r="Q30" i="2" a="1"/>
  <c r="Q30" i="2" s="1"/>
  <c r="S30" i="2" s="1"/>
  <c r="Q31" i="2" a="1"/>
  <c r="Q31" i="2" s="1"/>
  <c r="S31" i="2" s="1"/>
  <c r="Q20" i="2" a="1"/>
  <c r="Q20" i="2" s="1"/>
  <c r="S20" i="2" s="1"/>
  <c r="R29" i="2" a="1"/>
  <c r="R29" i="2" s="1"/>
  <c r="R24" i="2" a="1"/>
  <c r="R24" i="2" s="1"/>
  <c r="R22" i="2" a="1"/>
  <c r="R22" i="2" s="1"/>
  <c r="R25" i="2" a="1"/>
  <c r="R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<sst xmlns="http://schemas.openxmlformats.org/spreadsheetml/2006/main" count="984" uniqueCount="543">
  <si>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</si>
  <si>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</si>
  <si>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</si>
  <si>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</si>
  <si>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</si>
  <si>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</si>
  <si>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</si>
  <si>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</si>
  <si>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</si>
  <si>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</si>
  <si>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</si>
  <si>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</si>
  <si>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</si>
  <si>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</si>
  <si>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</si>
  <si>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</si>
  <si>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</si>
  <si>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</si>
  <si>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</si>
  <si>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</si>
  <si>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</si>
  <si>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</si>
  <si>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</si>
  <si>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</si>
  <si>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</si>
  <si>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</si>
  <si>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</si>
  <si>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</si>
  <si>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</si>
  <si>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</si>
  <si>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</si>
  <si>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</si>
  <si>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</si>
  <si>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</si>
  <si>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</si>
  <si>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</si>
  <si>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</si>
  <si>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</si>
  <si>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</si>
  <si>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</si>
  <si>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</si>
  <si>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</si>
  <si>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</si>
  <si>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</si>
  <si>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</si>
  <si>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</si>
  <si>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</si>
  <si>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</si>
  <si>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</si>
  <si>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</si>
  <si>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</si>
  <si>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</si>
  <si>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</si>
  <si>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</si>
  <si>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</si>
  <si>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</si>
  <si>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</si>
  <si>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</si>
  <si>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</si>
  <si>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</si>
  <si>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</si>
  <si>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</si>
  <si>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</si>
  <si>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</si>
  <si>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</si>
  <si>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</si>
  <si>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</si>
  <si>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</si>
  <si>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</si>
  <si>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</si>
  <si>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</si>
  <si>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</si>
  <si>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</si>
  <si>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</si>
  <si>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</si>
  <si>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</si>
  <si>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</si>
  <si>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</si>
  <si>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</si>
  <si>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</si>
  <si>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</si>
  <si>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</si>
  <si>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</si>
  <si>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</si>
  <si>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</si>
  <si>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</si>
  <si>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</si>
  <si>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</si>
  <si>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</si>
  <si>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</si>
  <si>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</si>
  <si>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</si>
  <si>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</si>
  <si>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</si>
  <si>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</si>
  <si>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</si>
  <si>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</si>
  <si>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</si>
  <si>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</si>
  <si>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</si>
  <si>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</si>
  <si>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</si>
  <si>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</si>
  <si>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</si>
  <si>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</si>
  <si>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</si>
  <si>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</si>
  <si>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</si>
  <si>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</si>
  <si>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</si>
  <si>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</si>
  <si>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</si>
  <si>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</si>
  <si>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</si>
  <si>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</si>
  <si>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</si>
  <si>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</si>
  <si>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</si>
  <si>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</si>
  <si>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</si>
  <si>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</si>
  <si>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</si>
  <si>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</si>
  <si>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</si>
  <si>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</si>
  <si>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</si>
  <si>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</si>
  <si>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</si>
  <si>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</si>
  <si>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</si>
  <si>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</si>
  <si>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</si>
  <si>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</si>
  <si>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</si>
  <si>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</si>
  <si>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</si>
  <si>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</si>
  <si>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</si>
  <si>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</si>
  <si>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</si>
  <si>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</si>
  <si>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</si>
  <si>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</si>
  <si>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</si>
  <si>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</si>
  <si>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</si>
  <si>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</si>
  <si>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</si>
  <si>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</si>
  <si>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</si>
  <si>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</si>
  <si>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</si>
  <si>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</si>
  <si>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</si>
  <si>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</si>
  <si>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</si>
  <si>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</si>
  <si>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</si>
  <si>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</si>
  <si>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</si>
  <si>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</si>
  <si>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</si>
  <si>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</si>
  <si>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</si>
  <si>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</si>
  <si>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</si>
  <si>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</si>
  <si>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</si>
  <si>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</si>
  <si>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</si>
  <si>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</si>
  <si>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</si>
  <si>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</si>
  <si>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</si>
  <si>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</si>
  <si>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</si>
  <si>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</si>
  <si>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</si>
  <si>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</si>
  <si>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</si>
  <si>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</si>
  <si>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</si>
  <si>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</si>
  <si>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</si>
  <si>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</si>
  <si>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</si>
  <si>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</si>
  <si>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</si>
  <si>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</si>
  <si>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</si>
  <si>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</si>
  <si>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</si>
  <si>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</si>
  <si>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</si>
  <si>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</si>
  <si>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</si>
  <si>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</si>
  <si>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</si>
  <si>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</si>
  <si>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</si>
  <si>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</si>
  <si>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</si>
  <si>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</si>
  <si>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</si>
  <si>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</si>
  <si>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</si>
  <si>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</si>
  <si>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</si>
  <si>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</si>
  <si>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</si>
  <si>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</si>
  <si>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</si>
  <si>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</si>
  <si>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</si>
  <si>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</si>
  <si>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</si>
  <si>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</si>
  <si>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</si>
  <si>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</si>
  <si>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</si>
  <si>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</si>
  <si>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</si>
  <si>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</si>
  <si>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</si>
  <si>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</si>
  <si>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</si>
  <si>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</si>
  <si>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</si>
  <si>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</si>
  <si>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</si>
  <si>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</si>
  <si>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</si>
  <si>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</si>
  <si>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</si>
  <si>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</si>
  <si>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</si>
  <si>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</si>
  <si>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</si>
  <si>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</si>
  <si>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</si>
  <si>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</si>
  <si>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</si>
  <si>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</si>
  <si>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</si>
  <si>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</si>
  <si>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</si>
  <si>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</si>
  <si>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</si>
  <si>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</si>
  <si>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</si>
  <si>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</si>
  <si>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</si>
  <si>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</si>
  <si>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</si>
  <si>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</si>
  <si>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</si>
  <si>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</si>
  <si>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</si>
  <si>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</si>
  <si>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</si>
  <si>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</si>
  <si>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</si>
  <si>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</si>
  <si>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</si>
  <si>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</si>
  <si>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</si>
  <si>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</si>
  <si>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</si>
  <si>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</si>
  <si>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</si>
  <si>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</si>
  <si>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</si>
  <si>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</si>
  <si>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</si>
  <si>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</si>
  <si>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</si>
  <si>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</si>
  <si>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</si>
  <si>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</si>
  <si>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</si>
  <si>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</si>
  <si>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</si>
  <si>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</si>
  <si>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</si>
  <si>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</si>
  <si>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</si>
  <si>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</si>
  <si>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</si>
  <si>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</si>
  <si>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</si>
  <si>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</si>
  <si>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</si>
  <si>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</si>
  <si>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</si>
  <si>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</si>
  <si>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</si>
  <si>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</si>
  <si>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</si>
  <si>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</si>
  <si>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</si>
  <si>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</si>
  <si>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</si>
  <si>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</si>
  <si>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</si>
  <si>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</si>
  <si>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</si>
  <si>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</si>
  <si>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</si>
  <si>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</si>
  <si>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</si>
  <si>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</si>
  <si>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</si>
  <si>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</si>
  <si>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</si>
  <si>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</si>
  <si>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</si>
  <si>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</si>
  <si>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</si>
  <si>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</si>
  <si>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</si>
  <si>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</si>
  <si>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</si>
  <si>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</si>
  <si>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</si>
  <si>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</si>
  <si>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</si>
  <si>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</si>
  <si>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</si>
  <si>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</si>
  <si>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</si>
  <si>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</si>
  <si>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</si>
  <si>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</si>
  <si>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</si>
  <si>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</si>
  <si>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</si>
  <si>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</si>
  <si>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</si>
  <si>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</si>
  <si>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</si>
  <si>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</si>
  <si>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</si>
  <si>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</si>
  <si>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</si>
  <si>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</si>
  <si>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</si>
  <si>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</si>
  <si>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</si>
  <si>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</si>
  <si>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</si>
  <si>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</si>
  <si>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</si>
  <si>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</si>
  <si>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</si>
  <si>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</si>
  <si>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</si>
  <si>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</si>
  <si>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</si>
  <si>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</si>
  <si>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</si>
  <si>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</si>
  <si>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</si>
  <si>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</si>
  <si>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</si>
  <si>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</si>
  <si>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</si>
  <si>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</si>
  <si>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</si>
  <si>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</si>
  <si>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</si>
  <si>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</si>
  <si>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</si>
  <si>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</si>
  <si>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</si>
  <si>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</si>
  <si>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</si>
  <si>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</si>
  <si>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</si>
  <si>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</si>
  <si>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</si>
  <si>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</si>
  <si>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</si>
  <si>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</si>
  <si>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</si>
  <si>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</si>
  <si>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</si>
  <si>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</si>
  <si>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</si>
  <si>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</si>
  <si>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</si>
  <si>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</si>
  <si>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</si>
  <si>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</si>
  <si>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</si>
  <si>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</si>
  <si>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</si>
  <si>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</si>
  <si>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</si>
  <si>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</si>
  <si>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</si>
  <si>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</si>
  <si>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</si>
  <si>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</si>
  <si>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</si>
  <si>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</si>
  <si>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</si>
  <si>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</si>
  <si>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</si>
  <si>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</si>
  <si>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</si>
  <si>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</si>
  <si>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</si>
  <si>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</si>
  <si>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</si>
  <si>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</si>
  <si>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</si>
  <si>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</si>
  <si>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</si>
  <si>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</si>
  <si>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</si>
  <si>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</si>
  <si>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</si>
  <si>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</si>
  <si>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</si>
  <si>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</si>
  <si>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</si>
  <si>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</si>
  <si>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</si>
  <si>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</si>
  <si>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</si>
  <si>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</si>
  <si>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</si>
  <si>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</si>
  <si>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</si>
  <si>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</si>
  <si>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</si>
  <si>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</si>
  <si>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</si>
  <si>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</si>
  <si>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</si>
  <si>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</si>
  <si>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</si>
  <si>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</si>
  <si>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</si>
  <si>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</si>
  <si>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</si>
  <si>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</si>
  <si>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</si>
  <si>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</si>
  <si>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</si>
  <si>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</si>
  <si>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</si>
  <si>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</si>
  <si>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</si>
  <si>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</si>
  <si>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</si>
  <si>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</si>
  <si>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</si>
  <si>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</si>
  <si>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</si>
  <si>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</si>
  <si>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</si>
  <si>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</si>
  <si>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</si>
  <si>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</si>
  <si>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</si>
  <si>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</si>
  <si>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</si>
  <si>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</si>
  <si>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</si>
  <si>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</si>
  <si>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</si>
  <si>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</si>
  <si>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</si>
  <si>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</si>
  <si>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</si>
  <si>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</si>
  <si>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</si>
  <si>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</si>
  <si>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</si>
  <si>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</si>
  <si>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</si>
  <si>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</si>
  <si>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</si>
  <si>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</si>
  <si>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</si>
  <si>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</si>
  <si>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</si>
  <si>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</si>
  <si>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</si>
  <si>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</si>
  <si>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</si>
  <si>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</si>
  <si>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</si>
  <si>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</si>
  <si>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</si>
  <si>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</si>
  <si>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</si>
  <si>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</si>
  <si>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</si>
  <si>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</si>
  <si>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</si>
  <si>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</si>
  <si>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</si>
  <si>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</si>
  <si>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</si>
  <si>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</si>
  <si>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</si>
  <si>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</si>
  <si>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</si>
  <si>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</si>
  <si>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</si>
  <si>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</si>
  <si>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</si>
  <si>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</si>
  <si>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</si>
  <si>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</si>
  <si>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</si>
  <si>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</si>
  <si>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6/9/2026 20:43:26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</si>
  <si>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</si>
  <si>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</si>
  <si>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</si>
  <si>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</si>
  <si>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</si>
  <si>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</si>
  <si>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</si>
  <si>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</si>
  <si>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6/13/2026 8:20:31</t>
  </si>
  <si>
    <t>Ticket</t>
  </si>
  <si>
    <t>Tous les pleins (15)</t>
  </si>
  <si>
    <t>Etape</t>
  </si>
  <si>
    <t>Hist. Carburant</t>
  </si>
  <si>
    <t>Réglages</t>
  </si>
  <si>
    <t>CO2 annuel</t>
  </si>
  <si>
    <t>kg</t>
  </si>
  <si>
    <t>Realise</t>
  </si>
  <si>
    <t>3b3cbea4-86e6-4844-ada0-089d187bc577</t>
  </si>
  <si>
    <t>6/16/2026 19:05:22</t>
  </si>
  <si>
    <t>reglages</t>
  </si>
  <si>
    <t>E85,GAZOLE,SP98</t>
  </si>
  <si>
    <t>2026-04</t>
  </si>
  <si>
    <t>6/17/2026 23:39:12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</si>
</sst>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  <numFmt numFmtId="182" formatCode="dd/mm/yyyy"/>
    <numFmt numFmtId="183" formatCode="dd/mm/yyyy\ hh:mm"/>
  </numFmts>
  <fonts count="37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i/>
      <sz val="10"/>
      <color rgb="FFFFFFFF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</fills>
  <borders count="19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9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/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Border="1"/>
    <xf numFmtId="1" fontId="30" fillId="6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22" fontId="32" fillId="6" borderId="0" xfId="0" applyNumberFormat="1" applyFont="1" applyFill="1" applyBorder="1" applyProtection="1"/>
    <xf numFmtId="0" fontId="17" fillId="14" borderId="0" xfId="0" applyFont="1" applyFill="1"/>
    <xf numFmtId="0" fontId="18" fillId="0" borderId="0" xfId="0" applyFont="1"/>
    <xf numFmtId="0" fontId="36" fillId="6" borderId="0" xfId="0" applyFont="1" applyFill="1" applyBorder="1" applyAlignment="1">
      <alignment horizontal="left" vertical="center" indent="1"/>
    </xf>
    <xf numFmtId="1" fontId="19" fillId="6" borderId="0" xfId="0" applyNumberFormat="1" applyFont="1" applyFill="1" applyBorder="1" applyAlignment="1">
      <alignment horizontal="left" vertical="center" indent="1"/>
    </xf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0" xfId="0" applyNumberFormat="1"/>
    <xf numFmtId="183" fontId="32" fillId="6" borderId="0" xfId="0" applyNumberFormat="1" applyFont="1" applyFill="1" applyBorder="1" applyProtection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6"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82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2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-151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C13-B763-FFED5A247B6B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61-4C13-B763-FFED5A247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246415"/>
        <c:axId val="562248815"/>
      </c:barChart>
      <c:catAx>
        <c:axId val="562246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62248815"/>
        <c:crosses val="autoZero"/>
        <c:auto val="1"/>
        <c:lblAlgn val="ctr"/>
        <c:lblOffset val="100"/>
        <c:noMultiLvlLbl val="0"/>
      </c:catAx>
      <c:valAx>
        <c:axId val="562248815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62246415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_GraphData!$B$2:$B$4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35.47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A-41FF-AD8C-148729BC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08047"/>
        <c:axId val="2051517167"/>
      </c:barChart>
      <c:catAx>
        <c:axId val="205150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7167"/>
        <c:crosses val="autoZero"/>
        <c:auto val="1"/>
        <c:lblAlgn val="ctr"/>
        <c:lblOffset val="100"/>
        <c:noMultiLvlLbl val="0"/>
      </c:catAx>
      <c:valAx>
        <c:axId val="2051517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_GraphData!$AF$2:$AF$9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E4-452A-88A4-90178CE655E9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_GraphData!$AG$2:$AG$9</c:f>
              <c:numCache>
                <c:formatCode>General</c:formatCode>
                <c:ptCount val="8"/>
                <c:pt idx="0">
                  <c:v>10.056345760719452</c:v>
                </c:pt>
                <c:pt idx="1">
                  <c:v>21.229537476500422</c:v>
                </c:pt>
                <c:pt idx="2">
                  <c:v>35.656273720491299</c:v>
                </c:pt>
                <c:pt idx="3">
                  <c:v>47.696608424771583</c:v>
                </c:pt>
                <c:pt idx="4">
                  <c:v>60.822279543582724</c:v>
                </c:pt>
                <c:pt idx="5">
                  <c:v>74.194764299700353</c:v>
                </c:pt>
                <c:pt idx="6">
                  <c:v>89.121433107739648</c:v>
                </c:pt>
                <c:pt idx="7">
                  <c:v>101.26441372819251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E4-452A-88A4-90178CE655E9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val>
            <c:numRef>
              <c:f>_GraphData!$AH$2:$AH$9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E4-452A-88A4-90178CE65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9487"/>
        <c:axId val="2051505167"/>
      </c:lineChart>
      <c:catAx>
        <c:axId val="20515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5167"/>
        <c:crosses val="autoZero"/>
        <c:auto val="1"/>
        <c:lblAlgn val="ctr"/>
        <c:lblOffset val="100"/>
        <c:noMultiLvlLbl val="0"/>
      </c:catAx>
      <c:valAx>
        <c:axId val="2051505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948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_GraphData!$AM$2:$AM$12</c:f>
              <c:numCache>
                <c:formatCode>m/d/yyyy</c:formatCode>
                <c:ptCount val="11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46177</c:v>
                </c:pt>
                <c:pt idx="9">
                  <c:v>46182.083333333336</c:v>
                </c:pt>
                <c:pt idx="10">
                  <c:v>46185.083333333336</c:v>
                </c:pt>
              </c:numCache>
            </c:numRef>
          </c:cat>
          <c:val>
            <c:numRef>
              <c:f>_GraphData!$AN$2:$AN$12</c:f>
              <c:numCache>
                <c:formatCode>General</c:formatCode>
                <c:ptCount val="11"/>
                <c:pt idx="0">
                  <c:v>10.056345760719452</c:v>
                </c:pt>
                <c:pt idx="1">
                  <c:v>21.229537476500422</c:v>
                </c:pt>
                <c:pt idx="2">
                  <c:v>35.656273720491299</c:v>
                </c:pt>
                <c:pt idx="3">
                  <c:v>47.696608424771583</c:v>
                </c:pt>
                <c:pt idx="4">
                  <c:v>60.822279543582724</c:v>
                </c:pt>
                <c:pt idx="5">
                  <c:v>74.194764299700353</c:v>
                </c:pt>
                <c:pt idx="6">
                  <c:v>89.121433107739648</c:v>
                </c:pt>
                <c:pt idx="7">
                  <c:v>101.26441372819251</c:v>
                </c:pt>
                <c:pt idx="8">
                  <c:v>127.1850683019935</c:v>
                </c:pt>
                <c:pt idx="9">
                  <c:v>138.36773006972007</c:v>
                </c:pt>
                <c:pt idx="10">
                  <c:v>138.36773006972007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22-4F16-89F2-33BA79D96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7567"/>
        <c:axId val="2051516687"/>
      </c:lineChart>
      <c:dateAx>
        <c:axId val="2051507567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6687"/>
        <c:crosses val="autoZero"/>
        <c:auto val="1"/>
        <c:lblOffset val="100"/>
        <c:baseTimeUnit val="days"/>
      </c:dateAx>
      <c:valAx>
        <c:axId val="20515166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75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_GraphData!$T$2:$T$4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35.47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18607"/>
        <c:axId val="2051511887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_GraphData!$U$2:$U$4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8607"/>
        <c:axId val="2051511887"/>
      </c:lineChart>
      <c:catAx>
        <c:axId val="205151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1887"/>
        <c:crosses val="autoZero"/>
        <c:auto val="1"/>
        <c:lblAlgn val="ctr"/>
        <c:lblOffset val="100"/>
        <c:noMultiLvlLbl val="0"/>
      </c:catAx>
      <c:valAx>
        <c:axId val="2051511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86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_GraphData!$D$2:$D$4</c:f>
              <c:numCache>
                <c:formatCode>General</c:formatCode>
                <c:ptCount val="3"/>
                <c:pt idx="0">
                  <c:v>0</c:v>
                </c:pt>
                <c:pt idx="1">
                  <c:v>-106.7</c:v>
                </c:pt>
                <c:pt idx="2">
                  <c:v>-150.9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0E-4C69-B6C5-7D9ED696301E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_GraphData!$E$2:$E$4</c:f>
              <c:numCache>
                <c:formatCode>General</c:formatCode>
                <c:ptCount val="3"/>
                <c:pt idx="0">
                  <c:v>16.7</c:v>
                </c:pt>
                <c:pt idx="1">
                  <c:v>33.299999999999997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0E-4C69-B6C5-7D9ED696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3807"/>
        <c:axId val="2051503247"/>
      </c:lineChart>
      <c:catAx>
        <c:axId val="205151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3247"/>
        <c:crosses val="autoZero"/>
        <c:auto val="1"/>
        <c:lblAlgn val="ctr"/>
        <c:lblOffset val="100"/>
        <c:noMultiLvlLbl val="0"/>
      </c:catAx>
      <c:valAx>
        <c:axId val="205150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Prix E85 (€/L) vs Conso (L/100 km)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_GraphData!$AQ$1</c:f>
              <c:strCache>
                <c:ptCount val="1"/>
                <c:pt idx="0">
                  <c:v>Conso L/100 km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xVal>
            <c:numRef>
              <c:f>_GraphData!$AP$2:$AP$12</c:f>
              <c:numCache>
                <c:formatCode>General</c:formatCode>
                <c:ptCount val="11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0.72899999999999998</c:v>
                </c:pt>
                <c:pt idx="9">
                  <c:v>0.79900000000000004</c:v>
                </c:pt>
                <c:pt idx="10">
                  <c:v>0.79900000000000004</c:v>
                </c:pt>
              </c:numCache>
            </c:numRef>
          </c:xVal>
          <c:yVal>
            <c:numRef>
              <c:f>_GraphData!$AQ$2:$AQ$12</c:f>
              <c:numCache>
                <c:formatCode>General</c:formatCode>
                <c:ptCount val="11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6.2614107883817427</c:v>
                </c:pt>
                <c:pt idx="9">
                  <c:v>8.2619047619047628</c:v>
                </c:pt>
                <c:pt idx="10">
                  <c:v>7.1234042553191479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A1-4C76-AFE6-092C245DC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5807"/>
        <c:axId val="2051526287"/>
      </c:scatterChart>
      <c:valAx>
        <c:axId val="2051525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Prix E85 €/L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6287"/>
        <c:crosses val="autoZero"/>
        <c:crossBetween val="midCat"/>
      </c:valAx>
      <c:valAx>
        <c:axId val="20515262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580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_GraphData!$AJ$2:$AJ$11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95-44F2-BC46-4E08F3C85BC5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_GraphData!$AK$2:$AK$11</c:f>
              <c:numCache>
                <c:formatCode>General</c:formatCode>
                <c:ptCount val="10"/>
                <c:pt idx="0">
                  <c:v>5.3971631205673765</c:v>
                </c:pt>
                <c:pt idx="1">
                  <c:v>5.3921568627450984</c:v>
                </c:pt>
                <c:pt idx="2">
                  <c:v>5.6225490196078436</c:v>
                </c:pt>
                <c:pt idx="3">
                  <c:v>5.9744897959183678</c:v>
                </c:pt>
                <c:pt idx="4">
                  <c:v>6.7610619469026547</c:v>
                </c:pt>
                <c:pt idx="5">
                  <c:v>7.0404040404040398</c:v>
                </c:pt>
                <c:pt idx="6">
                  <c:v>6.5862068965517233</c:v>
                </c:pt>
                <c:pt idx="7">
                  <c:v>6.7727272727272734</c:v>
                </c:pt>
                <c:pt idx="8">
                  <c:v>6.9148936170212769</c:v>
                </c:pt>
                <c:pt idx="9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95-44F2-BC46-4E08F3C85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7247"/>
        <c:axId val="2051510927"/>
      </c:barChart>
      <c:catAx>
        <c:axId val="205152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0927"/>
        <c:crosses val="autoZero"/>
        <c:auto val="1"/>
        <c:lblAlgn val="ctr"/>
        <c:lblOffset val="100"/>
        <c:noMultiLvlLbl val="0"/>
      </c:catAx>
      <c:valAx>
        <c:axId val="20515109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72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_GraphData!$AF$2:$AF$9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</c:numCache>
            </c:numRef>
          </c:xVal>
          <c:yVal>
            <c:numRef>
              <c:f>_GraphData!$AG$2:$AG$9</c:f>
              <c:numCache>
                <c:formatCode>General</c:formatCode>
                <c:ptCount val="8"/>
                <c:pt idx="0">
                  <c:v>10.056345760719452</c:v>
                </c:pt>
                <c:pt idx="1">
                  <c:v>21.229537476500422</c:v>
                </c:pt>
                <c:pt idx="2">
                  <c:v>35.656273720491299</c:v>
                </c:pt>
                <c:pt idx="3">
                  <c:v>47.696608424771583</c:v>
                </c:pt>
                <c:pt idx="4">
                  <c:v>60.822279543582724</c:v>
                </c:pt>
                <c:pt idx="5">
                  <c:v>74.194764299700353</c:v>
                </c:pt>
                <c:pt idx="6">
                  <c:v>89.121433107739648</c:v>
                </c:pt>
                <c:pt idx="7">
                  <c:v>101.26441372819251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88-49B4-9DF0-4AFAF6EC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9647"/>
        <c:axId val="2051531087"/>
      </c:scatterChart>
      <c:valAx>
        <c:axId val="205152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31087"/>
        <c:crosses val="autoZero"/>
        <c:crossBetween val="midCat"/>
      </c:valAx>
      <c:valAx>
        <c:axId val="20515310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964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_GraphData!$G$2:$G$17</c:f>
              <c:numCache>
                <c:formatCode>m/d/yyyy</c:formatCode>
                <c:ptCount val="16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46175</c:v>
                </c:pt>
                <c:pt idx="12">
                  <c:v>46177</c:v>
                </c:pt>
                <c:pt idx="13">
                  <c:v>46182</c:v>
                </c:pt>
                <c:pt idx="14">
                  <c:v>46185</c:v>
                </c:pt>
                <c:pt idx="15">
                  <c:v>46189</c:v>
                </c:pt>
              </c:numCache>
            </c:numRef>
          </c:cat>
          <c:val>
            <c:numRef>
              <c:f>_GraphData!$H$2:$H$17</c:f>
              <c:numCache>
                <c:formatCode>General</c:formatCode>
                <c:ptCount val="16"/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0.79800000000000004</c:v>
                </c:pt>
                <c:pt idx="10">
                  <c:v>0.84899999999999998</c:v>
                </c:pt>
                <c:pt idx="11">
                  <c:v>0.84199999999999997</c:v>
                </c:pt>
                <c:pt idx="12">
                  <c:v>0.77200000000000002</c:v>
                </c:pt>
                <c:pt idx="13">
                  <c:v>0.79900000000000004</c:v>
                </c:pt>
                <c:pt idx="14">
                  <c:v>0.79400000000000004</c:v>
                </c:pt>
                <c:pt idx="15">
                  <c:v>0.79900000000000004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43-442D-8EA5-6ECE6AEF8BA1}"/>
            </c:ext>
          </c:extLst>
        </c:ser>
        <c:ser>
          <c:idx val="1"/>
          <c:order val="1"/>
          <c:tx>
            <c:strRef>
              <c:f>_GraphData!$I$1</c:f>
              <c:strCache>
                <c:ptCount val="1"/>
                <c:pt idx="0">
                  <c:v>SP98</c:v>
                </c:pt>
              </c:strCache>
            </c:strRef>
          </c:tx>
          <c:spPr>
            <a:ln w="28575">
              <a:solidFill>
                <a:srgbClr val="2E75B6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2E75B6"/>
                </a:solidFill>
                <a:prstDash val="solid"/>
              </a:ln>
            </c:spPr>
          </c:marker>
          <c:cat>
            <c:numRef>
              <c:f>_GraphData!$G$2:$G$17</c:f>
              <c:numCache>
                <c:formatCode>m/d/yyyy</c:formatCode>
                <c:ptCount val="16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46175</c:v>
                </c:pt>
                <c:pt idx="12">
                  <c:v>46177</c:v>
                </c:pt>
                <c:pt idx="13">
                  <c:v>46182</c:v>
                </c:pt>
                <c:pt idx="14">
                  <c:v>46185</c:v>
                </c:pt>
                <c:pt idx="15">
                  <c:v>46189</c:v>
                </c:pt>
              </c:numCache>
            </c:numRef>
          </c:cat>
          <c:val>
            <c:numRef>
              <c:f>_GraphData!$I$2:$I$17</c:f>
              <c:numCache>
                <c:formatCode>General</c:formatCode>
                <c:ptCount val="16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2.117</c:v>
                </c:pt>
                <c:pt idx="10">
                  <c:v>2.1789999999999998</c:v>
                </c:pt>
                <c:pt idx="11">
                  <c:v>1.99</c:v>
                </c:pt>
                <c:pt idx="12">
                  <c:v>1.9770000000000001</c:v>
                </c:pt>
                <c:pt idx="13">
                  <c:v>1.9790000000000001</c:v>
                </c:pt>
                <c:pt idx="15">
                  <c:v>1.9750000000000001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43-442D-8EA5-6ECE6AEF8BA1}"/>
            </c:ext>
          </c:extLst>
        </c:ser>
        <c:ser>
          <c:idx val="2"/>
          <c:order val="2"/>
          <c:tx>
            <c:strRef>
              <c:f>_GraphData!$J$1</c:f>
              <c:strCache>
                <c:ptCount val="1"/>
                <c:pt idx="0">
                  <c:v>GAZOLE</c:v>
                </c:pt>
              </c:strCache>
            </c:strRef>
          </c:tx>
          <c:spPr>
            <a:ln w="28575">
              <a:solidFill>
                <a:srgbClr val="1B3A5C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B3A5C"/>
                </a:solidFill>
                <a:prstDash val="solid"/>
              </a:ln>
            </c:spPr>
          </c:marker>
          <c:cat>
            <c:numRef>
              <c:f>_GraphData!$G$2:$G$17</c:f>
              <c:numCache>
                <c:formatCode>m/d/yyyy</c:formatCode>
                <c:ptCount val="16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46175</c:v>
                </c:pt>
                <c:pt idx="12">
                  <c:v>46177</c:v>
                </c:pt>
                <c:pt idx="13">
                  <c:v>46182</c:v>
                </c:pt>
                <c:pt idx="14">
                  <c:v>46185</c:v>
                </c:pt>
                <c:pt idx="15">
                  <c:v>46189</c:v>
                </c:pt>
              </c:numCache>
            </c:numRef>
          </c:cat>
          <c:val>
            <c:numRef>
              <c:f>_GraphData!$J$2:$J$17</c:f>
              <c:numCache>
                <c:formatCode>General</c:formatCode>
                <c:ptCount val="16"/>
                <c:pt idx="10">
                  <c:v>2.0990000000000002</c:v>
                </c:pt>
                <c:pt idx="11">
                  <c:v>2.1230000000000002</c:v>
                </c:pt>
                <c:pt idx="12">
                  <c:v>1.9650000000000001</c:v>
                </c:pt>
                <c:pt idx="13">
                  <c:v>1.9670000000000001</c:v>
                </c:pt>
                <c:pt idx="15">
                  <c:v>1.885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643-442D-8EA5-6ECE6AEF8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19040"/>
        <c:axId val="554820960"/>
      </c:lineChart>
      <c:dateAx>
        <c:axId val="5548190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54820960"/>
        <c:crosses val="autoZero"/>
        <c:auto val="1"/>
        <c:lblOffset val="100"/>
        <c:baseTimeUnit val="days"/>
      </c:dateAx>
      <c:valAx>
        <c:axId val="554820960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54819040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_GraphData!$BC$2:$BC$15</c:f>
              <c:numCache>
                <c:formatCode>m/d/yyyy</c:formatCode>
                <c:ptCount val="14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  <c:pt idx="13">
                  <c:v>46185</c:v>
                </c:pt>
              </c:numCache>
            </c:numRef>
          </c:cat>
          <c:val>
            <c:numRef>
              <c:f>_GraphData!$BD$2:$BD$15</c:f>
              <c:numCache>
                <c:formatCode>General</c:formatCode>
                <c:ptCount val="14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  <c:pt idx="13">
                  <c:v>7.12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43-4028-ABDE-9422C9828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185488"/>
        <c:axId val="552183088"/>
      </c:lineChart>
      <c:dateAx>
        <c:axId val="55218548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52183088"/>
        <c:crosses val="autoZero"/>
        <c:auto val="1"/>
        <c:lblOffset val="100"/>
        <c:baseTimeUnit val="days"/>
      </c:dateAx>
      <c:valAx>
        <c:axId val="552183088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5218548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6B0E3E2F-825B-374A-553B-7AFE149AD55C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30726</xdr:rowOff>
    </xdr:from>
    <xdr:to>
      <xdr:col>37</xdr:col>
      <xdr:colOff>83880</xdr:colOff>
      <xdr:row>0</xdr:row>
      <xdr:rowOff>440403</xdr:rowOff>
    </xdr:to>
    <xdr:sp macro="" textlink="">
      <xdr:nvSpPr>
        <xdr:cNvPr id="25" name="sb_bg">
          <a:extLst>
            <a:ext uri="{FF2B5EF4-FFF2-40B4-BE49-F238E27FC236}">
              <a16:creationId xmlns:a16="http://schemas.microsoft.com/office/drawing/2014/main" id="{8E7A9256-D1ED-1CAC-1BC6-36D69AA4E9FB}"/>
            </a:ext>
          </a:extLst>
        </xdr:cNvPr>
        <xdr:cNvSpPr/>
      </xdr:nvSpPr>
      <xdr:spPr>
        <a:xfrm>
          <a:off x="0" y="30726"/>
          <a:ext cx="30725805" cy="409677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81935</xdr:colOff>
      <xdr:row>0</xdr:row>
      <xdr:rowOff>81935</xdr:rowOff>
    </xdr:from>
    <xdr:to>
      <xdr:col>1</xdr:col>
      <xdr:colOff>666177</xdr:colOff>
      <xdr:row>0</xdr:row>
      <xdr:rowOff>389193</xdr:rowOff>
    </xdr:to>
    <xdr:sp macro="modSidebar.NavSidebar_0" textlink="">
      <xdr:nvSpPr>
        <xdr:cNvPr id="26" name="sb_nav_0">
          <a:extLst>
            <a:ext uri="{FF2B5EF4-FFF2-40B4-BE49-F238E27FC236}">
              <a16:creationId xmlns:a16="http://schemas.microsoft.com/office/drawing/2014/main" id="{2106E3EA-CF40-AA30-6279-2987FD732873}"/>
            </a:ext>
          </a:extLst>
        </xdr:cNvPr>
        <xdr:cNvSpPr/>
      </xdr:nvSpPr>
      <xdr:spPr>
        <a:xfrm>
          <a:off x="81935" y="81935"/>
          <a:ext cx="1050967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707145</xdr:colOff>
      <xdr:row>0</xdr:row>
      <xdr:rowOff>81935</xdr:rowOff>
    </xdr:from>
    <xdr:to>
      <xdr:col>3</xdr:col>
      <xdr:colOff>564545</xdr:colOff>
      <xdr:row>0</xdr:row>
      <xdr:rowOff>389193</xdr:rowOff>
    </xdr:to>
    <xdr:sp macro="modSidebar.NavSidebar_1" textlink="">
      <xdr:nvSpPr>
        <xdr:cNvPr id="27" name="sb_nav_1">
          <a:extLst>
            <a:ext uri="{FF2B5EF4-FFF2-40B4-BE49-F238E27FC236}">
              <a16:creationId xmlns:a16="http://schemas.microsoft.com/office/drawing/2014/main" id="{6AE1279B-F22E-4A5C-7AE9-C16BFECAA726}"/>
            </a:ext>
          </a:extLst>
        </xdr:cNvPr>
        <xdr:cNvSpPr/>
      </xdr:nvSpPr>
      <xdr:spPr>
        <a:xfrm>
          <a:off x="1173870" y="81935"/>
          <a:ext cx="1533800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605513</xdr:colOff>
      <xdr:row>0</xdr:row>
      <xdr:rowOff>81935</xdr:rowOff>
    </xdr:from>
    <xdr:to>
      <xdr:col>4</xdr:col>
      <xdr:colOff>713704</xdr:colOff>
      <xdr:row>0</xdr:row>
      <xdr:rowOff>389193</xdr:rowOff>
    </xdr:to>
    <xdr:sp macro="modSidebar.NavSidebar_2" textlink="">
      <xdr:nvSpPr>
        <xdr:cNvPr id="28" name="sb_nav_2">
          <a:extLst>
            <a:ext uri="{FF2B5EF4-FFF2-40B4-BE49-F238E27FC236}">
              <a16:creationId xmlns:a16="http://schemas.microsoft.com/office/drawing/2014/main" id="{58832634-36C2-ADD5-32A4-8F7076744D87}"/>
            </a:ext>
          </a:extLst>
        </xdr:cNvPr>
        <xdr:cNvSpPr/>
      </xdr:nvSpPr>
      <xdr:spPr>
        <a:xfrm>
          <a:off x="2748638" y="81935"/>
          <a:ext cx="946391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754671</xdr:colOff>
      <xdr:row>0</xdr:row>
      <xdr:rowOff>81935</xdr:rowOff>
    </xdr:from>
    <xdr:to>
      <xdr:col>6</xdr:col>
      <xdr:colOff>562933</xdr:colOff>
      <xdr:row>0</xdr:row>
      <xdr:rowOff>389193</xdr:rowOff>
    </xdr:to>
    <xdr:sp macro="modSidebar.NavSidebar_3" textlink="">
      <xdr:nvSpPr>
        <xdr:cNvPr id="29" name="sb_nav_3">
          <a:extLst>
            <a:ext uri="{FF2B5EF4-FFF2-40B4-BE49-F238E27FC236}">
              <a16:creationId xmlns:a16="http://schemas.microsoft.com/office/drawing/2014/main" id="{151422F2-22CE-9D67-E1CF-DA057014AAFE}"/>
            </a:ext>
          </a:extLst>
        </xdr:cNvPr>
        <xdr:cNvSpPr/>
      </xdr:nvSpPr>
      <xdr:spPr>
        <a:xfrm>
          <a:off x="3735996" y="81935"/>
          <a:ext cx="1484662" cy="30725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603901</xdr:colOff>
      <xdr:row>0</xdr:row>
      <xdr:rowOff>81935</xdr:rowOff>
    </xdr:from>
    <xdr:to>
      <xdr:col>8</xdr:col>
      <xdr:colOff>291746</xdr:colOff>
      <xdr:row>0</xdr:row>
      <xdr:rowOff>389193</xdr:rowOff>
    </xdr:to>
    <xdr:sp macro="modSidebar.NavSidebar_4" textlink="">
      <xdr:nvSpPr>
        <xdr:cNvPr id="30" name="sb_nav_4">
          <a:extLst>
            <a:ext uri="{FF2B5EF4-FFF2-40B4-BE49-F238E27FC236}">
              <a16:creationId xmlns:a16="http://schemas.microsoft.com/office/drawing/2014/main" id="{1CA6742F-B606-01AB-887A-3805DDFA4707}"/>
            </a:ext>
          </a:extLst>
        </xdr:cNvPr>
        <xdr:cNvSpPr/>
      </xdr:nvSpPr>
      <xdr:spPr>
        <a:xfrm>
          <a:off x="5261626" y="81935"/>
          <a:ext cx="136424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332714</xdr:colOff>
      <xdr:row>0</xdr:row>
      <xdr:rowOff>81935</xdr:rowOff>
    </xdr:from>
    <xdr:to>
      <xdr:col>9</xdr:col>
      <xdr:colOff>568879</xdr:colOff>
      <xdr:row>0</xdr:row>
      <xdr:rowOff>389193</xdr:rowOff>
    </xdr:to>
    <xdr:sp macro="modSidebar.NavSidebar_5" textlink="">
      <xdr:nvSpPr>
        <xdr:cNvPr id="31" name="sb_nav_5">
          <a:extLst>
            <a:ext uri="{FF2B5EF4-FFF2-40B4-BE49-F238E27FC236}">
              <a16:creationId xmlns:a16="http://schemas.microsoft.com/office/drawing/2014/main" id="{42065073-228F-5CC0-D87E-992666293699}"/>
            </a:ext>
          </a:extLst>
        </xdr:cNvPr>
        <xdr:cNvSpPr/>
      </xdr:nvSpPr>
      <xdr:spPr>
        <a:xfrm>
          <a:off x="6666839" y="81935"/>
          <a:ext cx="107436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213783</xdr:colOff>
      <xdr:row>51</xdr:row>
      <xdr:rowOff>127000</xdr:rowOff>
    </xdr:from>
    <xdr:to>
      <xdr:col>16</xdr:col>
      <xdr:colOff>0</xdr:colOff>
      <xdr:row>64</xdr:row>
      <xdr:rowOff>15875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213783</xdr:colOff>
      <xdr:row>25</xdr:row>
      <xdr:rowOff>44450</xdr:rowOff>
    </xdr:from>
    <xdr:to>
      <xdr:col>16</xdr:col>
      <xdr:colOff>0</xdr:colOff>
      <xdr:row>37</xdr:row>
      <xdr:rowOff>133350</xdr:rowOff>
    </xdr:to>
    <xdr:graphicFrame macro="">
      <xdr:nvGraphicFramePr>
        <xdr:cNvPr id="6025" name="gVeh">
          <a:extLst>
            <a:ext uri="{FF2B5EF4-FFF2-40B4-BE49-F238E27FC236}">
              <a16:creationId xmlns:a16="http://schemas.microsoft.com/office/drawing/2014/main" id="{198FF446-1B5B-267E-86E3-871F0ADFAD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127000</xdr:colOff>
      <xdr:row>25</xdr:row>
      <xdr:rowOff>44450</xdr:rowOff>
    </xdr:from>
    <xdr:to>
      <xdr:col>4</xdr:col>
      <xdr:colOff>122767</xdr:colOff>
      <xdr:row>37</xdr:row>
      <xdr:rowOff>133350</xdr:rowOff>
    </xdr:to>
    <xdr:graphicFrame macro="">
      <xdr:nvGraphicFramePr>
        <xdr:cNvPr id="10021" name="gCost">
          <a:extLst>
            <a:ext uri="{FF2B5EF4-FFF2-40B4-BE49-F238E27FC236}">
              <a16:creationId xmlns:a16="http://schemas.microsoft.com/office/drawing/2014/main" id="{353543D4-F108-4969-0CEF-BA2B445FB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213783</xdr:colOff>
      <xdr:row>38</xdr:row>
      <xdr:rowOff>85725</xdr:rowOff>
    </xdr:from>
    <xdr:to>
      <xdr:col>16</xdr:col>
      <xdr:colOff>0</xdr:colOff>
      <xdr:row>50</xdr:row>
      <xdr:rowOff>174625</xdr:rowOff>
    </xdr:to>
    <xdr:graphicFrame macro="">
      <xdr:nvGraphicFramePr>
        <xdr:cNvPr id="10023" name="gKitCumul">
          <a:extLst>
            <a:ext uri="{FF2B5EF4-FFF2-40B4-BE49-F238E27FC236}">
              <a16:creationId xmlns:a16="http://schemas.microsoft.com/office/drawing/2014/main" id="{08F00C5F-E926-070F-FDFA-B0CFE39DF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127000</xdr:colOff>
      <xdr:row>64</xdr:row>
      <xdr:rowOff>168275</xdr:rowOff>
    </xdr:from>
    <xdr:to>
      <xdr:col>4</xdr:col>
      <xdr:colOff>122767</xdr:colOff>
      <xdr:row>77</xdr:row>
      <xdr:rowOff>57150</xdr:rowOff>
    </xdr:to>
    <xdr:graphicFrame macro="">
      <xdr:nvGraphicFramePr>
        <xdr:cNvPr id="10024" name="gEcoDate">
          <a:extLst>
            <a:ext uri="{FF2B5EF4-FFF2-40B4-BE49-F238E27FC236}">
              <a16:creationId xmlns:a16="http://schemas.microsoft.com/office/drawing/2014/main" id="{874E4222-A508-5A1E-BB4B-C1CADC9FF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127000</xdr:colOff>
      <xdr:row>38</xdr:row>
      <xdr:rowOff>85725</xdr:rowOff>
    </xdr:from>
    <xdr:to>
      <xdr:col>4</xdr:col>
      <xdr:colOff>122767</xdr:colOff>
      <xdr:row>50</xdr:row>
      <xdr:rowOff>174625</xdr:rowOff>
    </xdr:to>
    <xdr:graphicFrame macro="">
      <xdr:nvGraphicFramePr>
        <xdr:cNvPr id="10025" name="gBudget">
          <a:extLst>
            <a:ext uri="{FF2B5EF4-FFF2-40B4-BE49-F238E27FC236}">
              <a16:creationId xmlns:a16="http://schemas.microsoft.com/office/drawing/2014/main" id="{FDAD9205-2CA5-16B0-C3ED-DE5599C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275167</xdr:colOff>
      <xdr:row>38</xdr:row>
      <xdr:rowOff>85725</xdr:rowOff>
    </xdr:from>
    <xdr:to>
      <xdr:col>10</xdr:col>
      <xdr:colOff>61384</xdr:colOff>
      <xdr:row>50</xdr:row>
      <xdr:rowOff>174625</xdr:rowOff>
    </xdr:to>
    <xdr:graphicFrame macro="">
      <xdr:nvGraphicFramePr>
        <xdr:cNvPr id="10026" name="gCo2">
          <a:extLst>
            <a:ext uri="{FF2B5EF4-FFF2-40B4-BE49-F238E27FC236}">
              <a16:creationId xmlns:a16="http://schemas.microsoft.com/office/drawing/2014/main" id="{C3443B3D-322C-7464-BB2D-08644F2C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275167</xdr:colOff>
      <xdr:row>64</xdr:row>
      <xdr:rowOff>168275</xdr:rowOff>
    </xdr:from>
    <xdr:to>
      <xdr:col>10</xdr:col>
      <xdr:colOff>61384</xdr:colOff>
      <xdr:row>77</xdr:row>
      <xdr:rowOff>57150</xdr:rowOff>
    </xdr:to>
    <xdr:graphicFrame macro="">
      <xdr:nvGraphicFramePr>
        <xdr:cNvPr id="10027" name="gScatterE85">
          <a:extLst>
            <a:ext uri="{FF2B5EF4-FFF2-40B4-BE49-F238E27FC236}">
              <a16:creationId xmlns:a16="http://schemas.microsoft.com/office/drawing/2014/main" id="{2DAD1C79-9F47-1D0B-2041-32AE0C81D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127000</xdr:colOff>
      <xdr:row>51</xdr:row>
      <xdr:rowOff>127000</xdr:rowOff>
    </xdr:from>
    <xdr:to>
      <xdr:col>4</xdr:col>
      <xdr:colOff>122767</xdr:colOff>
      <xdr:row>64</xdr:row>
      <xdr:rowOff>15875</xdr:rowOff>
    </xdr:to>
    <xdr:graphicFrame macro="">
      <xdr:nvGraphicFramePr>
        <xdr:cNvPr id="10028" name="gCoutKm">
          <a:extLst>
            <a:ext uri="{FF2B5EF4-FFF2-40B4-BE49-F238E27FC236}">
              <a16:creationId xmlns:a16="http://schemas.microsoft.com/office/drawing/2014/main" id="{4A6ADE67-BD10-4FC9-D592-78C88903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275167</xdr:colOff>
      <xdr:row>51</xdr:row>
      <xdr:rowOff>127000</xdr:rowOff>
    </xdr:from>
    <xdr:to>
      <xdr:col>10</xdr:col>
      <xdr:colOff>61384</xdr:colOff>
      <xdr:row>64</xdr:row>
      <xdr:rowOff>15875</xdr:rowOff>
    </xdr:to>
    <xdr:graphicFrame macro="">
      <xdr:nvGraphicFramePr>
        <xdr:cNvPr id="10029" name="gKitProj">
          <a:extLst>
            <a:ext uri="{FF2B5EF4-FFF2-40B4-BE49-F238E27FC236}">
              <a16:creationId xmlns:a16="http://schemas.microsoft.com/office/drawing/2014/main" id="{0556487E-C6AB-2A0B-5E9B-9277E71D3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275167</xdr:colOff>
      <xdr:row>25</xdr:row>
      <xdr:rowOff>44450</xdr:rowOff>
    </xdr:from>
    <xdr:to>
      <xdr:col>10</xdr:col>
      <xdr:colOff>61384</xdr:colOff>
      <xdr:row>37</xdr:row>
      <xdr:rowOff>133350</xdr:rowOff>
    </xdr:to>
    <xdr:graphicFrame macro="">
      <xdr:nvGraphicFramePr>
        <xdr:cNvPr id="58" name="gPrice">
          <a:extLst>
            <a:ext uri="{FF2B5EF4-FFF2-40B4-BE49-F238E27FC236}">
              <a16:creationId xmlns:a16="http://schemas.microsoft.com/office/drawing/2014/main" id="{E8F676B6-F17F-59FD-9C86-7A43047D8D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213783</xdr:colOff>
      <xdr:row>64</xdr:row>
      <xdr:rowOff>168275</xdr:rowOff>
    </xdr:from>
    <xdr:to>
      <xdr:col>16</xdr:col>
      <xdr:colOff>0</xdr:colOff>
      <xdr:row>77</xdr:row>
      <xdr:rowOff>57150</xdr:rowOff>
    </xdr:to>
    <xdr:graphicFrame macro="">
      <xdr:nvGraphicFramePr>
        <xdr:cNvPr id="60" name="gConso">
          <a:extLst>
            <a:ext uri="{FF2B5EF4-FFF2-40B4-BE49-F238E27FC236}">
              <a16:creationId xmlns:a16="http://schemas.microsoft.com/office/drawing/2014/main" id="{D6ECE27B-F678-BF5E-0C51-9328018FFB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10018" name="dash_banner">
          <a:extLst>
            <a:ext uri="{FF2B5EF4-FFF2-40B4-BE49-F238E27FC236}">
              <a16:creationId xmlns:a16="http://schemas.microsoft.com/office/drawing/2014/main" id="{51C8CBB7-CC3D-C28E-7DAA-1520B8ACAC15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0019" name="dash_title">
          <a:extLst>
            <a:ext uri="{FF2B5EF4-FFF2-40B4-BE49-F238E27FC236}">
              <a16:creationId xmlns:a16="http://schemas.microsoft.com/office/drawing/2014/main" id="{1E8192A3-9DE9-EF84-90E9-CA6917DE8A86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0020" name="dash_subtitle">
          <a:extLst>
            <a:ext uri="{FF2B5EF4-FFF2-40B4-BE49-F238E27FC236}">
              <a16:creationId xmlns:a16="http://schemas.microsoft.com/office/drawing/2014/main" id="{7A2DBA22-0C94-C9A8-BD59-B119D5EFE23C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10033" name="dash_btn" descr="Actualiser">
          <a:extLst>
            <a:ext uri="{FF2B5EF4-FFF2-40B4-BE49-F238E27FC236}">
              <a16:creationId xmlns:a16="http://schemas.microsoft.com/office/drawing/2014/main" id="{3640486F-09DA-79F1-CBD7-01283DFCAE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6033" name="dash_meta_params">
          <a:extLst>
            <a:ext uri="{FF2B5EF4-FFF2-40B4-BE49-F238E27FC236}">
              <a16:creationId xmlns:a16="http://schemas.microsoft.com/office/drawing/2014/main" id="{5BFB303C-FE41-199E-E3E3-E8B223E7328B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17/06 23:40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6034" name="dash_btnlbl_0">
          <a:extLst>
            <a:ext uri="{FF2B5EF4-FFF2-40B4-BE49-F238E27FC236}">
              <a16:creationId xmlns:a16="http://schemas.microsoft.com/office/drawing/2014/main" id="{6CB04989-E10E-3734-17A0-3857094CCD06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6035" name="dash_btnlbl_1">
          <a:extLst>
            <a:ext uri="{FF2B5EF4-FFF2-40B4-BE49-F238E27FC236}">
              <a16:creationId xmlns:a16="http://schemas.microsoft.com/office/drawing/2014/main" id="{16672064-B243-8897-34CA-E8C77BD81A63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6036" name="dash_btnlbl_2">
          <a:extLst>
            <a:ext uri="{FF2B5EF4-FFF2-40B4-BE49-F238E27FC236}">
              <a16:creationId xmlns:a16="http://schemas.microsoft.com/office/drawing/2014/main" id="{5D634868-1EC7-FCCB-220A-F38AE0D9284B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6037" name="dash_kpi">
          <a:extLst>
            <a:ext uri="{FF2B5EF4-FFF2-40B4-BE49-F238E27FC236}">
              <a16:creationId xmlns:a16="http://schemas.microsoft.com/office/drawing/2014/main" id="{BF4E6C43-7AB7-11D3-AF6A-A3509286D84E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6038" name="dash_kpibar">
          <a:extLst>
            <a:ext uri="{FF2B5EF4-FFF2-40B4-BE49-F238E27FC236}">
              <a16:creationId xmlns:a16="http://schemas.microsoft.com/office/drawing/2014/main" id="{2E7BD27F-1D32-6929-584F-06A78DF520D3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6039" name="dash_kpilabel">
          <a:extLst>
            <a:ext uri="{FF2B5EF4-FFF2-40B4-BE49-F238E27FC236}">
              <a16:creationId xmlns:a16="http://schemas.microsoft.com/office/drawing/2014/main" id="{D31ED0BC-110D-342C-63F1-6E8CD2EF505D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6040" name="dash_kpivalue">
          <a:extLst>
            <a:ext uri="{FF2B5EF4-FFF2-40B4-BE49-F238E27FC236}">
              <a16:creationId xmlns:a16="http://schemas.microsoft.com/office/drawing/2014/main" id="{EC51CA33-29CB-DA5A-B38B-760BF24FAED2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6041" name="dash_kpiunit">
          <a:extLst>
            <a:ext uri="{FF2B5EF4-FFF2-40B4-BE49-F238E27FC236}">
              <a16:creationId xmlns:a16="http://schemas.microsoft.com/office/drawing/2014/main" id="{054B22B4-0B4F-6DDD-3E96-0963F779F6E8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6042" name="dash_kpi">
          <a:extLst>
            <a:ext uri="{FF2B5EF4-FFF2-40B4-BE49-F238E27FC236}">
              <a16:creationId xmlns:a16="http://schemas.microsoft.com/office/drawing/2014/main" id="{A232E469-6133-E165-8D40-FF307653AA0C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6043" name="dash_kpibar">
          <a:extLst>
            <a:ext uri="{FF2B5EF4-FFF2-40B4-BE49-F238E27FC236}">
              <a16:creationId xmlns:a16="http://schemas.microsoft.com/office/drawing/2014/main" id="{E61372AF-C2B7-E861-65E8-385DEC5AF5AE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6044" name="dash_kpilabel">
          <a:extLst>
            <a:ext uri="{FF2B5EF4-FFF2-40B4-BE49-F238E27FC236}">
              <a16:creationId xmlns:a16="http://schemas.microsoft.com/office/drawing/2014/main" id="{1E639982-676A-0BDF-A887-00A6B7625933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6045" name="dash_kpivalue">
          <a:extLst>
            <a:ext uri="{FF2B5EF4-FFF2-40B4-BE49-F238E27FC236}">
              <a16:creationId xmlns:a16="http://schemas.microsoft.com/office/drawing/2014/main" id="{9111E38F-B4FF-089E-7BFE-250CF2F35969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6,09 €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6046" name="dash_kpiunit">
          <a:extLst>
            <a:ext uri="{FF2B5EF4-FFF2-40B4-BE49-F238E27FC236}">
              <a16:creationId xmlns:a16="http://schemas.microsoft.com/office/drawing/2014/main" id="{248E780E-90C5-8960-2C5C-0ADEACB04E43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6047" name="dash_kpi">
          <a:extLst>
            <a:ext uri="{FF2B5EF4-FFF2-40B4-BE49-F238E27FC236}">
              <a16:creationId xmlns:a16="http://schemas.microsoft.com/office/drawing/2014/main" id="{A3E4BB85-56CD-3991-09B0-D7D47400AA22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6048" name="dash_kpibar">
          <a:extLst>
            <a:ext uri="{FF2B5EF4-FFF2-40B4-BE49-F238E27FC236}">
              <a16:creationId xmlns:a16="http://schemas.microsoft.com/office/drawing/2014/main" id="{FBDB22AF-9317-F9A5-7B1E-8E9BAF158CF5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165100</xdr:rowOff>
    </xdr:from>
    <xdr:to>
      <xdr:col>11</xdr:col>
      <xdr:colOff>363538</xdr:colOff>
      <xdr:row>16</xdr:row>
      <xdr:rowOff>142875</xdr:rowOff>
    </xdr:to>
    <xdr:sp macro="" textlink="">
      <xdr:nvSpPr>
        <xdr:cNvPr id="6049" name="dash_kpilabel">
          <a:extLst>
            <a:ext uri="{FF2B5EF4-FFF2-40B4-BE49-F238E27FC236}">
              <a16:creationId xmlns:a16="http://schemas.microsoft.com/office/drawing/2014/main" id="{E772F695-4135-12D1-8AC2-34FEE89EF767}"/>
            </a:ext>
          </a:extLst>
        </xdr:cNvPr>
        <xdr:cNvSpPr txBox="1"/>
      </xdr:nvSpPr>
      <xdr:spPr>
        <a:xfrm>
          <a:off x="7781925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ÉCONOMIES E85 vs SP98</a:t>
          </a:r>
        </a:p>
      </xdr:txBody>
    </xdr:sp>
    <xdr:clientData/>
  </xdr:twoCellAnchor>
  <xdr:twoCellAnchor>
    <xdr:from>
      <xdr:col>7</xdr:col>
      <xdr:colOff>434975</xdr:colOff>
      <xdr:row>16</xdr:row>
      <xdr:rowOff>168275</xdr:rowOff>
    </xdr:from>
    <xdr:to>
      <xdr:col>11</xdr:col>
      <xdr:colOff>350838</xdr:colOff>
      <xdr:row>18</xdr:row>
      <xdr:rowOff>149225</xdr:rowOff>
    </xdr:to>
    <xdr:sp macro="" textlink="">
      <xdr:nvSpPr>
        <xdr:cNvPr id="6050" name="dash_kpivalue">
          <a:extLst>
            <a:ext uri="{FF2B5EF4-FFF2-40B4-BE49-F238E27FC236}">
              <a16:creationId xmlns:a16="http://schemas.microsoft.com/office/drawing/2014/main" id="{8B82E6CA-7F53-CC3B-5E17-53C9758DBA4D}"/>
            </a:ext>
          </a:extLst>
        </xdr:cNvPr>
        <xdr:cNvSpPr txBox="1"/>
      </xdr:nvSpPr>
      <xdr:spPr>
        <a:xfrm>
          <a:off x="7769225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-101 €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363538</xdr:colOff>
      <xdr:row>19</xdr:row>
      <xdr:rowOff>127000</xdr:rowOff>
    </xdr:to>
    <xdr:sp macro="" textlink="">
      <xdr:nvSpPr>
        <xdr:cNvPr id="6051" name="dash_kpiunit">
          <a:extLst>
            <a:ext uri="{FF2B5EF4-FFF2-40B4-BE49-F238E27FC236}">
              <a16:creationId xmlns:a16="http://schemas.microsoft.com/office/drawing/2014/main" id="{5C148D64-A7E9-DF68-A56A-058FA1E60141}"/>
            </a:ext>
          </a:extLst>
        </xdr:cNvPr>
        <xdr:cNvSpPr txBox="1"/>
      </xdr:nvSpPr>
      <xdr:spPr>
        <a:xfrm>
          <a:off x="7781925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estimées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6052" name="dash_kpi">
          <a:extLst>
            <a:ext uri="{FF2B5EF4-FFF2-40B4-BE49-F238E27FC236}">
              <a16:creationId xmlns:a16="http://schemas.microsoft.com/office/drawing/2014/main" id="{06F8C78E-004E-A7DE-8CEC-50CAA085C5CF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6053" name="dash_kpibar">
          <a:extLst>
            <a:ext uri="{FF2B5EF4-FFF2-40B4-BE49-F238E27FC236}">
              <a16:creationId xmlns:a16="http://schemas.microsoft.com/office/drawing/2014/main" id="{15E458DF-04E4-55A9-BE4A-CA01B518A74A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6054" name="dash_kpilabel">
          <a:extLst>
            <a:ext uri="{FF2B5EF4-FFF2-40B4-BE49-F238E27FC236}">
              <a16:creationId xmlns:a16="http://schemas.microsoft.com/office/drawing/2014/main" id="{0FF15471-CA98-F831-B6DE-C29ECDF45C96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6055" name="dash_kpivalue">
          <a:extLst>
            <a:ext uri="{FF2B5EF4-FFF2-40B4-BE49-F238E27FC236}">
              <a16:creationId xmlns:a16="http://schemas.microsoft.com/office/drawing/2014/main" id="{3FA52952-7BE5-5D55-3C47-9F61FB78F679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-181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6056" name="dash_kpiunit">
          <a:extLst>
            <a:ext uri="{FF2B5EF4-FFF2-40B4-BE49-F238E27FC236}">
              <a16:creationId xmlns:a16="http://schemas.microsoft.com/office/drawing/2014/main" id="{16EED76D-66AA-14EA-300F-982D8181483E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6057" name="dash_meta">
          <a:extLst>
            <a:ext uri="{FF2B5EF4-FFF2-40B4-BE49-F238E27FC236}">
              <a16:creationId xmlns:a16="http://schemas.microsoft.com/office/drawing/2014/main" id="{50A53591-417D-F53C-7A4C-8A73CC100BE7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6058" name="dash_metatxt">
          <a:extLst>
            <a:ext uri="{FF2B5EF4-FFF2-40B4-BE49-F238E27FC236}">
              <a16:creationId xmlns:a16="http://schemas.microsoft.com/office/drawing/2014/main" id="{23302BA2-F14B-0A89-F80B-8062500B4B4E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15      ·      Distance : 3 350 km      ·      Carburant : 215,4 L      ·      % pleins E85 : 81 %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6059" name="dash_meta">
          <a:extLst>
            <a:ext uri="{FF2B5EF4-FFF2-40B4-BE49-F238E27FC236}">
              <a16:creationId xmlns:a16="http://schemas.microsoft.com/office/drawing/2014/main" id="{1EB41159-F49C-D9CE-679F-A7FC1AE8D20B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6060" name="dash_metatxt">
          <a:extLst>
            <a:ext uri="{FF2B5EF4-FFF2-40B4-BE49-F238E27FC236}">
              <a16:creationId xmlns:a16="http://schemas.microsoft.com/office/drawing/2014/main" id="{254E6F3F-6723-9B98-8827-66DA4F1AC43A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204 €      ·      Prix moyen E85,GAZOLE,SP98 : 1,010 €/L      ·      Dernier plein : 16/06/2026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0</xdr:colOff>
      <xdr:row>0</xdr:row>
      <xdr:rowOff>37353</xdr:rowOff>
    </xdr:from>
    <xdr:to>
      <xdr:col>42</xdr:col>
      <xdr:colOff>681692</xdr:colOff>
      <xdr:row>1</xdr:row>
      <xdr:rowOff>259167</xdr:rowOff>
    </xdr:to>
    <xdr:sp macro="" textlink="">
      <xdr:nvSpPr>
        <xdr:cNvPr id="6061" name="sb_bg">
          <a:extLst>
            <a:ext uri="{FF2B5EF4-FFF2-40B4-BE49-F238E27FC236}">
              <a16:creationId xmlns:a16="http://schemas.microsoft.com/office/drawing/2014/main" id="{7A3B349B-9715-3E60-44D2-252D36252865}"/>
            </a:ext>
          </a:extLst>
        </xdr:cNvPr>
        <xdr:cNvSpPr/>
      </xdr:nvSpPr>
      <xdr:spPr>
        <a:xfrm>
          <a:off x="0" y="37353"/>
          <a:ext cx="37352942" cy="498039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99608</xdr:colOff>
      <xdr:row>0</xdr:row>
      <xdr:rowOff>99608</xdr:rowOff>
    </xdr:from>
    <xdr:to>
      <xdr:col>0</xdr:col>
      <xdr:colOff>1249070</xdr:colOff>
      <xdr:row>1</xdr:row>
      <xdr:rowOff>196912</xdr:rowOff>
    </xdr:to>
    <xdr:sp macro="modSidebar.NavSidebar_0" textlink="">
      <xdr:nvSpPr>
        <xdr:cNvPr id="6062" name="sb_nav_0">
          <a:extLst>
            <a:ext uri="{FF2B5EF4-FFF2-40B4-BE49-F238E27FC236}">
              <a16:creationId xmlns:a16="http://schemas.microsoft.com/office/drawing/2014/main" id="{0C737709-2C04-149E-EDBE-D4F3FCBDBACC}"/>
            </a:ext>
          </a:extLst>
        </xdr:cNvPr>
        <xdr:cNvSpPr/>
      </xdr:nvSpPr>
      <xdr:spPr>
        <a:xfrm>
          <a:off x="99608" y="99608"/>
          <a:ext cx="1149462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1298874</xdr:colOff>
      <xdr:row>0</xdr:row>
      <xdr:rowOff>99608</xdr:rowOff>
    </xdr:from>
    <xdr:to>
      <xdr:col>1</xdr:col>
      <xdr:colOff>825712</xdr:colOff>
      <xdr:row>1</xdr:row>
      <xdr:rowOff>196912</xdr:rowOff>
    </xdr:to>
    <xdr:sp macro="modSidebar.NavSidebar_1" textlink="">
      <xdr:nvSpPr>
        <xdr:cNvPr id="6063" name="sb_nav_1">
          <a:extLst>
            <a:ext uri="{FF2B5EF4-FFF2-40B4-BE49-F238E27FC236}">
              <a16:creationId xmlns:a16="http://schemas.microsoft.com/office/drawing/2014/main" id="{5D705BE3-96A8-9E7B-7E9D-7552895ECCFA}"/>
            </a:ext>
          </a:extLst>
        </xdr:cNvPr>
        <xdr:cNvSpPr/>
      </xdr:nvSpPr>
      <xdr:spPr>
        <a:xfrm>
          <a:off x="1298874" y="99608"/>
          <a:ext cx="1631863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875516</xdr:colOff>
      <xdr:row>0</xdr:row>
      <xdr:rowOff>99608</xdr:rowOff>
    </xdr:from>
    <xdr:to>
      <xdr:col>3</xdr:col>
      <xdr:colOff>43976</xdr:colOff>
      <xdr:row>1</xdr:row>
      <xdr:rowOff>196912</xdr:rowOff>
    </xdr:to>
    <xdr:sp macro="modSidebar.NavSidebar_2" textlink="">
      <xdr:nvSpPr>
        <xdr:cNvPr id="6064" name="sb_nav_2">
          <a:extLst>
            <a:ext uri="{FF2B5EF4-FFF2-40B4-BE49-F238E27FC236}">
              <a16:creationId xmlns:a16="http://schemas.microsoft.com/office/drawing/2014/main" id="{384BACB9-72C9-C993-7E28-E155C91B8398}"/>
            </a:ext>
          </a:extLst>
        </xdr:cNvPr>
        <xdr:cNvSpPr/>
      </xdr:nvSpPr>
      <xdr:spPr>
        <a:xfrm>
          <a:off x="2980541" y="99608"/>
          <a:ext cx="104488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93780</xdr:colOff>
      <xdr:row>0</xdr:row>
      <xdr:rowOff>99608</xdr:rowOff>
    </xdr:from>
    <xdr:to>
      <xdr:col>5</xdr:col>
      <xdr:colOff>105</xdr:colOff>
      <xdr:row>1</xdr:row>
      <xdr:rowOff>196912</xdr:rowOff>
    </xdr:to>
    <xdr:sp macro="modSidebar.NavSidebar_3" textlink="">
      <xdr:nvSpPr>
        <xdr:cNvPr id="6065" name="sb_nav_3">
          <a:extLst>
            <a:ext uri="{FF2B5EF4-FFF2-40B4-BE49-F238E27FC236}">
              <a16:creationId xmlns:a16="http://schemas.microsoft.com/office/drawing/2014/main" id="{9468A339-5D53-4448-29E2-1772ECB41A09}"/>
            </a:ext>
          </a:extLst>
        </xdr:cNvPr>
        <xdr:cNvSpPr/>
      </xdr:nvSpPr>
      <xdr:spPr>
        <a:xfrm>
          <a:off x="4075230" y="99608"/>
          <a:ext cx="1582725" cy="37352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49909</xdr:colOff>
      <xdr:row>0</xdr:row>
      <xdr:rowOff>99608</xdr:rowOff>
    </xdr:from>
    <xdr:to>
      <xdr:col>6</xdr:col>
      <xdr:colOff>674017</xdr:colOff>
      <xdr:row>1</xdr:row>
      <xdr:rowOff>196912</xdr:rowOff>
    </xdr:to>
    <xdr:sp macro="modSidebar.NavSidebar_4" textlink="">
      <xdr:nvSpPr>
        <xdr:cNvPr id="6066" name="sb_nav_4">
          <a:extLst>
            <a:ext uri="{FF2B5EF4-FFF2-40B4-BE49-F238E27FC236}">
              <a16:creationId xmlns:a16="http://schemas.microsoft.com/office/drawing/2014/main" id="{EAAFE165-5AE0-42DA-0933-49A29A31967D}"/>
            </a:ext>
          </a:extLst>
        </xdr:cNvPr>
        <xdr:cNvSpPr/>
      </xdr:nvSpPr>
      <xdr:spPr>
        <a:xfrm>
          <a:off x="5707759" y="99608"/>
          <a:ext cx="1462308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723820</xdr:colOff>
      <xdr:row>0</xdr:row>
      <xdr:rowOff>99608</xdr:rowOff>
    </xdr:from>
    <xdr:to>
      <xdr:col>8</xdr:col>
      <xdr:colOff>220280</xdr:colOff>
      <xdr:row>1</xdr:row>
      <xdr:rowOff>196912</xdr:rowOff>
    </xdr:to>
    <xdr:sp macro="modSidebar.NavSidebar_5" textlink="">
      <xdr:nvSpPr>
        <xdr:cNvPr id="6067" name="sb_nav_5">
          <a:extLst>
            <a:ext uri="{FF2B5EF4-FFF2-40B4-BE49-F238E27FC236}">
              <a16:creationId xmlns:a16="http://schemas.microsoft.com/office/drawing/2014/main" id="{4D1E6939-1D0A-E3DD-5870-83AD04887FBB}"/>
            </a:ext>
          </a:extLst>
        </xdr:cNvPr>
        <xdr:cNvSpPr/>
      </xdr:nvSpPr>
      <xdr:spPr>
        <a:xfrm>
          <a:off x="7219870" y="99608"/>
          <a:ext cx="1172860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6068" name="dash_banner">
          <a:extLst>
            <a:ext uri="{FF2B5EF4-FFF2-40B4-BE49-F238E27FC236}">
              <a16:creationId xmlns:a16="http://schemas.microsoft.com/office/drawing/2014/main" id="{1F9D069A-AC45-85FB-BE67-207E5A5A63CA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6069" name="dash_title">
          <a:extLst>
            <a:ext uri="{FF2B5EF4-FFF2-40B4-BE49-F238E27FC236}">
              <a16:creationId xmlns:a16="http://schemas.microsoft.com/office/drawing/2014/main" id="{30B9D740-5BFF-AD6A-61F6-F0B4C5C41770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6070" name="dash_subtitle">
          <a:extLst>
            <a:ext uri="{FF2B5EF4-FFF2-40B4-BE49-F238E27FC236}">
              <a16:creationId xmlns:a16="http://schemas.microsoft.com/office/drawing/2014/main" id="{E791709D-1AB9-9590-4673-BA765A6D75B1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6072" name="dash_btn" descr="Actualiser">
          <a:extLst>
            <a:ext uri="{FF2B5EF4-FFF2-40B4-BE49-F238E27FC236}">
              <a16:creationId xmlns:a16="http://schemas.microsoft.com/office/drawing/2014/main" id="{871F23D1-52CB-C875-8F67-5757FF7BC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6073" name="dash_meta_params">
          <a:extLst>
            <a:ext uri="{FF2B5EF4-FFF2-40B4-BE49-F238E27FC236}">
              <a16:creationId xmlns:a16="http://schemas.microsoft.com/office/drawing/2014/main" id="{5DE9B374-34AB-DE83-2808-B9EBCFDD7A66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17/06 23:40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6074" name="dash_btnlbl_0">
          <a:extLst>
            <a:ext uri="{FF2B5EF4-FFF2-40B4-BE49-F238E27FC236}">
              <a16:creationId xmlns:a16="http://schemas.microsoft.com/office/drawing/2014/main" id="{0A756630-B8AA-6445-7966-D2FFCCC66DB9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6075" name="dash_btnlbl_1">
          <a:extLst>
            <a:ext uri="{FF2B5EF4-FFF2-40B4-BE49-F238E27FC236}">
              <a16:creationId xmlns:a16="http://schemas.microsoft.com/office/drawing/2014/main" id="{4D77BDF1-6AEA-8FBA-7E2B-5DAA5AEA1D0E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6076" name="dash_btnlbl_2">
          <a:extLst>
            <a:ext uri="{FF2B5EF4-FFF2-40B4-BE49-F238E27FC236}">
              <a16:creationId xmlns:a16="http://schemas.microsoft.com/office/drawing/2014/main" id="{3E90F74A-805E-B511-35ED-0F87432A0D59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6077" name="dash_kpi">
          <a:extLst>
            <a:ext uri="{FF2B5EF4-FFF2-40B4-BE49-F238E27FC236}">
              <a16:creationId xmlns:a16="http://schemas.microsoft.com/office/drawing/2014/main" id="{CD4708B4-99D5-D211-F0EF-A4E8A8DD416E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6078" name="dash_kpibar">
          <a:extLst>
            <a:ext uri="{FF2B5EF4-FFF2-40B4-BE49-F238E27FC236}">
              <a16:creationId xmlns:a16="http://schemas.microsoft.com/office/drawing/2014/main" id="{8BD5205D-3535-9AE7-32AA-F60F57F15CD7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6079" name="dash_kpilabel">
          <a:extLst>
            <a:ext uri="{FF2B5EF4-FFF2-40B4-BE49-F238E27FC236}">
              <a16:creationId xmlns:a16="http://schemas.microsoft.com/office/drawing/2014/main" id="{9768AF77-68C0-4CC0-977A-EF94C9A635F9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5184" name="dash_kpivalue">
          <a:extLst>
            <a:ext uri="{FF2B5EF4-FFF2-40B4-BE49-F238E27FC236}">
              <a16:creationId xmlns:a16="http://schemas.microsoft.com/office/drawing/2014/main" id="{79702441-C250-1A1C-D82A-81539E727921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5185" name="dash_kpiunit">
          <a:extLst>
            <a:ext uri="{FF2B5EF4-FFF2-40B4-BE49-F238E27FC236}">
              <a16:creationId xmlns:a16="http://schemas.microsoft.com/office/drawing/2014/main" id="{58DE74AA-940D-7A74-3C00-C16E6156DE45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5186" name="dash_kpi">
          <a:extLst>
            <a:ext uri="{FF2B5EF4-FFF2-40B4-BE49-F238E27FC236}">
              <a16:creationId xmlns:a16="http://schemas.microsoft.com/office/drawing/2014/main" id="{254FB2E9-ECBD-D042-57DB-94E9E53DB607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5187" name="dash_kpibar">
          <a:extLst>
            <a:ext uri="{FF2B5EF4-FFF2-40B4-BE49-F238E27FC236}">
              <a16:creationId xmlns:a16="http://schemas.microsoft.com/office/drawing/2014/main" id="{5F3EF93C-B326-B45C-E3CB-CA7192C141BB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5188" name="dash_kpilabel">
          <a:extLst>
            <a:ext uri="{FF2B5EF4-FFF2-40B4-BE49-F238E27FC236}">
              <a16:creationId xmlns:a16="http://schemas.microsoft.com/office/drawing/2014/main" id="{2790966C-2046-A9EA-1A90-36144E7700C6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5189" name="dash_kpivalue">
          <a:extLst>
            <a:ext uri="{FF2B5EF4-FFF2-40B4-BE49-F238E27FC236}">
              <a16:creationId xmlns:a16="http://schemas.microsoft.com/office/drawing/2014/main" id="{FC4FC3AD-DEF3-73B7-1CB0-9079424F9C5C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6,09 €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5190" name="dash_kpiunit">
          <a:extLst>
            <a:ext uri="{FF2B5EF4-FFF2-40B4-BE49-F238E27FC236}">
              <a16:creationId xmlns:a16="http://schemas.microsoft.com/office/drawing/2014/main" id="{200932D8-04C4-9C4B-82CD-9F0710779BE3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5191" name="dash_kpi">
          <a:extLst>
            <a:ext uri="{FF2B5EF4-FFF2-40B4-BE49-F238E27FC236}">
              <a16:creationId xmlns:a16="http://schemas.microsoft.com/office/drawing/2014/main" id="{29FCD1AE-5EC0-8B1C-C317-513C4FEC0803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5192" name="dash_kpibar">
          <a:extLst>
            <a:ext uri="{FF2B5EF4-FFF2-40B4-BE49-F238E27FC236}">
              <a16:creationId xmlns:a16="http://schemas.microsoft.com/office/drawing/2014/main" id="{43CE863E-6CC3-097E-B420-5E7734B67DC0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165100</xdr:rowOff>
    </xdr:from>
    <xdr:to>
      <xdr:col>11</xdr:col>
      <xdr:colOff>363538</xdr:colOff>
      <xdr:row>16</xdr:row>
      <xdr:rowOff>142875</xdr:rowOff>
    </xdr:to>
    <xdr:sp macro="" textlink="">
      <xdr:nvSpPr>
        <xdr:cNvPr id="5193" name="dash_kpilabel">
          <a:extLst>
            <a:ext uri="{FF2B5EF4-FFF2-40B4-BE49-F238E27FC236}">
              <a16:creationId xmlns:a16="http://schemas.microsoft.com/office/drawing/2014/main" id="{230897A3-6836-9149-BF08-72401C82F220}"/>
            </a:ext>
          </a:extLst>
        </xdr:cNvPr>
        <xdr:cNvSpPr txBox="1"/>
      </xdr:nvSpPr>
      <xdr:spPr>
        <a:xfrm>
          <a:off x="7781925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ÉCONOMIES E85 vs SP98</a:t>
          </a:r>
        </a:p>
      </xdr:txBody>
    </xdr:sp>
    <xdr:clientData/>
  </xdr:twoCellAnchor>
  <xdr:twoCellAnchor>
    <xdr:from>
      <xdr:col>7</xdr:col>
      <xdr:colOff>434975</xdr:colOff>
      <xdr:row>16</xdr:row>
      <xdr:rowOff>168275</xdr:rowOff>
    </xdr:from>
    <xdr:to>
      <xdr:col>11</xdr:col>
      <xdr:colOff>350838</xdr:colOff>
      <xdr:row>18</xdr:row>
      <xdr:rowOff>149225</xdr:rowOff>
    </xdr:to>
    <xdr:sp macro="" textlink="">
      <xdr:nvSpPr>
        <xdr:cNvPr id="5194" name="dash_kpivalue">
          <a:extLst>
            <a:ext uri="{FF2B5EF4-FFF2-40B4-BE49-F238E27FC236}">
              <a16:creationId xmlns:a16="http://schemas.microsoft.com/office/drawing/2014/main" id="{F6657D1C-E714-ED9D-56AD-C74080B59A74}"/>
            </a:ext>
          </a:extLst>
        </xdr:cNvPr>
        <xdr:cNvSpPr txBox="1"/>
      </xdr:nvSpPr>
      <xdr:spPr>
        <a:xfrm>
          <a:off x="7769225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-101 €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363538</xdr:colOff>
      <xdr:row>19</xdr:row>
      <xdr:rowOff>127000</xdr:rowOff>
    </xdr:to>
    <xdr:sp macro="" textlink="">
      <xdr:nvSpPr>
        <xdr:cNvPr id="5195" name="dash_kpiunit">
          <a:extLst>
            <a:ext uri="{FF2B5EF4-FFF2-40B4-BE49-F238E27FC236}">
              <a16:creationId xmlns:a16="http://schemas.microsoft.com/office/drawing/2014/main" id="{F5C31611-C5AA-6F85-445D-1266330AFA9B}"/>
            </a:ext>
          </a:extLst>
        </xdr:cNvPr>
        <xdr:cNvSpPr txBox="1"/>
      </xdr:nvSpPr>
      <xdr:spPr>
        <a:xfrm>
          <a:off x="7781925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estimées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5196" name="dash_kpi">
          <a:extLst>
            <a:ext uri="{FF2B5EF4-FFF2-40B4-BE49-F238E27FC236}">
              <a16:creationId xmlns:a16="http://schemas.microsoft.com/office/drawing/2014/main" id="{9AE58BE4-2AA2-06F2-A312-43067B737B12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5197" name="dash_kpibar">
          <a:extLst>
            <a:ext uri="{FF2B5EF4-FFF2-40B4-BE49-F238E27FC236}">
              <a16:creationId xmlns:a16="http://schemas.microsoft.com/office/drawing/2014/main" id="{38779162-E3CA-75D8-A874-649E9555A104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5198" name="dash_kpilabel">
          <a:extLst>
            <a:ext uri="{FF2B5EF4-FFF2-40B4-BE49-F238E27FC236}">
              <a16:creationId xmlns:a16="http://schemas.microsoft.com/office/drawing/2014/main" id="{AE45D09C-1ED9-73DE-45F2-0956B0B042B7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5199" name="dash_kpivalue">
          <a:extLst>
            <a:ext uri="{FF2B5EF4-FFF2-40B4-BE49-F238E27FC236}">
              <a16:creationId xmlns:a16="http://schemas.microsoft.com/office/drawing/2014/main" id="{65FD7C15-127C-199D-EEB8-E8535457F3C3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-181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5200" name="dash_kpiunit">
          <a:extLst>
            <a:ext uri="{FF2B5EF4-FFF2-40B4-BE49-F238E27FC236}">
              <a16:creationId xmlns:a16="http://schemas.microsoft.com/office/drawing/2014/main" id="{0F9CCE18-C2D0-FCF1-BF0C-6F11C628132F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5201" name="dash_meta">
          <a:extLst>
            <a:ext uri="{FF2B5EF4-FFF2-40B4-BE49-F238E27FC236}">
              <a16:creationId xmlns:a16="http://schemas.microsoft.com/office/drawing/2014/main" id="{F28C193C-D133-9292-256A-EC121AEEEDCD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5202" name="dash_metatxt">
          <a:extLst>
            <a:ext uri="{FF2B5EF4-FFF2-40B4-BE49-F238E27FC236}">
              <a16:creationId xmlns:a16="http://schemas.microsoft.com/office/drawing/2014/main" id="{76950D26-4D8E-B0C6-20C2-1D7DC17E46A5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15      ·      Distance : 3 350 km      ·      Carburant : 215,4 L      ·      % pleins E85 : 81 %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5203" name="dash_meta">
          <a:extLst>
            <a:ext uri="{FF2B5EF4-FFF2-40B4-BE49-F238E27FC236}">
              <a16:creationId xmlns:a16="http://schemas.microsoft.com/office/drawing/2014/main" id="{1CDC14C4-235A-1C07-2691-65FF4B0F5809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5204" name="dash_metatxt">
          <a:extLst>
            <a:ext uri="{FF2B5EF4-FFF2-40B4-BE49-F238E27FC236}">
              <a16:creationId xmlns:a16="http://schemas.microsoft.com/office/drawing/2014/main" id="{8D449D58-1F5D-46F6-C0FD-5ABCA92770C7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204 €      ·      Prix moyen E85,GAZOLE,SP98 : 1,010 €/L      ·      Dernier plein : 16/06/2026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88900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34331"/>
              <a:ext cx="477202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292100</xdr:colOff>
      <xdr:row>6</xdr:row>
      <xdr:rowOff>50800</xdr:rowOff>
    </xdr:from>
    <xdr:to>
      <xdr:col>10</xdr:col>
      <xdr:colOff>44450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02225" y="1634331"/>
              <a:ext cx="475297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247650</xdr:colOff>
      <xdr:row>6</xdr:row>
      <xdr:rowOff>50800</xdr:rowOff>
    </xdr:from>
    <xdr:to>
      <xdr:col>15</xdr:col>
      <xdr:colOff>736600</xdr:colOff>
      <xdr:row>13</xdr:row>
      <xdr:rowOff>247650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lcPeri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1634331"/>
              <a:ext cx="4656138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838200</xdr:colOff>
      <xdr:row>3</xdr:row>
      <xdr:rowOff>254560</xdr:rowOff>
    </xdr:from>
    <xdr:to>
      <xdr:col>0</xdr:col>
      <xdr:colOff>1168400</xdr:colOff>
      <xdr:row>5</xdr:row>
      <xdr:rowOff>43143</xdr:rowOff>
    </xdr:to>
    <xdr:pic macro="RecreerDashboardComplet">
      <xdr:nvPicPr>
        <xdr:cNvPr id="10015" name="btnRecreerGraph" descr="Recreer les graphiques">
          <a:extLst>
            <a:ext uri="{FF2B5EF4-FFF2-40B4-BE49-F238E27FC236}">
              <a16:creationId xmlns:a16="http://schemas.microsoft.com/office/drawing/2014/main" id="{4F230703-DDEE-9C6E-2DD5-CFF7D47770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3</xdr:row>
      <xdr:rowOff>254560</xdr:rowOff>
    </xdr:from>
    <xdr:to>
      <xdr:col>0</xdr:col>
      <xdr:colOff>1803400</xdr:colOff>
      <xdr:row>5</xdr:row>
      <xdr:rowOff>43143</xdr:rowOff>
    </xdr:to>
    <xdr:pic macro="ExporterGraphiquesPDF">
      <xdr:nvPicPr>
        <xdr:cNvPr id="10017" name="btnExportGraph" descr="Exporter en PDF">
          <a:extLst>
            <a:ext uri="{FF2B5EF4-FFF2-40B4-BE49-F238E27FC236}">
              <a16:creationId xmlns:a16="http://schemas.microsoft.com/office/drawing/2014/main" id="{68DC3FA3-55DD-B483-82C6-CAC9F963B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105833</xdr:colOff>
      <xdr:row>32</xdr:row>
      <xdr:rowOff>41137</xdr:rowOff>
    </xdr:to>
    <xdr:pic>
      <xdr:nvPicPr>
        <xdr:cNvPr id="8" name="wallpaperZ900">
          <a:extLst>
            <a:ext uri="{FF2B5EF4-FFF2-40B4-BE49-F238E27FC236}">
              <a16:creationId xmlns:a16="http://schemas.microsoft.com/office/drawing/2014/main" id="{B6059888-7305-53F3-2762-ECC6F175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510000" cy="715221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10</xdr:col>
      <xdr:colOff>25400</xdr:colOff>
      <xdr:row>4</xdr:row>
      <xdr:rowOff>130175</xdr:rowOff>
    </xdr:to>
    <xdr:sp macro="OuvrirCarteNavigateur" textlink="">
      <xdr:nvSpPr>
        <xdr:cNvPr id="3" name="btnCarte1">
          <a:extLst>
            <a:ext uri="{FF2B5EF4-FFF2-40B4-BE49-F238E27FC236}">
              <a16:creationId xmlns:a16="http://schemas.microsoft.com/office/drawing/2014/main" id="{6D1B4836-3CD1-BCED-34B8-1E9C8190129E}"/>
            </a:ext>
          </a:extLst>
        </xdr:cNvPr>
        <xdr:cNvSpPr/>
      </xdr:nvSpPr>
      <xdr:spPr>
        <a:xfrm>
          <a:off x="7219950" y="6286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4</xdr:row>
      <xdr:rowOff>180975</xdr:rowOff>
    </xdr:from>
    <xdr:to>
      <xdr:col>10</xdr:col>
      <xdr:colOff>25400</xdr:colOff>
      <xdr:row>6</xdr:row>
      <xdr:rowOff>111125</xdr:rowOff>
    </xdr:to>
    <xdr:sp macro="RafraichirCarte" textlink="">
      <xdr:nvSpPr>
        <xdr:cNvPr id="4" name="btnCarte2">
          <a:extLst>
            <a:ext uri="{FF2B5EF4-FFF2-40B4-BE49-F238E27FC236}">
              <a16:creationId xmlns:a16="http://schemas.microsoft.com/office/drawing/2014/main" id="{31013957-5707-07D8-24B1-08E26D00FCAE}"/>
            </a:ext>
          </a:extLst>
        </xdr:cNvPr>
        <xdr:cNvSpPr/>
      </xdr:nvSpPr>
      <xdr:spPr>
        <a:xfrm>
          <a:off x="7219950" y="10096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6</xdr:row>
      <xdr:rowOff>161925</xdr:rowOff>
    </xdr:from>
    <xdr:to>
      <xdr:col>10</xdr:col>
      <xdr:colOff>25400</xdr:colOff>
      <xdr:row>8</xdr:row>
      <xdr:rowOff>92075</xdr:rowOff>
    </xdr:to>
    <xdr:sp macro="NavAccueil" textlink="">
      <xdr:nvSpPr>
        <xdr:cNvPr id="5" name="btnCarte3">
          <a:extLst>
            <a:ext uri="{FF2B5EF4-FFF2-40B4-BE49-F238E27FC236}">
              <a16:creationId xmlns:a16="http://schemas.microsoft.com/office/drawing/2014/main" id="{BDA486FB-0766-12BA-0543-7EAFE7FD1A93}"/>
            </a:ext>
          </a:extLst>
        </xdr:cNvPr>
        <xdr:cNvSpPr/>
      </xdr:nvSpPr>
      <xdr:spPr>
        <a:xfrm>
          <a:off x="7219950" y="13906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41413</xdr:rowOff>
    </xdr:from>
    <xdr:to>
      <xdr:col>47</xdr:col>
      <xdr:colOff>665091</xdr:colOff>
      <xdr:row>0</xdr:row>
      <xdr:rowOff>593587</xdr:rowOff>
    </xdr:to>
    <xdr:sp macro="" textlink="">
      <xdr:nvSpPr>
        <xdr:cNvPr id="13" name="sb_bg">
          <a:extLst>
            <a:ext uri="{FF2B5EF4-FFF2-40B4-BE49-F238E27FC236}">
              <a16:creationId xmlns:a16="http://schemas.microsoft.com/office/drawing/2014/main" id="{4B4DE7C1-C4E7-D875-4186-ACA9442BED77}"/>
            </a:ext>
          </a:extLst>
        </xdr:cNvPr>
        <xdr:cNvSpPr/>
      </xdr:nvSpPr>
      <xdr:spPr>
        <a:xfrm>
          <a:off x="0" y="41413"/>
          <a:ext cx="41413041" cy="552174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110435</xdr:colOff>
      <xdr:row>0</xdr:row>
      <xdr:rowOff>110435</xdr:rowOff>
    </xdr:from>
    <xdr:to>
      <xdr:col>1</xdr:col>
      <xdr:colOff>1120211</xdr:colOff>
      <xdr:row>0</xdr:row>
      <xdr:rowOff>524565</xdr:rowOff>
    </xdr:to>
    <xdr:sp macro="modSidebar.NavSidebar_0" textlink="">
      <xdr:nvSpPr>
        <xdr:cNvPr id="14" name="sb_nav_0">
          <a:extLst>
            <a:ext uri="{FF2B5EF4-FFF2-40B4-BE49-F238E27FC236}">
              <a16:creationId xmlns:a16="http://schemas.microsoft.com/office/drawing/2014/main" id="{6128388C-7EDD-CC2D-ED9B-14DCE6A3C00B}"/>
            </a:ext>
          </a:extLst>
        </xdr:cNvPr>
        <xdr:cNvSpPr/>
      </xdr:nvSpPr>
      <xdr:spPr>
        <a:xfrm>
          <a:off x="110435" y="110435"/>
          <a:ext cx="1209801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1175428</xdr:colOff>
      <xdr:row>0</xdr:row>
      <xdr:rowOff>110435</xdr:rowOff>
    </xdr:from>
    <xdr:to>
      <xdr:col>2</xdr:col>
      <xdr:colOff>228941</xdr:colOff>
      <xdr:row>0</xdr:row>
      <xdr:rowOff>524565</xdr:rowOff>
    </xdr:to>
    <xdr:sp macro="modSidebar.NavSidebar_1" textlink="">
      <xdr:nvSpPr>
        <xdr:cNvPr id="15" name="sb_nav_1">
          <a:extLst>
            <a:ext uri="{FF2B5EF4-FFF2-40B4-BE49-F238E27FC236}">
              <a16:creationId xmlns:a16="http://schemas.microsoft.com/office/drawing/2014/main" id="{C352A21B-FC26-7195-A59B-E9210D5FAF89}"/>
            </a:ext>
          </a:extLst>
        </xdr:cNvPr>
        <xdr:cNvSpPr/>
      </xdr:nvSpPr>
      <xdr:spPr>
        <a:xfrm>
          <a:off x="1375453" y="110435"/>
          <a:ext cx="1691938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284159</xdr:colOff>
      <xdr:row>0</xdr:row>
      <xdr:rowOff>110435</xdr:rowOff>
    </xdr:from>
    <xdr:to>
      <xdr:col>3</xdr:col>
      <xdr:colOff>274958</xdr:colOff>
      <xdr:row>0</xdr:row>
      <xdr:rowOff>524565</xdr:rowOff>
    </xdr:to>
    <xdr:sp macro="modSidebar.NavSidebar_2" textlink="">
      <xdr:nvSpPr>
        <xdr:cNvPr id="16" name="sb_nav_2">
          <a:extLst>
            <a:ext uri="{FF2B5EF4-FFF2-40B4-BE49-F238E27FC236}">
              <a16:creationId xmlns:a16="http://schemas.microsoft.com/office/drawing/2014/main" id="{40BA5CF2-ECDC-A399-C98B-BC1BE4AD1A3D}"/>
            </a:ext>
          </a:extLst>
        </xdr:cNvPr>
        <xdr:cNvSpPr/>
      </xdr:nvSpPr>
      <xdr:spPr>
        <a:xfrm>
          <a:off x="3122609" y="110435"/>
          <a:ext cx="1105224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330175</xdr:colOff>
      <xdr:row>0</xdr:row>
      <xdr:rowOff>110435</xdr:rowOff>
    </xdr:from>
    <xdr:to>
      <xdr:col>5</xdr:col>
      <xdr:colOff>506124</xdr:colOff>
      <xdr:row>0</xdr:row>
      <xdr:rowOff>524565</xdr:rowOff>
    </xdr:to>
    <xdr:sp macro="modSidebar.NavSidebar_3" textlink="">
      <xdr:nvSpPr>
        <xdr:cNvPr id="17" name="sb_nav_3">
          <a:extLst>
            <a:ext uri="{FF2B5EF4-FFF2-40B4-BE49-F238E27FC236}">
              <a16:creationId xmlns:a16="http://schemas.microsoft.com/office/drawing/2014/main" id="{6E66EF04-7509-EDA0-7314-E5D0D63DEF00}"/>
            </a:ext>
          </a:extLst>
        </xdr:cNvPr>
        <xdr:cNvSpPr/>
      </xdr:nvSpPr>
      <xdr:spPr>
        <a:xfrm>
          <a:off x="4283050" y="110435"/>
          <a:ext cx="1642799" cy="41413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561342</xdr:colOff>
      <xdr:row>0</xdr:row>
      <xdr:rowOff>110435</xdr:rowOff>
    </xdr:from>
    <xdr:to>
      <xdr:col>7</xdr:col>
      <xdr:colOff>283500</xdr:colOff>
      <xdr:row>0</xdr:row>
      <xdr:rowOff>524565</xdr:rowOff>
    </xdr:to>
    <xdr:sp macro="modSidebar.NavSidebar_4" textlink="">
      <xdr:nvSpPr>
        <xdr:cNvPr id="18" name="sb_nav_4">
          <a:extLst>
            <a:ext uri="{FF2B5EF4-FFF2-40B4-BE49-F238E27FC236}">
              <a16:creationId xmlns:a16="http://schemas.microsoft.com/office/drawing/2014/main" id="{53D8A8E7-2962-AC1B-B78D-5531F835DBDD}"/>
            </a:ext>
          </a:extLst>
        </xdr:cNvPr>
        <xdr:cNvSpPr/>
      </xdr:nvSpPr>
      <xdr:spPr>
        <a:xfrm>
          <a:off x="5981067" y="110435"/>
          <a:ext cx="1522383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338717</xdr:colOff>
      <xdr:row>0</xdr:row>
      <xdr:rowOff>110435</xdr:rowOff>
    </xdr:from>
    <xdr:to>
      <xdr:col>8</xdr:col>
      <xdr:colOff>733716</xdr:colOff>
      <xdr:row>0</xdr:row>
      <xdr:rowOff>524565</xdr:rowOff>
    </xdr:to>
    <xdr:sp macro="modSidebar.NavSidebar_5" textlink="">
      <xdr:nvSpPr>
        <xdr:cNvPr id="19" name="sb_nav_5">
          <a:extLst>
            <a:ext uri="{FF2B5EF4-FFF2-40B4-BE49-F238E27FC236}">
              <a16:creationId xmlns:a16="http://schemas.microsoft.com/office/drawing/2014/main" id="{F1527F4B-2D92-424F-74B5-9EF74C36CAD5}"/>
            </a:ext>
          </a:extLst>
        </xdr:cNvPr>
        <xdr:cNvSpPr/>
      </xdr:nvSpPr>
      <xdr:spPr>
        <a:xfrm>
          <a:off x="7558667" y="110435"/>
          <a:ext cx="12331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31230</xdr:rowOff>
    </xdr:from>
    <xdr:to>
      <xdr:col>35</xdr:col>
      <xdr:colOff>330408</xdr:colOff>
      <xdr:row>0</xdr:row>
      <xdr:rowOff>447623</xdr:rowOff>
    </xdr:to>
    <xdr:sp macro="" textlink="">
      <xdr:nvSpPr>
        <xdr:cNvPr id="26" name="sb_bg">
          <a:extLst>
            <a:ext uri="{FF2B5EF4-FFF2-40B4-BE49-F238E27FC236}">
              <a16:creationId xmlns:a16="http://schemas.microsoft.com/office/drawing/2014/main" id="{235C4A67-6BBF-F97A-0270-64433536B0E8}"/>
            </a:ext>
          </a:extLst>
        </xdr:cNvPr>
        <xdr:cNvSpPr/>
      </xdr:nvSpPr>
      <xdr:spPr>
        <a:xfrm>
          <a:off x="0" y="31230"/>
          <a:ext cx="31229508" cy="41639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83279</xdr:colOff>
      <xdr:row>0</xdr:row>
      <xdr:rowOff>83279</xdr:rowOff>
    </xdr:from>
    <xdr:to>
      <xdr:col>1</xdr:col>
      <xdr:colOff>941708</xdr:colOff>
      <xdr:row>0</xdr:row>
      <xdr:rowOff>395574</xdr:rowOff>
    </xdr:to>
    <xdr:sp macro="modSidebar.NavSidebar_0" textlink="">
      <xdr:nvSpPr>
        <xdr:cNvPr id="27" name="sb_nav_0">
          <a:extLst>
            <a:ext uri="{FF2B5EF4-FFF2-40B4-BE49-F238E27FC236}">
              <a16:creationId xmlns:a16="http://schemas.microsoft.com/office/drawing/2014/main" id="{1E35E498-6951-1FC3-D15A-E77F1BDF050B}"/>
            </a:ext>
          </a:extLst>
        </xdr:cNvPr>
        <xdr:cNvSpPr/>
      </xdr:nvSpPr>
      <xdr:spPr>
        <a:xfrm>
          <a:off x="83279" y="83279"/>
          <a:ext cx="10584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983347</xdr:colOff>
      <xdr:row>0</xdr:row>
      <xdr:rowOff>83279</xdr:rowOff>
    </xdr:from>
    <xdr:to>
      <xdr:col>1</xdr:col>
      <xdr:colOff>2524601</xdr:colOff>
      <xdr:row>0</xdr:row>
      <xdr:rowOff>395574</xdr:rowOff>
    </xdr:to>
    <xdr:sp macro="modSidebar.NavSidebar_1" textlink="">
      <xdr:nvSpPr>
        <xdr:cNvPr id="28" name="sb_nav_1">
          <a:extLst>
            <a:ext uri="{FF2B5EF4-FFF2-40B4-BE49-F238E27FC236}">
              <a16:creationId xmlns:a16="http://schemas.microsoft.com/office/drawing/2014/main" id="{8FC0A050-25C7-8963-ADC8-956A820AD180}"/>
            </a:ext>
          </a:extLst>
        </xdr:cNvPr>
        <xdr:cNvSpPr/>
      </xdr:nvSpPr>
      <xdr:spPr>
        <a:xfrm>
          <a:off x="1183372" y="83279"/>
          <a:ext cx="15412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2566240</xdr:colOff>
      <xdr:row>0</xdr:row>
      <xdr:rowOff>83279</xdr:rowOff>
    </xdr:from>
    <xdr:to>
      <xdr:col>3</xdr:col>
      <xdr:colOff>376867</xdr:colOff>
      <xdr:row>0</xdr:row>
      <xdr:rowOff>395574</xdr:rowOff>
    </xdr:to>
    <xdr:sp macro="modSidebar.NavSidebar_2" textlink="">
      <xdr:nvSpPr>
        <xdr:cNvPr id="29" name="sb_nav_2">
          <a:extLst>
            <a:ext uri="{FF2B5EF4-FFF2-40B4-BE49-F238E27FC236}">
              <a16:creationId xmlns:a16="http://schemas.microsoft.com/office/drawing/2014/main" id="{8A9B70FF-698B-A46A-2C44-B48340959414}"/>
            </a:ext>
          </a:extLst>
        </xdr:cNvPr>
        <xdr:cNvSpPr/>
      </xdr:nvSpPr>
      <xdr:spPr>
        <a:xfrm>
          <a:off x="2766265" y="83279"/>
          <a:ext cx="953877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418507</xdr:colOff>
      <xdr:row>0</xdr:row>
      <xdr:rowOff>83279</xdr:rowOff>
    </xdr:from>
    <xdr:to>
      <xdr:col>4</xdr:col>
      <xdr:colOff>338997</xdr:colOff>
      <xdr:row>0</xdr:row>
      <xdr:rowOff>395574</xdr:rowOff>
    </xdr:to>
    <xdr:sp macro="modSidebar.NavSidebar_3" textlink="">
      <xdr:nvSpPr>
        <xdr:cNvPr id="30" name="sb_nav_3">
          <a:extLst>
            <a:ext uri="{FF2B5EF4-FFF2-40B4-BE49-F238E27FC236}">
              <a16:creationId xmlns:a16="http://schemas.microsoft.com/office/drawing/2014/main" id="{E502D3D6-DC2C-B4EB-C4C5-23344699FF3B}"/>
            </a:ext>
          </a:extLst>
        </xdr:cNvPr>
        <xdr:cNvSpPr/>
      </xdr:nvSpPr>
      <xdr:spPr>
        <a:xfrm>
          <a:off x="3761782" y="83279"/>
          <a:ext cx="1492115" cy="312295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380636</xdr:colOff>
      <xdr:row>0</xdr:row>
      <xdr:rowOff>83279</xdr:rowOff>
    </xdr:from>
    <xdr:to>
      <xdr:col>6</xdr:col>
      <xdr:colOff>75935</xdr:colOff>
      <xdr:row>0</xdr:row>
      <xdr:rowOff>395574</xdr:rowOff>
    </xdr:to>
    <xdr:sp macro="modSidebar.NavSidebar_4" textlink="">
      <xdr:nvSpPr>
        <xdr:cNvPr id="31" name="sb_nav_4">
          <a:extLst>
            <a:ext uri="{FF2B5EF4-FFF2-40B4-BE49-F238E27FC236}">
              <a16:creationId xmlns:a16="http://schemas.microsoft.com/office/drawing/2014/main" id="{21F343B7-6E48-4A9D-5E1D-A3AAEA7ACFB5}"/>
            </a:ext>
          </a:extLst>
        </xdr:cNvPr>
        <xdr:cNvSpPr/>
      </xdr:nvSpPr>
      <xdr:spPr>
        <a:xfrm>
          <a:off x="5295536" y="83279"/>
          <a:ext cx="1371699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117575</xdr:colOff>
      <xdr:row>0</xdr:row>
      <xdr:rowOff>83279</xdr:rowOff>
    </xdr:from>
    <xdr:to>
      <xdr:col>7</xdr:col>
      <xdr:colOff>361227</xdr:colOff>
      <xdr:row>0</xdr:row>
      <xdr:rowOff>395574</xdr:rowOff>
    </xdr:to>
    <xdr:sp macro="modSidebar.NavSidebar_5" textlink="">
      <xdr:nvSpPr>
        <xdr:cNvPr id="32" name="sb_nav_5">
          <a:extLst>
            <a:ext uri="{FF2B5EF4-FFF2-40B4-BE49-F238E27FC236}">
              <a16:creationId xmlns:a16="http://schemas.microsoft.com/office/drawing/2014/main" id="{18BAFB50-AAC9-ADD6-1714-E4AD887CA05F}"/>
            </a:ext>
          </a:extLst>
        </xdr:cNvPr>
        <xdr:cNvSpPr/>
      </xdr:nvSpPr>
      <xdr:spPr>
        <a:xfrm>
          <a:off x="6708875" y="83279"/>
          <a:ext cx="1081852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52917</xdr:rowOff>
    </xdr:from>
    <xdr:to>
      <xdr:col>58</xdr:col>
      <xdr:colOff>729190</xdr:colOff>
      <xdr:row>0</xdr:row>
      <xdr:rowOff>758472</xdr:rowOff>
    </xdr:to>
    <xdr:sp macro="" textlink="">
      <xdr:nvSpPr>
        <xdr:cNvPr id="20" name="sb_bg">
          <a:extLst>
            <a:ext uri="{FF2B5EF4-FFF2-40B4-BE49-F238E27FC236}">
              <a16:creationId xmlns:a16="http://schemas.microsoft.com/office/drawing/2014/main" id="{FBD1BD4C-2B23-B8A6-3554-09B142263A2F}"/>
            </a:ext>
          </a:extLst>
        </xdr:cNvPr>
        <xdr:cNvSpPr/>
      </xdr:nvSpPr>
      <xdr:spPr>
        <a:xfrm>
          <a:off x="0" y="52917"/>
          <a:ext cx="52916665" cy="705555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141111</xdr:colOff>
      <xdr:row>0</xdr:row>
      <xdr:rowOff>141111</xdr:rowOff>
    </xdr:from>
    <xdr:to>
      <xdr:col>0</xdr:col>
      <xdr:colOff>1521878</xdr:colOff>
      <xdr:row>0</xdr:row>
      <xdr:rowOff>670278</xdr:rowOff>
    </xdr:to>
    <xdr:sp macro="modSidebar.NavSidebar_0" textlink="">
      <xdr:nvSpPr>
        <xdr:cNvPr id="21" name="sb_nav_0">
          <a:extLst>
            <a:ext uri="{FF2B5EF4-FFF2-40B4-BE49-F238E27FC236}">
              <a16:creationId xmlns:a16="http://schemas.microsoft.com/office/drawing/2014/main" id="{9CBFDF05-5838-8957-A74A-F41DAB9953B1}"/>
            </a:ext>
          </a:extLst>
        </xdr:cNvPr>
        <xdr:cNvSpPr/>
      </xdr:nvSpPr>
      <xdr:spPr>
        <a:xfrm>
          <a:off x="141111" y="141111"/>
          <a:ext cx="1380767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1592434</xdr:colOff>
      <xdr:row>0</xdr:row>
      <xdr:rowOff>141111</xdr:rowOff>
    </xdr:from>
    <xdr:to>
      <xdr:col>1</xdr:col>
      <xdr:colOff>1016190</xdr:colOff>
      <xdr:row>0</xdr:row>
      <xdr:rowOff>670278</xdr:rowOff>
    </xdr:to>
    <xdr:sp macro="modSidebar.NavSidebar_1" textlink="">
      <xdr:nvSpPr>
        <xdr:cNvPr id="22" name="sb_nav_1">
          <a:extLst>
            <a:ext uri="{FF2B5EF4-FFF2-40B4-BE49-F238E27FC236}">
              <a16:creationId xmlns:a16="http://schemas.microsoft.com/office/drawing/2014/main" id="{EBCC2050-15D4-9351-AC04-B36F72339B3D}"/>
            </a:ext>
          </a:extLst>
        </xdr:cNvPr>
        <xdr:cNvSpPr/>
      </xdr:nvSpPr>
      <xdr:spPr>
        <a:xfrm>
          <a:off x="1592434" y="141111"/>
          <a:ext cx="1862156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1086745</xdr:colOff>
      <xdr:row>0</xdr:row>
      <xdr:rowOff>141111</xdr:rowOff>
    </xdr:from>
    <xdr:to>
      <xdr:col>2</xdr:col>
      <xdr:colOff>962761</xdr:colOff>
      <xdr:row>0</xdr:row>
      <xdr:rowOff>670278</xdr:rowOff>
    </xdr:to>
    <xdr:sp macro="modSidebar.NavSidebar_2" textlink="">
      <xdr:nvSpPr>
        <xdr:cNvPr id="23" name="sb_nav_2">
          <a:extLst>
            <a:ext uri="{FF2B5EF4-FFF2-40B4-BE49-F238E27FC236}">
              <a16:creationId xmlns:a16="http://schemas.microsoft.com/office/drawing/2014/main" id="{B607E90B-DE60-22AE-4D7E-6DAC25C3019A}"/>
            </a:ext>
          </a:extLst>
        </xdr:cNvPr>
        <xdr:cNvSpPr/>
      </xdr:nvSpPr>
      <xdr:spPr>
        <a:xfrm>
          <a:off x="3525145" y="141111"/>
          <a:ext cx="127619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2</xdr:col>
      <xdr:colOff>1033316</xdr:colOff>
      <xdr:row>0</xdr:row>
      <xdr:rowOff>141111</xdr:rowOff>
    </xdr:from>
    <xdr:to>
      <xdr:col>4</xdr:col>
      <xdr:colOff>350784</xdr:colOff>
      <xdr:row>0</xdr:row>
      <xdr:rowOff>670278</xdr:rowOff>
    </xdr:to>
    <xdr:sp macro="modSidebar.NavSidebar_3" textlink="">
      <xdr:nvSpPr>
        <xdr:cNvPr id="24" name="sb_nav_3">
          <a:extLst>
            <a:ext uri="{FF2B5EF4-FFF2-40B4-BE49-F238E27FC236}">
              <a16:creationId xmlns:a16="http://schemas.microsoft.com/office/drawing/2014/main" id="{8818489A-1CA4-6226-E3A0-00C218869A18}"/>
            </a:ext>
          </a:extLst>
        </xdr:cNvPr>
        <xdr:cNvSpPr/>
      </xdr:nvSpPr>
      <xdr:spPr>
        <a:xfrm>
          <a:off x="4871891" y="141111"/>
          <a:ext cx="1813018" cy="529167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421340</xdr:colOff>
      <xdr:row>0</xdr:row>
      <xdr:rowOff>141111</xdr:rowOff>
    </xdr:from>
    <xdr:to>
      <xdr:col>6</xdr:col>
      <xdr:colOff>361341</xdr:colOff>
      <xdr:row>0</xdr:row>
      <xdr:rowOff>670278</xdr:rowOff>
    </xdr:to>
    <xdr:sp macro="modSidebar.NavSidebar_4" textlink="">
      <xdr:nvSpPr>
        <xdr:cNvPr id="25" name="sb_nav_4">
          <a:extLst>
            <a:ext uri="{FF2B5EF4-FFF2-40B4-BE49-F238E27FC236}">
              <a16:creationId xmlns:a16="http://schemas.microsoft.com/office/drawing/2014/main" id="{0EAD6FD8-040D-D103-AA51-E8840A4A1F4E}"/>
            </a:ext>
          </a:extLst>
        </xdr:cNvPr>
        <xdr:cNvSpPr/>
      </xdr:nvSpPr>
      <xdr:spPr>
        <a:xfrm>
          <a:off x="6755465" y="141111"/>
          <a:ext cx="169260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431897</xdr:colOff>
      <xdr:row>0</xdr:row>
      <xdr:rowOff>141111</xdr:rowOff>
    </xdr:from>
    <xdr:to>
      <xdr:col>7</xdr:col>
      <xdr:colOff>855209</xdr:colOff>
      <xdr:row>0</xdr:row>
      <xdr:rowOff>670278</xdr:rowOff>
    </xdr:to>
    <xdr:sp macro="modSidebar.NavSidebar_5" textlink="">
      <xdr:nvSpPr>
        <xdr:cNvPr id="26" name="sb_nav_5">
          <a:extLst>
            <a:ext uri="{FF2B5EF4-FFF2-40B4-BE49-F238E27FC236}">
              <a16:creationId xmlns:a16="http://schemas.microsoft.com/office/drawing/2014/main" id="{17912280-B0B0-8C80-0345-4CA63356D81F}"/>
            </a:ext>
          </a:extLst>
        </xdr:cNvPr>
        <xdr:cNvSpPr/>
      </xdr:nvSpPr>
      <xdr:spPr>
        <a:xfrm>
          <a:off x="8518622" y="141111"/>
          <a:ext cx="1394862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24581</xdr:rowOff>
    </xdr:from>
    <xdr:to>
      <xdr:col>29</xdr:col>
      <xdr:colOff>425245</xdr:colOff>
      <xdr:row>0</xdr:row>
      <xdr:rowOff>352323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C2E82BFB-08C4-5049-8028-FF340FD490CB}"/>
            </a:ext>
          </a:extLst>
        </xdr:cNvPr>
        <xdr:cNvSpPr/>
      </xdr:nvSpPr>
      <xdr:spPr>
        <a:xfrm>
          <a:off x="0" y="24581"/>
          <a:ext cx="24580645" cy="32774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65548</xdr:colOff>
      <xdr:row>0</xdr:row>
      <xdr:rowOff>65548</xdr:rowOff>
    </xdr:from>
    <xdr:to>
      <xdr:col>0</xdr:col>
      <xdr:colOff>1025186</xdr:colOff>
      <xdr:row>0</xdr:row>
      <xdr:rowOff>311354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EFA0B8E9-3FBA-343F-45AF-DD60D10B6F29}"/>
            </a:ext>
          </a:extLst>
        </xdr:cNvPr>
        <xdr:cNvSpPr/>
      </xdr:nvSpPr>
      <xdr:spPr>
        <a:xfrm>
          <a:off x="65548" y="65548"/>
          <a:ext cx="959638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1057961</xdr:colOff>
      <xdr:row>0</xdr:row>
      <xdr:rowOff>65548</xdr:rowOff>
    </xdr:from>
    <xdr:to>
      <xdr:col>1</xdr:col>
      <xdr:colOff>14807</xdr:colOff>
      <xdr:row>0</xdr:row>
      <xdr:rowOff>311354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948EA3B0-552B-8A8C-944B-9D78019E849E}"/>
            </a:ext>
          </a:extLst>
        </xdr:cNvPr>
        <xdr:cNvSpPr/>
      </xdr:nvSpPr>
      <xdr:spPr>
        <a:xfrm>
          <a:off x="1057961" y="65548"/>
          <a:ext cx="1442871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47581</xdr:colOff>
      <xdr:row>0</xdr:row>
      <xdr:rowOff>65548</xdr:rowOff>
    </xdr:from>
    <xdr:to>
      <xdr:col>1</xdr:col>
      <xdr:colOff>902643</xdr:colOff>
      <xdr:row>0</xdr:row>
      <xdr:rowOff>311354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A563ADA9-A0E2-487D-E3ED-ADFF5806B594}"/>
            </a:ext>
          </a:extLst>
        </xdr:cNvPr>
        <xdr:cNvSpPr/>
      </xdr:nvSpPr>
      <xdr:spPr>
        <a:xfrm>
          <a:off x="2533606" y="65548"/>
          <a:ext cx="855062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1</xdr:col>
      <xdr:colOff>935417</xdr:colOff>
      <xdr:row>0</xdr:row>
      <xdr:rowOff>65548</xdr:rowOff>
    </xdr:from>
    <xdr:to>
      <xdr:col>3</xdr:col>
      <xdr:colOff>252700</xdr:colOff>
      <xdr:row>0</xdr:row>
      <xdr:rowOff>311354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703CF1CE-29AA-87D5-7896-4BC7B019620E}"/>
            </a:ext>
          </a:extLst>
        </xdr:cNvPr>
        <xdr:cNvSpPr/>
      </xdr:nvSpPr>
      <xdr:spPr>
        <a:xfrm>
          <a:off x="3421442" y="65548"/>
          <a:ext cx="1393733" cy="24580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3</xdr:col>
      <xdr:colOff>285474</xdr:colOff>
      <xdr:row>0</xdr:row>
      <xdr:rowOff>65548</xdr:rowOff>
    </xdr:from>
    <xdr:to>
      <xdr:col>4</xdr:col>
      <xdr:colOff>520565</xdr:colOff>
      <xdr:row>0</xdr:row>
      <xdr:rowOff>311354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74652EAC-9097-4AEA-C266-37D8CC670F1C}"/>
            </a:ext>
          </a:extLst>
        </xdr:cNvPr>
        <xdr:cNvSpPr/>
      </xdr:nvSpPr>
      <xdr:spPr>
        <a:xfrm>
          <a:off x="4847949" y="65548"/>
          <a:ext cx="127331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4</xdr:col>
      <xdr:colOff>553339</xdr:colOff>
      <xdr:row>0</xdr:row>
      <xdr:rowOff>65548</xdr:rowOff>
    </xdr:from>
    <xdr:to>
      <xdr:col>5</xdr:col>
      <xdr:colOff>498150</xdr:colOff>
      <xdr:row>0</xdr:row>
      <xdr:rowOff>311354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3DD0D045-0409-F26C-F0CD-ACF2D65D105B}"/>
            </a:ext>
          </a:extLst>
        </xdr:cNvPr>
        <xdr:cNvSpPr/>
      </xdr:nvSpPr>
      <xdr:spPr>
        <a:xfrm>
          <a:off x="6154039" y="65548"/>
          <a:ext cx="98303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30976</xdr:rowOff>
    </xdr:from>
    <xdr:to>
      <xdr:col>34</xdr:col>
      <xdr:colOff>247960</xdr:colOff>
      <xdr:row>1</xdr:row>
      <xdr:rowOff>72509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C11860F9-9647-C98A-8DA9-67EEB8B011BD}"/>
            </a:ext>
          </a:extLst>
        </xdr:cNvPr>
        <xdr:cNvSpPr/>
      </xdr:nvSpPr>
      <xdr:spPr>
        <a:xfrm>
          <a:off x="0" y="30976"/>
          <a:ext cx="30975610" cy="41300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82602</xdr:colOff>
      <xdr:row>0</xdr:row>
      <xdr:rowOff>82602</xdr:rowOff>
    </xdr:from>
    <xdr:to>
      <xdr:col>1</xdr:col>
      <xdr:colOff>937258</xdr:colOff>
      <xdr:row>1</xdr:row>
      <xdr:rowOff>20883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61747CC8-764A-3844-86F4-D229D0683CC3}"/>
            </a:ext>
          </a:extLst>
        </xdr:cNvPr>
        <xdr:cNvSpPr/>
      </xdr:nvSpPr>
      <xdr:spPr>
        <a:xfrm>
          <a:off x="82602" y="82602"/>
          <a:ext cx="1054681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2</xdr:col>
      <xdr:colOff>16533</xdr:colOff>
      <xdr:row>0</xdr:row>
      <xdr:rowOff>82602</xdr:rowOff>
    </xdr:from>
    <xdr:to>
      <xdr:col>3</xdr:col>
      <xdr:colOff>287206</xdr:colOff>
      <xdr:row>1</xdr:row>
      <xdr:rowOff>20883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F53F798F-4213-7180-0843-2376AA67E083}"/>
            </a:ext>
          </a:extLst>
        </xdr:cNvPr>
        <xdr:cNvSpPr/>
      </xdr:nvSpPr>
      <xdr:spPr>
        <a:xfrm>
          <a:off x="1178583" y="82602"/>
          <a:ext cx="1537498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328507</xdr:colOff>
      <xdr:row>0</xdr:row>
      <xdr:rowOff>82602</xdr:rowOff>
    </xdr:from>
    <xdr:to>
      <xdr:col>4</xdr:col>
      <xdr:colOff>468987</xdr:colOff>
      <xdr:row>1</xdr:row>
      <xdr:rowOff>20883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7A5FA6CE-AC67-9CA3-AC7A-E037600222FB}"/>
            </a:ext>
          </a:extLst>
        </xdr:cNvPr>
        <xdr:cNvSpPr/>
      </xdr:nvSpPr>
      <xdr:spPr>
        <a:xfrm>
          <a:off x="2757382" y="82602"/>
          <a:ext cx="950105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510288</xdr:colOff>
      <xdr:row>0</xdr:row>
      <xdr:rowOff>82602</xdr:rowOff>
    </xdr:from>
    <xdr:to>
      <xdr:col>6</xdr:col>
      <xdr:colOff>379397</xdr:colOff>
      <xdr:row>1</xdr:row>
      <xdr:rowOff>20883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23143E4B-1CBA-7D32-870B-F145B58B91EC}"/>
            </a:ext>
          </a:extLst>
        </xdr:cNvPr>
        <xdr:cNvSpPr/>
      </xdr:nvSpPr>
      <xdr:spPr>
        <a:xfrm>
          <a:off x="3748788" y="82602"/>
          <a:ext cx="1488359" cy="30975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420698</xdr:colOff>
      <xdr:row>0</xdr:row>
      <xdr:rowOff>82602</xdr:rowOff>
    </xdr:from>
    <xdr:to>
      <xdr:col>7</xdr:col>
      <xdr:colOff>902816</xdr:colOff>
      <xdr:row>1</xdr:row>
      <xdr:rowOff>20883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D3577C50-D21D-6695-F5CE-6F7CB397A50B}"/>
            </a:ext>
          </a:extLst>
        </xdr:cNvPr>
        <xdr:cNvSpPr/>
      </xdr:nvSpPr>
      <xdr:spPr>
        <a:xfrm>
          <a:off x="5278448" y="82602"/>
          <a:ext cx="1367943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944117</xdr:colOff>
      <xdr:row>0</xdr:row>
      <xdr:rowOff>82602</xdr:rowOff>
    </xdr:from>
    <xdr:to>
      <xdr:col>7</xdr:col>
      <xdr:colOff>2022196</xdr:colOff>
      <xdr:row>1</xdr:row>
      <xdr:rowOff>20883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0397FCDD-12D7-6AB9-7018-EA05D903D0CA}"/>
            </a:ext>
          </a:extLst>
        </xdr:cNvPr>
        <xdr:cNvSpPr/>
      </xdr:nvSpPr>
      <xdr:spPr>
        <a:xfrm>
          <a:off x="6687692" y="82602"/>
          <a:ext cx="107807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243114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90.986533912037" createdVersion="3" refreshedVersion="8" minRefreshableVersion="3" recordCount="20" xr:uid="{483A0C23-2ED3-4A94-A584-30372F73BDA2}">
  <cacheSource type="worksheet">
    <worksheetSource name="tFilterSrc"/>
  </cacheSource>
  <cacheFields count="3">
    <cacheField name="Date" numFmtId="182">
      <sharedItems containsSemiMixedTypes="0" containsNonDate="0" containsDate="1" containsString="0" minDate="2026-04-19T00:00:00" maxDate="2026-06-16T02:00:00" count="16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2:00:00"/>
        <d v="2026-06-12T02:00:00"/>
        <d v="2026-06-16T02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15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12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x="4"/>
        <item h="1" x="5"/>
        <item h="1" x="2"/>
        <item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156" name="Date">
      <autoFilter ref="A1">
        <filterColumn colId="0">
          <customFilters and="1">
            <customFilter operator="greaterThanOrEqual" val="46131"/>
            <customFilter operator="lessThanOrEqual" val="4618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0">
    <queryTableFields count="16">
      <queryTableField id="5" name="Horodatage" tableColumnId="1"/>
      <queryTableField id="2" name="Date" tableColumnId="2"/>
      <queryTableField id="3" name="Type" tableColumnId="3"/>
      <queryTableField id="6" name="Km" tableColumnId="4"/>
      <queryTableField id="7" name="Litres" tableColumnId="5"/>
      <queryTableField id="8" name="PrixL" tableColumnId="6"/>
      <queryTableField id="9" name="Station essence" tableColumnId="7"/>
      <queryTableField id="10" name="Vehicule" tableColumnId="8"/>
      <queryTableField id="11" name="E85 station" tableColumnId="9"/>
      <queryTableField id="12" name="SP98 station" tableColumnId="10"/>
      <queryTableField id="13" name="SP95 station" tableColumnId="11"/>
      <queryTableField id="14" name="E10 station" tableColumnId="12"/>
      <queryTableField id="15" name="Gazole station" tableColumnId="13"/>
      <queryTableField id="16" name="GPLc station" tableColumnId="14"/>
      <queryTableField id="17" name="sync_id" tableColumnId="15"/>
      <queryTableField id="18" name="Photo ticket" tableColumnId="1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 s="1"/>
        <i x="5"/>
        <i x="2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9689CB6-5E3B-43DC-AB8B-7F98BA2F4A24}" name="DonneesExternes_1" displayName="DonneesExternes_1" ref="A1:Y18" totalsRowShown="0">
  <autoFilter ref="A1:Y18" xr:uid="{F9689CB6-5E3B-43DC-AB8B-7F98BA2F4A24}"/>
  <tableColumns count="25">
    <tableColumn id="1" xr3:uid="{6FC0E399-4D78-457C-B221-C1A8EDA91AA3}" name="Horodatage" dataDxfId="2"/>
    <tableColumn id="2" xr3:uid="{0CCFE63E-1763-4D12-8D57-74DC1932AD2E}" name="Date" dataDxfId="1"/>
    <tableColumn id="3" xr3:uid="{25E8F3C1-9D4A-47DB-81E8-CD23CA5D8F31}" name="Type"/>
    <tableColumn id="4" xr3:uid="{F94EC86D-4FCD-4AC6-9722-664F8504507A}" name="Km compteur"/>
    <tableColumn id="5" xr3:uid="{A1BAB9A0-9EF3-483B-8D91-BD100B4A0A43}" name="Nb. Litres"/>
    <tableColumn id="6" xr3:uid="{4B986BF2-3921-4643-87C2-3A659073D732}" name="Prix €/L"/>
    <tableColumn id="7" xr3:uid="{C817FBA9-69D7-4487-B74C-07A87B113BAE}" name="Station essence"/>
    <tableColumn id="8" xr3:uid="{0FA8AD5C-FCC8-4FE6-94A2-49631085A3DF}" name="Véhicule"/>
    <tableColumn id="9" xr3:uid="{10342442-6EDE-4F97-BE79-889FDB1464EA}" name="E85 station (€/L)"/>
    <tableColumn id="10" xr3:uid="{E107C7C9-6C43-4141-9BAC-C083194CE389}" name="SP98 station (€/L)"/>
    <tableColumn id="11" xr3:uid="{357F85B4-982C-4468-A778-39F135107B6E}" name="SP95 station (€/L)"/>
    <tableColumn id="12" xr3:uid="{1D465BC9-5AC1-415F-A656-9630B35CC6EE}" name="E10 station (€/L)"/>
    <tableColumn id="13" xr3:uid="{8054D547-7A66-45B9-B78F-5E0107F82A33}" name="Gazole station (€/L)"/>
    <tableColumn id="14" xr3:uid="{F4F054E5-298E-48CC-8DB8-BE3B2D8DEDD4}" name="GPLc station (€/L)"/>
    <tableColumn id="15" xr3:uid="{FB929163-7DE2-4B7B-881B-465477E999D8}" name="sync_id"/>
    <tableColumn id="16" xr3:uid="{F03AC7DA-24A4-4937-AF1C-E85618864B0D}" name="Photo ticket"/>
    <tableColumn id="17" xr3:uid="{B6EDE684-4136-40BE-BD34-9186D2989335}" name="Modifié_le" dataDxfId="0"/>
    <tableColumn id="18" xr3:uid="{A1D11C4C-C56D-430F-8F77-73A79509180B}" name="Supprimé"/>
    <tableColumn id="19" xr3:uid="{1991925B-51DD-4BA7-9E60-6DF4DAAD2028}" name="Email"/>
    <tableColumn id="20" xr3:uid="{62A98EAA-8793-4505-AC6A-A55C4DB4C78E}" name="Colonne1"/>
    <tableColumn id="21" xr3:uid="{A77DE2A1-913D-4368-B595-5492EA40B396}" name="Colonne2"/>
    <tableColumn id="22" xr3:uid="{5645D9FD-764D-4EE4-9AF3-7F385B5758FF}" name="Colonne3"/>
    <tableColumn id="23" xr3:uid="{997478AF-5DA4-4640-A6B0-1DE342222587}" name="Colonne4"/>
    <tableColumn id="24" xr3:uid="{A718BB29-26C9-4E34-8730-6E95AE0E82D0}" name="Colonne5"/>
    <tableColumn id="25" xr3:uid="{05EC7503-2865-4EB2-8F2B-34615CCC2BC6}" name="Colonne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O32" totalsRowShown="0" headerRowDxfId="92" dataDxfId="90" headerRowBorderDxfId="91" tableBorderDxfId="89" totalsRowBorderDxfId="88">
  <autoFilter ref="A16:O32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87">
      <calculatedColumnFormula>IF(B17="","",A16+1)</calculatedColumnFormula>
    </tableColumn>
    <tableColumn id="2" xr3:uid="{D9E9EBFF-BC9D-4E59-9822-91D7DEC1E7CE}" name="Date" dataDxfId="86">
      <calculatedColumnFormula>IFERROR(INDEX(GS_Pleins[Date],ROW()-ROW(Tableau2[#Headers])),"")</calculatedColumnFormula>
    </tableColumn>
    <tableColumn id="11" xr3:uid="{A77486BA-32D8-4661-BA23-1144AE2FD0EC}" name="Type" dataDxfId="85">
      <calculatedColumnFormula>IFERROR(INDEX(GS_Pleins[Type],ROW()-ROW(Tableau2[#Headers])),"")</calculatedColumnFormula>
    </tableColumn>
    <tableColumn id="3" xr3:uid="{6C87F133-7224-4AAB-ACB2-666E8B7315B5}" name="Km compteur" dataDxfId="84">
      <calculatedColumnFormula>IFERROR(INDEX(GS_Pleins[Km],ROW()-ROW(Tableau2[#Headers])),"")</calculatedColumnFormula>
    </tableColumn>
    <tableColumn id="15" xr3:uid="{E9E70181-907F-4D1A-BD9D-156B992A2880}" name="Nb. km" dataDxfId="83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82">
      <calculatedColumnFormula>IFERROR(INDEX(GS_Pleins[Litres],ROW()-ROW(Tableau2[#Headers])),"")</calculatedColumnFormula>
    </tableColumn>
    <tableColumn id="5" xr3:uid="{A61BA34E-E60B-4F70-A1D9-62090C37C449}" name="Prix €/L" dataDxfId="81">
      <calculatedColumnFormula>IFERROR(INDEX(GS_Pleins[PrixL],ROW()-ROW(Tableau2[#Headers])),"")</calculatedColumnFormula>
    </tableColumn>
    <tableColumn id="13" xr3:uid="{C796B9E8-7AC6-4345-B44F-194876D2515D}" name="Coût c€/km" dataDxfId="80">
      <calculatedColumnFormula>IF(OR(D17="",D16="",I17="",ISTEXT(D16)),"",F17/(D17-D16)*100)</calculatedColumnFormula>
    </tableColumn>
    <tableColumn id="6" xr3:uid="{7A10B093-08A0-4955-A678-47B342940366}" name="Coût Plein (€)" dataDxfId="79">
      <calculatedColumnFormula>IF(F17="","",F17*G17)</calculatedColumnFormula>
    </tableColumn>
    <tableColumn id="7" xr3:uid="{0D4F331E-E5DE-4D78-8EE4-6B964BF0DB88}" name="Conso. (L/100km)" dataDxfId="78">
      <calculatedColumnFormula>IF(OR(D17="",D16="",F17="",ISTEXT(D16)),"",F17/(D17-D16)*100)</calculatedColumnFormula>
    </tableColumn>
    <tableColumn id="8" xr3:uid="{8C4BCB7E-42BC-494E-A304-19A9848326C2}" name="Prix S98 jour (€/L)" dataDxfId="7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76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75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4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73">
      <calculatedColumnFormula>IFERROR(INDEX(GS_Pleins[Station essence],ROW()-ROW(Tableau2[#Headers])),"")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72" dataDxfId="71" tableBorderDxfId="70">
  <autoFilter ref="A2:H49" xr:uid="{4B13ACF1-9E76-44A1-84A1-C8C70C93A119}"/>
  <tableColumns count="8">
    <tableColumn id="1" xr3:uid="{01C4795D-7F90-4187-8F7D-4B955E58B561}" name="Station" dataDxfId="69"/>
    <tableColumn id="2" xr3:uid="{B0BD8755-4307-4CA1-9209-9FF7823D1B69}" name="E85 (€/L)" dataDxfId="68"/>
    <tableColumn id="3" xr3:uid="{41FBD604-14D9-46E1-AE49-B7EBA62DE3A2}" name="SP98 (€/L)" dataDxfId="67"/>
    <tableColumn id="4" xr3:uid="{E9C56BA9-AB0C-4FD1-BA9C-4655A5772FA0}" name="GAZOLE (€/L)" dataDxfId="66"/>
    <tableColumn id="5" xr3:uid="{B7189111-AB02-4BEA-8CEC-C3F9E208917B}" name="SP95 (€/L)" dataDxfId="65"/>
    <tableColumn id="6" xr3:uid="{37E68807-3130-4FB5-BE72-10A7A7EC206B}" name="E10 (€/L)" dataDxfId="64"/>
    <tableColumn id="7" xr3:uid="{298BB6B8-B031-47E3-8FC3-0A45C44C2666}" name="GPLc (€/L)" dataDxfId="63"/>
    <tableColumn id="8" xr3:uid="{A6E6DABF-63F6-45B4-BBD7-BAE100BD7B00}" name="Maj le" dataDxfId="6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61" dataDxfId="60">
  <autoFilter ref="B13:J28" xr:uid="{B6CCC06A-CFFA-41AD-A844-E44909F6670F}"/>
  <tableColumns count="9">
    <tableColumn id="1" xr3:uid="{E73DD7FF-D3BB-417F-B9D9-FB48D9853791}" name="Date" dataDxfId="59"/>
    <tableColumn id="2" xr3:uid="{D3750856-3372-4B00-933B-F913A61DC18C}" name="Type" dataDxfId="58"/>
    <tableColumn id="3" xr3:uid="{982322EB-51FB-452C-88E3-A18767F52451}" name="Km" dataDxfId="57"/>
    <tableColumn id="4" xr3:uid="{DDEF5F29-1043-45C6-9A53-6B9E102F0773}" name="Litres" dataDxfId="56"/>
    <tableColumn id="5" xr3:uid="{492C498F-2EBC-455C-A0FD-959DB8A9BC68}" name="Prix EUR/L" dataDxfId="55"/>
    <tableColumn id="6" xr3:uid="{392168E0-E71C-4E5F-9181-6CC1AFA48618}" name="Cout EUR" dataDxfId="54"/>
    <tableColumn id="7" xr3:uid="{B2A4E2DB-8967-4A61-A6B0-19752E0E8D1E}" name="Station" dataDxfId="53"/>
    <tableColumn id="8" xr3:uid="{78F6EBBB-5108-4D09-B9A4-2F81DA51BF4A}" name="Vehicule" dataDxfId="52"/>
    <tableColumn id="9" xr3:uid="{94C5F5FB-3981-43C2-A6EB-EEE4FA28AC88}" name="Ticket" dataDxfId="5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18" tableType="queryTable" totalsRowShown="0" headerRowDxfId="48" dataDxfId="47">
  <autoFilter ref="A2:Q18" xr:uid="{74CBBEF5-DAC6-4FFF-B9BF-F912C02B05A8}"/>
  <sortState xmlns:xlrd2="http://schemas.microsoft.com/office/spreadsheetml/2017/richdata2" ref="A3:Q15">
    <sortCondition ref="B2:B13"/>
  </sortState>
  <tableColumns count="17">
    <tableColumn id="1" xr3:uid="{D1245828-BB9F-457F-9D89-03E146E97A20}" uniqueName="1" name="Horodatage" queryTableFieldId="1" dataDxfId="15"/>
    <tableColumn id="2" xr3:uid="{6AFDA1AD-8B7E-4056-B820-4B105507BC22}" uniqueName="2" name="Date" queryTableFieldId="2" dataDxfId="13"/>
    <tableColumn id="3" xr3:uid="{0E3159AD-DEC3-4CB0-8263-673EE4364DE4}" uniqueName="3" name="Type" queryTableFieldId="3" dataDxfId="14"/>
    <tableColumn id="4" xr3:uid="{9CA1100B-4402-4A99-881C-A70EA8E0EBA0}" uniqueName="4" name="Km" queryTableFieldId="4" dataDxfId="46"/>
    <tableColumn id="5" xr3:uid="{3DC79D37-A57D-45A6-B68B-28F91AE90D1B}" uniqueName="5" name="Litres" queryTableFieldId="5" dataDxfId="45"/>
    <tableColumn id="6" xr3:uid="{E20F9B47-933F-4695-AC5B-7BFCB43AA70B}" uniqueName="6" name="PrixL" queryTableFieldId="6" dataDxfId="44"/>
    <tableColumn id="8" xr3:uid="{1810D7F1-75C0-4692-B633-9344880F4391}" uniqueName="8" name="Station essence" queryTableFieldId="8" dataDxfId="43"/>
    <tableColumn id="9" xr3:uid="{B958E2B1-5DEB-4CEF-B30E-3537BD55A8E8}" uniqueName="9" name="Vehicule" queryTableFieldId="9" dataDxfId="42"/>
    <tableColumn id="10" xr3:uid="{7955E5A1-C834-43AD-B7C1-739EA1C9FB0B}" uniqueName="10" name="E85 station" queryTableFieldId="10" dataDxfId="41"/>
    <tableColumn id="11" xr3:uid="{168A26EB-A626-4924-B067-7D0EE30B248F}" uniqueName="11" name="SP98 station" queryTableFieldId="11" dataDxfId="40"/>
    <tableColumn id="12" xr3:uid="{18AADF40-972E-454B-9FD3-FD2D10CCF4B9}" uniqueName="12" name="SP95 station" queryTableFieldId="12" dataDxfId="39"/>
    <tableColumn id="13" xr3:uid="{A1195D38-1809-462B-9D20-AE18F43CBC4B}" uniqueName="13" name="E10 station" queryTableFieldId="13" dataDxfId="38"/>
    <tableColumn id="14" xr3:uid="{9F059A0B-5171-4FB9-8BF4-0CBD57021E52}" uniqueName="14" name="Gazole station" queryTableFieldId="14" dataDxfId="37"/>
    <tableColumn id="15" xr3:uid="{BE30AC6F-80E2-4B6C-B72A-506C9FC60853}" uniqueName="15" name="GPLc station" queryTableFieldId="15" dataDxfId="36"/>
    <tableColumn id="17" xr3:uid="{0EA69162-CC6C-4F87-9EDF-5B650CD8B3F0}" uniqueName="17" name="sync_id" queryTableFieldId="19" dataDxfId="35"/>
    <tableColumn id="18" xr3:uid="{EAE1A852-D627-49A1-8934-4DE35E1D3155}" uniqueName="18" name="Photo ticket" queryTableFieldId="20" dataDxfId="12"/>
    <tableColumn id="7" xr3:uid="{217649AA-00FB-44C2-B916-78329111BFA4}" uniqueName="7" name="Modifie_local" queryTableFieldId="18" dataDxfId="1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P18" tableType="queryTable" totalsRowShown="0" headerRowDxfId="34" dataDxfId="33">
  <autoFilter ref="A1:P18" xr:uid="{00BC5E8E-378F-44E5-B9FC-C0A84493100F}"/>
  <sortState xmlns:xlrd2="http://schemas.microsoft.com/office/spreadsheetml/2017/richdata2" ref="A2:P18">
    <sortCondition descending="1" ref="B1:B18"/>
  </sortState>
  <tableColumns count="16">
    <tableColumn id="1" xr3:uid="{F88A2880-86A2-4D11-BFB2-AAE7D9183156}" uniqueName="1" name="Horodatage" queryTableFieldId="5" dataDxfId="10"/>
    <tableColumn id="2" xr3:uid="{4EE10007-1267-4A06-8F49-77A82A6C315A}" uniqueName="2" name="Date" queryTableFieldId="2" dataDxfId="9"/>
    <tableColumn id="3" xr3:uid="{3AF16A2E-A73D-4324-8B1A-A3D41E865182}" uniqueName="3" name="Type" queryTableFieldId="3" dataDxfId="8"/>
    <tableColumn id="4" xr3:uid="{34B1169F-20AD-4049-8CF8-66BCCF0FF80F}" uniqueName="4" name="Km" queryTableFieldId="6"/>
    <tableColumn id="5" xr3:uid="{1BB2900E-4752-4E29-85F3-D6724A810C79}" uniqueName="5" name="Litres" queryTableFieldId="7"/>
    <tableColumn id="6" xr3:uid="{F62B5A46-D3F7-43EB-9103-85F631881624}" uniqueName="6" name="PrixL" queryTableFieldId="8"/>
    <tableColumn id="7" xr3:uid="{2D82B385-62D1-43D7-809A-16515E935FEE}" uniqueName="7" name="Station essence" queryTableFieldId="9" dataDxfId="7"/>
    <tableColumn id="8" xr3:uid="{C072A0DE-C164-4B5B-98D5-4F75AB4152C7}" uniqueName="8" name="Vehicule" queryTableFieldId="10" dataDxfId="6"/>
    <tableColumn id="9" xr3:uid="{CB9692A1-86F5-4F96-8BCC-64B33BB868EB}" uniqueName="9" name="E85 station" queryTableFieldId="11"/>
    <tableColumn id="10" xr3:uid="{A37B8365-FA70-4FDF-A820-7EA79F8DD37B}" uniqueName="10" name="SP98 station" queryTableFieldId="12"/>
    <tableColumn id="11" xr3:uid="{40585C35-96BB-431D-AB47-B6535AE5433B}" uniqueName="11" name="SP95 station" queryTableFieldId="13"/>
    <tableColumn id="12" xr3:uid="{FBF51293-85A2-463D-9483-A85520704980}" uniqueName="12" name="E10 station" queryTableFieldId="14"/>
    <tableColumn id="13" xr3:uid="{FF24B43F-399F-4D18-81D0-ACA115AEFDF6}" uniqueName="13" name="Gazole station" queryTableFieldId="15"/>
    <tableColumn id="14" xr3:uid="{38AE96D0-3CD0-44AA-8620-009546E89596}" uniqueName="14" name="GPLc station" queryTableFieldId="16"/>
    <tableColumn id="15" xr3:uid="{5E5399F8-1AB5-4CA1-852E-3022A6D0E90D}" uniqueName="15" name="sync_id" queryTableFieldId="17" dataDxfId="5"/>
    <tableColumn id="16" xr3:uid="{3C10DCEC-EF0A-46CE-B7EC-DB6F335447C6}" uniqueName="16" name="Photo ticket" queryTableFieldId="18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32" dataDxfId="3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8" totalsRowShown="0" headerRowDxfId="29" dataDxfId="28">
  <autoFilter ref="D2:D38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2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26" dataDxfId="25">
  <autoFilter ref="F2:H10" xr:uid="{2387F9C1-6BD3-473B-85EC-C9DC250B205D}"/>
  <tableColumns count="3">
    <tableColumn id="1" xr3:uid="{05F36BAC-F684-472E-A29F-CFD422E3811E}" name="Parametre (cle)" dataDxfId="24"/>
    <tableColumn id="2" xr3:uid="{F281BF99-CEAF-435D-BF35-EC0F20A1CA73}" name="Valeur" dataDxfId="23"/>
    <tableColumn id="3" xr3:uid="{EB429810-D822-4B85-AE38-3B0CBA351D53}" name="Modifie_le (ms)" dataDxfId="2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5" totalsRowShown="0" headerRowDxfId="21" dataDxfId="20">
  <autoFilter ref="A1:D5" xr:uid="{238D2C69-1EEC-41F5-9D9B-69C1DB65C57C}"/>
  <tableColumns count="4">
    <tableColumn id="1" xr3:uid="{A7F25029-4BF7-4C04-8FCC-DE31F55D1452}" name="Station" dataDxfId="19"/>
    <tableColumn id="2" xr3:uid="{33BC0283-5027-46A6-86FF-00769FD91CB8}" name="Lat" dataDxfId="18"/>
    <tableColumn id="3" xr3:uid="{E43201E5-B5E0-42DA-A806-CF030E209FC9}" name="Lon" dataDxfId="17"/>
    <tableColumn id="4" xr3:uid="{533984FE-26FD-401B-A04A-3CDF1EA5AC6A}" name="Source" dataDxfId="1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1" totalsRowShown="0">
  <autoFilter ref="A1:C21" xr:uid="{1B0305BD-DBD9-4511-8501-5712FD19126E}"/>
  <tableColumns count="3">
    <tableColumn id="1" xr3:uid="{0DF284D4-966C-404E-B703-19990E5DF292}" name="Date" dataDxfId="3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16T00:00:00"/>
    <bounds startDate="2026-01-01T00:00:00" endDate="2027-01-01T0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3" customWidth="1"/>
    <col min="2" max="2" width="13.375" style="163" customWidth="1"/>
    <col min="3" max="3" width="43.125" style="163" customWidth="1"/>
    <col min="4" max="4" width="44" style="163" customWidth="1"/>
    <col min="5" max="5" width="30.875" style="163" customWidth="1"/>
    <col min="6" max="16384" width="11" style="163"/>
  </cols>
  <sheetData>
    <row r="1" spans="1:6" s="166" customFormat="1" x14ac:dyDescent="0.25">
      <c r="A1" s="165" t="s">
        <v>531</v>
      </c>
      <c r="B1" s="165" t="s">
        <v>0</v>
      </c>
      <c r="C1" s="165" t="s">
        <v>1</v>
      </c>
      <c r="D1" s="165" t="s">
        <v>2</v>
      </c>
      <c r="E1" s="165" t="s">
        <v>3</v>
      </c>
      <c r="F1" s="165" t="s">
        <v>4</v>
      </c>
    </row>
    <row r="2" spans="1:6" x14ac:dyDescent="0.25">
      <c r="A2" s="163">
        <v>1</v>
      </c>
      <c r="B2" s="164">
        <v>46126</v>
      </c>
      <c r="C2" s="163" t="s">
        <v>27</v>
      </c>
      <c r="D2" s="163" t="s">
        <v>28</v>
      </c>
      <c r="E2" s="163" t="s">
        <v>29</v>
      </c>
      <c r="F2" s="163" t="s">
        <v>30</v>
      </c>
    </row>
    <row r="3" spans="1:6" x14ac:dyDescent="0.25">
      <c r="A3" s="163">
        <v>2</v>
      </c>
      <c r="B3" s="164">
        <v>46126</v>
      </c>
      <c r="C3" s="163" t="s">
        <v>31</v>
      </c>
      <c r="D3" s="163" t="s">
        <v>32</v>
      </c>
      <c r="E3" s="163" t="s">
        <v>33</v>
      </c>
      <c r="F3" s="163" t="s">
        <v>34</v>
      </c>
    </row>
    <row r="4" spans="1:6" x14ac:dyDescent="0.25">
      <c r="A4" s="163">
        <v>3</v>
      </c>
      <c r="B4" s="164">
        <v>46126</v>
      </c>
      <c r="C4" s="163" t="s">
        <v>35</v>
      </c>
      <c r="D4" s="163" t="s">
        <v>36</v>
      </c>
      <c r="E4" s="163" t="s">
        <v>37</v>
      </c>
      <c r="F4" s="163" t="s">
        <v>38</v>
      </c>
    </row>
    <row r="5" spans="1:6" x14ac:dyDescent="0.25">
      <c r="A5" s="163">
        <v>4</v>
      </c>
      <c r="B5" s="164">
        <v>46126</v>
      </c>
      <c r="C5" s="163" t="s">
        <v>42</v>
      </c>
      <c r="D5" s="163" t="s">
        <v>43</v>
      </c>
      <c r="E5" s="163" t="s">
        <v>44</v>
      </c>
      <c r="F5" s="163" t="s">
        <v>45</v>
      </c>
    </row>
    <row r="6" spans="1:6" x14ac:dyDescent="0.25">
      <c r="A6" s="163">
        <v>5</v>
      </c>
      <c r="B6" s="164">
        <v>46126</v>
      </c>
      <c r="C6" s="163" t="s">
        <v>46</v>
      </c>
      <c r="D6" s="163" t="s">
        <v>47</v>
      </c>
      <c r="E6" s="163" t="s">
        <v>48</v>
      </c>
      <c r="F6" s="163" t="s">
        <v>49</v>
      </c>
    </row>
    <row r="7" spans="1:6" x14ac:dyDescent="0.25">
      <c r="A7" s="163">
        <v>6</v>
      </c>
      <c r="B7" s="164">
        <v>46126</v>
      </c>
      <c r="C7" s="163" t="s">
        <v>50</v>
      </c>
      <c r="D7" s="163" t="s">
        <v>51</v>
      </c>
      <c r="E7" s="163" t="s">
        <v>52</v>
      </c>
      <c r="F7" s="163" t="s">
        <v>53</v>
      </c>
    </row>
    <row r="8" spans="1:6" x14ac:dyDescent="0.25">
      <c r="A8" s="163">
        <v>7</v>
      </c>
      <c r="B8" s="164">
        <v>46126</v>
      </c>
      <c r="C8" s="163" t="s">
        <v>61</v>
      </c>
      <c r="D8" s="163" t="s">
        <v>62</v>
      </c>
      <c r="E8" s="163" t="s">
        <v>63</v>
      </c>
      <c r="F8" s="163" t="s">
        <v>64</v>
      </c>
    </row>
    <row r="9" spans="1:6" x14ac:dyDescent="0.25">
      <c r="A9" s="163">
        <v>8</v>
      </c>
      <c r="B9" s="164">
        <v>46126</v>
      </c>
      <c r="C9" s="163" t="s">
        <v>67</v>
      </c>
      <c r="D9" s="163" t="s">
        <v>68</v>
      </c>
      <c r="E9" s="163" t="s">
        <v>69</v>
      </c>
      <c r="F9" s="163" t="s">
        <v>70</v>
      </c>
    </row>
    <row r="10" spans="1:6" x14ac:dyDescent="0.25">
      <c r="A10" s="163">
        <v>9</v>
      </c>
      <c r="B10" s="164">
        <v>46126</v>
      </c>
      <c r="C10" s="163" t="s">
        <v>72</v>
      </c>
      <c r="D10" s="163" t="s">
        <v>73</v>
      </c>
      <c r="E10" s="163" t="s">
        <v>74</v>
      </c>
      <c r="F10" s="163" t="s">
        <v>75</v>
      </c>
    </row>
    <row r="11" spans="1:6" x14ac:dyDescent="0.25">
      <c r="A11" s="163">
        <v>10</v>
      </c>
      <c r="B11" s="164">
        <v>46126</v>
      </c>
      <c r="C11" s="163" t="s">
        <v>76</v>
      </c>
      <c r="D11" s="163" t="s">
        <v>77</v>
      </c>
      <c r="E11" s="163" t="s">
        <v>78</v>
      </c>
      <c r="F11" s="163" t="s">
        <v>79</v>
      </c>
    </row>
    <row r="12" spans="1:6" x14ac:dyDescent="0.25">
      <c r="A12" s="163">
        <v>11</v>
      </c>
      <c r="B12" s="164">
        <v>46126</v>
      </c>
      <c r="C12" s="163" t="s">
        <v>82</v>
      </c>
      <c r="D12" s="163" t="s">
        <v>83</v>
      </c>
      <c r="E12" s="163" t="s">
        <v>84</v>
      </c>
      <c r="F12" s="163" t="s">
        <v>85</v>
      </c>
    </row>
    <row r="13" spans="1:6" x14ac:dyDescent="0.25">
      <c r="A13" s="163">
        <v>12</v>
      </c>
      <c r="B13" s="164">
        <v>46126</v>
      </c>
      <c r="C13" s="163" t="s">
        <v>86</v>
      </c>
      <c r="D13" s="163" t="s">
        <v>87</v>
      </c>
      <c r="E13" s="163" t="s">
        <v>88</v>
      </c>
      <c r="F13" s="163" t="s">
        <v>89</v>
      </c>
    </row>
    <row r="14" spans="1:6" x14ac:dyDescent="0.25">
      <c r="A14" s="163">
        <v>13</v>
      </c>
      <c r="B14" s="164">
        <v>46126</v>
      </c>
      <c r="C14" s="163" t="s">
        <v>90</v>
      </c>
      <c r="D14" s="163" t="s">
        <v>91</v>
      </c>
      <c r="E14" s="163" t="s">
        <v>92</v>
      </c>
      <c r="F14" s="163" t="s">
        <v>93</v>
      </c>
    </row>
    <row r="15" spans="1:6" x14ac:dyDescent="0.25">
      <c r="A15" s="163">
        <v>22</v>
      </c>
      <c r="B15" s="164">
        <v>46153</v>
      </c>
      <c r="C15" s="163" t="s">
        <v>130</v>
      </c>
      <c r="D15" s="163" t="s">
        <v>131</v>
      </c>
      <c r="E15" s="163" t="s">
        <v>132</v>
      </c>
      <c r="F15" s="163" t="s">
        <v>133</v>
      </c>
    </row>
    <row r="16" spans="1:6" x14ac:dyDescent="0.25">
      <c r="A16" s="163">
        <v>23</v>
      </c>
      <c r="B16" s="164">
        <v>46153</v>
      </c>
      <c r="C16" s="163" t="s">
        <v>136</v>
      </c>
      <c r="D16" s="163" t="s">
        <v>137</v>
      </c>
      <c r="E16" s="163" t="s">
        <v>138</v>
      </c>
      <c r="F16" s="163" t="s">
        <v>139</v>
      </c>
    </row>
    <row r="17" spans="1:6" x14ac:dyDescent="0.25">
      <c r="A17" s="163">
        <v>24</v>
      </c>
      <c r="B17" s="164">
        <v>46153</v>
      </c>
      <c r="C17" s="163" t="s">
        <v>140</v>
      </c>
      <c r="D17" s="163" t="s">
        <v>141</v>
      </c>
      <c r="E17" s="163" t="s">
        <v>142</v>
      </c>
      <c r="F17" s="163" t="s">
        <v>143</v>
      </c>
    </row>
    <row r="18" spans="1:6" x14ac:dyDescent="0.25">
      <c r="A18" s="163">
        <v>17</v>
      </c>
      <c r="B18" s="164">
        <v>46138</v>
      </c>
      <c r="C18" s="163" t="s">
        <v>94</v>
      </c>
      <c r="D18" s="163" t="s">
        <v>95</v>
      </c>
      <c r="E18" s="163" t="s">
        <v>96</v>
      </c>
      <c r="F18" s="163" t="s">
        <v>97</v>
      </c>
    </row>
    <row r="19" spans="1:6" x14ac:dyDescent="0.25">
      <c r="A19" s="163">
        <v>18</v>
      </c>
      <c r="B19" s="164">
        <v>46146</v>
      </c>
      <c r="C19" s="163" t="s">
        <v>109</v>
      </c>
      <c r="D19" s="163" t="s">
        <v>110</v>
      </c>
      <c r="E19" s="163" t="s">
        <v>111</v>
      </c>
      <c r="F19" s="163" t="s">
        <v>112</v>
      </c>
    </row>
    <row r="20" spans="1:6" x14ac:dyDescent="0.25">
      <c r="A20" s="163">
        <v>19</v>
      </c>
      <c r="B20" s="164">
        <v>46146</v>
      </c>
      <c r="C20" s="163" t="s">
        <v>114</v>
      </c>
      <c r="D20" s="163" t="s">
        <v>115</v>
      </c>
      <c r="E20" s="163" t="s">
        <v>116</v>
      </c>
      <c r="F20" s="163" t="s">
        <v>117</v>
      </c>
    </row>
    <row r="21" spans="1:6" x14ac:dyDescent="0.25">
      <c r="A21" s="163">
        <v>20</v>
      </c>
      <c r="B21" s="164">
        <v>46146</v>
      </c>
      <c r="C21" s="163" t="s">
        <v>120</v>
      </c>
      <c r="D21" s="163" t="s">
        <v>121</v>
      </c>
      <c r="E21" s="163" t="s">
        <v>122</v>
      </c>
      <c r="F21" s="163" t="s">
        <v>123</v>
      </c>
    </row>
    <row r="22" spans="1:6" x14ac:dyDescent="0.25">
      <c r="A22" s="163">
        <v>21</v>
      </c>
      <c r="B22" s="164">
        <v>46148</v>
      </c>
      <c r="C22" s="163" t="s">
        <v>126</v>
      </c>
      <c r="D22" s="163" t="s">
        <v>127</v>
      </c>
      <c r="E22" s="163" t="s">
        <v>128</v>
      </c>
      <c r="F22" s="163" t="s">
        <v>129</v>
      </c>
    </row>
    <row r="23" spans="1:6" x14ac:dyDescent="0.25">
      <c r="A23" s="163">
        <v>25</v>
      </c>
      <c r="B23" s="164">
        <v>46153</v>
      </c>
      <c r="C23" s="163" t="s">
        <v>144</v>
      </c>
      <c r="D23" s="163" t="s">
        <v>145</v>
      </c>
      <c r="E23" s="163" t="s">
        <v>146</v>
      </c>
      <c r="F23" s="163" t="s">
        <v>147</v>
      </c>
    </row>
    <row r="24" spans="1:6" x14ac:dyDescent="0.25">
      <c r="A24" s="163">
        <v>26</v>
      </c>
      <c r="B24" s="164">
        <v>46153</v>
      </c>
      <c r="C24" s="163" t="s">
        <v>149</v>
      </c>
      <c r="D24" s="163" t="s">
        <v>150</v>
      </c>
      <c r="E24" s="163" t="s">
        <v>151</v>
      </c>
      <c r="F24" s="163" t="s">
        <v>152</v>
      </c>
    </row>
    <row r="25" spans="1:6" x14ac:dyDescent="0.25">
      <c r="A25" s="163">
        <v>27</v>
      </c>
      <c r="B25" s="164">
        <v>46153</v>
      </c>
      <c r="C25" s="163" t="s">
        <v>153</v>
      </c>
      <c r="D25" s="163" t="s">
        <v>154</v>
      </c>
      <c r="E25" s="163" t="s">
        <v>155</v>
      </c>
      <c r="F25" s="163" t="s">
        <v>156</v>
      </c>
    </row>
    <row r="26" spans="1:6" x14ac:dyDescent="0.25">
      <c r="A26" s="163">
        <v>28</v>
      </c>
      <c r="B26" s="164">
        <v>46153</v>
      </c>
      <c r="C26" s="163" t="s">
        <v>157</v>
      </c>
      <c r="D26" s="163" t="s">
        <v>158</v>
      </c>
      <c r="E26" s="163" t="s">
        <v>159</v>
      </c>
      <c r="F26" s="163" t="s">
        <v>160</v>
      </c>
    </row>
    <row r="27" spans="1:6" x14ac:dyDescent="0.25">
      <c r="A27" s="163">
        <v>29</v>
      </c>
      <c r="B27" s="164">
        <v>46153</v>
      </c>
      <c r="C27" s="163" t="s">
        <v>161</v>
      </c>
      <c r="D27" s="163" t="s">
        <v>162</v>
      </c>
      <c r="E27" s="163" t="s">
        <v>163</v>
      </c>
      <c r="F27" s="163" t="s">
        <v>164</v>
      </c>
    </row>
    <row r="28" spans="1:6" x14ac:dyDescent="0.25">
      <c r="A28" s="163">
        <v>30</v>
      </c>
      <c r="B28" s="164">
        <v>46153</v>
      </c>
      <c r="C28" s="163" t="s">
        <v>165</v>
      </c>
      <c r="D28" s="163" t="s">
        <v>166</v>
      </c>
      <c r="E28" s="163" t="s">
        <v>167</v>
      </c>
      <c r="F28" s="163" t="s">
        <v>168</v>
      </c>
    </row>
    <row r="29" spans="1:6" x14ac:dyDescent="0.25">
      <c r="A29" s="163">
        <v>31</v>
      </c>
      <c r="B29" s="164">
        <v>46153</v>
      </c>
      <c r="C29" s="163" t="s">
        <v>169</v>
      </c>
      <c r="D29" s="163" t="s">
        <v>170</v>
      </c>
      <c r="E29" s="163" t="s">
        <v>171</v>
      </c>
      <c r="F29" s="163" t="s">
        <v>172</v>
      </c>
    </row>
    <row r="30" spans="1:6" x14ac:dyDescent="0.25">
      <c r="A30" s="163">
        <v>32</v>
      </c>
      <c r="B30" s="164">
        <v>46153</v>
      </c>
      <c r="C30" s="163" t="s">
        <v>173</v>
      </c>
      <c r="D30" s="163" t="s">
        <v>174</v>
      </c>
      <c r="E30" s="163" t="s">
        <v>175</v>
      </c>
      <c r="F30" s="163" t="s">
        <v>176</v>
      </c>
    </row>
    <row r="31" spans="1:6" x14ac:dyDescent="0.25">
      <c r="A31" s="163">
        <v>33</v>
      </c>
      <c r="B31" s="164">
        <v>46157</v>
      </c>
      <c r="C31" s="163" t="s">
        <v>177</v>
      </c>
      <c r="D31" s="163" t="s">
        <v>178</v>
      </c>
      <c r="E31" s="163" t="s">
        <v>179</v>
      </c>
      <c r="F31" s="163" t="s">
        <v>180</v>
      </c>
    </row>
    <row r="32" spans="1:6" x14ac:dyDescent="0.25">
      <c r="A32" s="163">
        <v>34</v>
      </c>
      <c r="B32" s="164">
        <v>46158</v>
      </c>
      <c r="C32" s="163" t="s">
        <v>186</v>
      </c>
      <c r="D32" s="163" t="s">
        <v>187</v>
      </c>
      <c r="E32" s="163" t="s">
        <v>188</v>
      </c>
      <c r="F32" s="163" t="s">
        <v>189</v>
      </c>
    </row>
    <row r="33" spans="1:6" x14ac:dyDescent="0.25">
      <c r="A33" s="163">
        <v>35</v>
      </c>
      <c r="B33" s="164">
        <v>46158</v>
      </c>
      <c r="C33" s="163" t="s">
        <v>191</v>
      </c>
      <c r="D33" s="163" t="s">
        <v>192</v>
      </c>
      <c r="E33" s="163" t="s">
        <v>193</v>
      </c>
      <c r="F33" s="163" t="s">
        <v>194</v>
      </c>
    </row>
    <row r="34" spans="1:6" x14ac:dyDescent="0.25">
      <c r="A34" s="163">
        <v>36</v>
      </c>
      <c r="B34" s="164">
        <v>46158</v>
      </c>
      <c r="C34" s="163" t="s">
        <v>196</v>
      </c>
      <c r="D34" s="163" t="s">
        <v>197</v>
      </c>
      <c r="E34" s="163" t="s">
        <v>198</v>
      </c>
      <c r="F34" s="163" t="s">
        <v>199</v>
      </c>
    </row>
    <row r="35" spans="1:6" x14ac:dyDescent="0.25">
      <c r="A35" s="163">
        <v>37</v>
      </c>
      <c r="B35" s="164">
        <v>46158</v>
      </c>
      <c r="C35" s="163" t="s">
        <v>200</v>
      </c>
      <c r="D35" s="163" t="s">
        <v>201</v>
      </c>
      <c r="E35" s="163" t="s">
        <v>202</v>
      </c>
      <c r="F35" s="163" t="s">
        <v>203</v>
      </c>
    </row>
    <row r="36" spans="1:6" x14ac:dyDescent="0.25">
      <c r="A36" s="163">
        <v>38</v>
      </c>
      <c r="B36" s="164">
        <v>46158</v>
      </c>
      <c r="C36" s="163" t="s">
        <v>204</v>
      </c>
      <c r="D36" s="163" t="s">
        <v>205</v>
      </c>
      <c r="E36" s="163" t="s">
        <v>206</v>
      </c>
      <c r="F36" s="163" t="s">
        <v>207</v>
      </c>
    </row>
    <row r="37" spans="1:6" x14ac:dyDescent="0.25">
      <c r="A37" s="163">
        <v>39</v>
      </c>
      <c r="B37" s="164">
        <v>46158</v>
      </c>
      <c r="C37" s="163" t="s">
        <v>208</v>
      </c>
      <c r="D37" s="163" t="s">
        <v>209</v>
      </c>
      <c r="E37" s="163" t="s">
        <v>210</v>
      </c>
      <c r="F37" s="163" t="s">
        <v>211</v>
      </c>
    </row>
    <row r="38" spans="1:6" x14ac:dyDescent="0.25">
      <c r="A38" s="163">
        <v>40</v>
      </c>
      <c r="B38" s="164">
        <v>46158</v>
      </c>
      <c r="C38" s="163" t="s">
        <v>212</v>
      </c>
      <c r="D38" s="163" t="s">
        <v>213</v>
      </c>
      <c r="E38" s="163" t="s">
        <v>214</v>
      </c>
      <c r="F38" s="163" t="s">
        <v>215</v>
      </c>
    </row>
    <row r="39" spans="1:6" x14ac:dyDescent="0.25">
      <c r="A39" s="163">
        <v>41</v>
      </c>
      <c r="B39" s="164">
        <v>46158</v>
      </c>
      <c r="C39" s="163" t="s">
        <v>216</v>
      </c>
      <c r="D39" s="163" t="s">
        <v>217</v>
      </c>
      <c r="E39" s="163" t="s">
        <v>218</v>
      </c>
      <c r="F39" s="163" t="s">
        <v>203</v>
      </c>
    </row>
    <row r="40" spans="1:6" x14ac:dyDescent="0.25">
      <c r="A40" s="163">
        <v>42</v>
      </c>
      <c r="B40" s="164">
        <v>46158</v>
      </c>
      <c r="C40" s="163" t="s">
        <v>219</v>
      </c>
      <c r="D40" s="163" t="s">
        <v>220</v>
      </c>
      <c r="E40" s="163" t="s">
        <v>221</v>
      </c>
      <c r="F40" s="163" t="s">
        <v>222</v>
      </c>
    </row>
    <row r="41" spans="1:6" x14ac:dyDescent="0.25">
      <c r="A41" s="163">
        <v>43</v>
      </c>
      <c r="B41" s="164">
        <v>46158</v>
      </c>
      <c r="C41" s="163" t="s">
        <v>223</v>
      </c>
      <c r="D41" s="163" t="s">
        <v>224</v>
      </c>
      <c r="E41" s="163" t="s">
        <v>225</v>
      </c>
      <c r="F41" s="163" t="s">
        <v>226</v>
      </c>
    </row>
    <row r="42" spans="1:6" x14ac:dyDescent="0.25">
      <c r="A42" s="163">
        <v>44</v>
      </c>
      <c r="B42" s="164">
        <v>46158</v>
      </c>
      <c r="C42" s="163" t="s">
        <v>227</v>
      </c>
      <c r="D42" s="163" t="s">
        <v>228</v>
      </c>
      <c r="E42" s="163" t="s">
        <v>229</v>
      </c>
      <c r="F42" s="163" t="s">
        <v>230</v>
      </c>
    </row>
    <row r="43" spans="1:6" x14ac:dyDescent="0.25">
      <c r="A43" s="163">
        <v>45</v>
      </c>
      <c r="B43" s="164">
        <v>46158</v>
      </c>
      <c r="C43" s="163" t="s">
        <v>231</v>
      </c>
      <c r="D43" s="163" t="s">
        <v>232</v>
      </c>
      <c r="E43" s="163" t="s">
        <v>233</v>
      </c>
      <c r="F43" s="163" t="s">
        <v>234</v>
      </c>
    </row>
    <row r="44" spans="1:6" x14ac:dyDescent="0.25">
      <c r="A44" s="163">
        <v>46</v>
      </c>
      <c r="B44" s="164">
        <v>46158</v>
      </c>
      <c r="C44" s="163" t="s">
        <v>235</v>
      </c>
      <c r="D44" s="163" t="s">
        <v>236</v>
      </c>
      <c r="E44" s="163" t="s">
        <v>237</v>
      </c>
      <c r="F44" s="163" t="s">
        <v>238</v>
      </c>
    </row>
    <row r="45" spans="1:6" x14ac:dyDescent="0.25">
      <c r="A45" s="163">
        <v>47</v>
      </c>
      <c r="B45" s="164">
        <v>46158</v>
      </c>
      <c r="C45" s="163" t="s">
        <v>239</v>
      </c>
      <c r="D45" s="163" t="s">
        <v>240</v>
      </c>
      <c r="E45" s="163" t="s">
        <v>241</v>
      </c>
      <c r="F45" s="163" t="s">
        <v>242</v>
      </c>
    </row>
    <row r="46" spans="1:6" x14ac:dyDescent="0.25">
      <c r="A46" s="163">
        <v>48</v>
      </c>
      <c r="B46" s="164">
        <v>46158</v>
      </c>
      <c r="C46" s="163" t="s">
        <v>243</v>
      </c>
      <c r="D46" s="163" t="s">
        <v>244</v>
      </c>
      <c r="E46" s="163" t="s">
        <v>245</v>
      </c>
      <c r="F46" s="163" t="s">
        <v>246</v>
      </c>
    </row>
    <row r="47" spans="1:6" x14ac:dyDescent="0.25">
      <c r="A47" s="163">
        <v>49</v>
      </c>
      <c r="B47" s="164">
        <v>46158</v>
      </c>
      <c r="C47" s="163" t="s">
        <v>247</v>
      </c>
      <c r="D47" s="163" t="s">
        <v>248</v>
      </c>
      <c r="E47" s="163" t="s">
        <v>249</v>
      </c>
      <c r="F47" s="163" t="s">
        <v>250</v>
      </c>
    </row>
    <row r="48" spans="1:6" x14ac:dyDescent="0.25">
      <c r="A48" s="163">
        <v>50</v>
      </c>
      <c r="B48" s="164">
        <v>46158</v>
      </c>
      <c r="C48" s="163" t="s">
        <v>251</v>
      </c>
      <c r="D48" s="163" t="s">
        <v>252</v>
      </c>
      <c r="E48" s="163" t="s">
        <v>253</v>
      </c>
      <c r="F48" s="163" t="s">
        <v>254</v>
      </c>
    </row>
    <row r="49" spans="1:6" x14ac:dyDescent="0.25">
      <c r="A49" s="163">
        <v>51</v>
      </c>
      <c r="B49" s="164">
        <v>46158</v>
      </c>
      <c r="C49" s="163" t="s">
        <v>255</v>
      </c>
      <c r="D49" s="163" t="s">
        <v>256</v>
      </c>
      <c r="E49" s="163" t="s">
        <v>257</v>
      </c>
      <c r="F49" s="163" t="s">
        <v>258</v>
      </c>
    </row>
    <row r="50" spans="1:6" x14ac:dyDescent="0.25">
      <c r="A50" s="163">
        <v>52</v>
      </c>
      <c r="B50" s="164">
        <v>46158</v>
      </c>
      <c r="C50" s="163" t="s">
        <v>259</v>
      </c>
      <c r="D50" s="163" t="s">
        <v>260</v>
      </c>
      <c r="E50" s="163" t="s">
        <v>261</v>
      </c>
      <c r="F50" s="163" t="s">
        <v>262</v>
      </c>
    </row>
    <row r="51" spans="1:6" x14ac:dyDescent="0.25">
      <c r="A51" s="163">
        <v>53</v>
      </c>
      <c r="B51" s="164">
        <v>46158</v>
      </c>
      <c r="C51" s="163" t="s">
        <v>263</v>
      </c>
      <c r="D51" s="163" t="s">
        <v>264</v>
      </c>
      <c r="E51" s="163" t="s">
        <v>265</v>
      </c>
      <c r="F51" s="163" t="s">
        <v>203</v>
      </c>
    </row>
    <row r="52" spans="1:6" x14ac:dyDescent="0.25">
      <c r="A52" s="163">
        <v>54</v>
      </c>
      <c r="B52" s="164">
        <v>46158</v>
      </c>
      <c r="C52" s="163" t="s">
        <v>266</v>
      </c>
      <c r="D52" s="163" t="s">
        <v>267</v>
      </c>
      <c r="E52" s="163" t="s">
        <v>268</v>
      </c>
      <c r="F52" s="163" t="s">
        <v>269</v>
      </c>
    </row>
    <row r="53" spans="1:6" x14ac:dyDescent="0.25">
      <c r="A53" s="163">
        <v>1</v>
      </c>
      <c r="B53" s="164">
        <v>46163</v>
      </c>
      <c r="C53" s="163" t="s">
        <v>276</v>
      </c>
      <c r="D53" s="163" t="s">
        <v>277</v>
      </c>
      <c r="E53" s="163" t="s">
        <v>278</v>
      </c>
      <c r="F53" s="163" t="s">
        <v>279</v>
      </c>
    </row>
    <row r="54" spans="1:6" x14ac:dyDescent="0.25">
      <c r="A54" s="163">
        <v>55</v>
      </c>
      <c r="B54" s="164">
        <v>46163</v>
      </c>
      <c r="C54" s="163" t="s">
        <v>280</v>
      </c>
      <c r="D54" s="163" t="s">
        <v>281</v>
      </c>
      <c r="E54" s="163" t="s">
        <v>282</v>
      </c>
      <c r="F54" s="163" t="s">
        <v>283</v>
      </c>
    </row>
    <row r="55" spans="1:6" x14ac:dyDescent="0.25">
      <c r="A55" s="163">
        <v>56</v>
      </c>
      <c r="B55" s="164">
        <v>46163</v>
      </c>
      <c r="C55" s="163" t="s">
        <v>284</v>
      </c>
      <c r="D55" s="163" t="s">
        <v>285</v>
      </c>
      <c r="E55" s="163" t="s">
        <v>286</v>
      </c>
      <c r="F55" s="163" t="s">
        <v>287</v>
      </c>
    </row>
    <row r="56" spans="1:6" x14ac:dyDescent="0.25">
      <c r="A56" s="163">
        <v>57</v>
      </c>
      <c r="B56" s="164">
        <v>46163</v>
      </c>
      <c r="C56" s="163" t="s">
        <v>288</v>
      </c>
      <c r="D56" s="163" t="s">
        <v>289</v>
      </c>
      <c r="E56" s="163" t="s">
        <v>290</v>
      </c>
      <c r="F56" s="163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zoomScale="170" zoomScaleNormal="170" workbookViewId="0">
      <pane ySplit="4" topLeftCell="A12" activePane="bottomLeft" state="frozenSplit"/>
      <selection pane="bottomLeft" activeCell="H21" sqref="H21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79" t="s">
        <v>343</v>
      </c>
      <c r="B1" s="179"/>
      <c r="C1" s="179"/>
      <c r="D1" s="179"/>
      <c r="E1" s="179"/>
      <c r="F1" s="179"/>
      <c r="G1" s="179"/>
      <c r="H1" s="179"/>
      <c r="I1" s="179"/>
      <c r="J1" s="179"/>
    </row>
    <row r="2" spans="1:10" ht="16.5" customHeight="1" x14ac:dyDescent="0.25">
      <c r="A2" s="180" t="s">
        <v>344</v>
      </c>
      <c r="B2" s="180"/>
      <c r="C2" s="180"/>
      <c r="D2" s="180"/>
      <c r="E2" s="180"/>
      <c r="F2" s="180"/>
      <c r="G2" s="180"/>
      <c r="H2" s="180"/>
      <c r="I2" s="180"/>
      <c r="J2" s="180"/>
    </row>
    <row r="3" spans="1:10" ht="6" customHeight="1" x14ac:dyDescent="0.25"/>
    <row r="4" spans="1:10" ht="24" customHeight="1" x14ac:dyDescent="0.25">
      <c r="A4" s="83" t="s">
        <v>0</v>
      </c>
      <c r="B4" s="83" t="s">
        <v>54</v>
      </c>
      <c r="C4" s="83" t="s">
        <v>302</v>
      </c>
      <c r="D4" s="83" t="s">
        <v>11</v>
      </c>
      <c r="E4" s="83" t="s">
        <v>345</v>
      </c>
      <c r="F4" s="83" t="s">
        <v>55</v>
      </c>
      <c r="G4" s="83" t="s">
        <v>56</v>
      </c>
      <c r="H4" s="83" t="s">
        <v>346</v>
      </c>
      <c r="I4" s="83" t="s">
        <v>338</v>
      </c>
      <c r="J4" s="83" t="s">
        <v>270</v>
      </c>
    </row>
    <row r="5" spans="1:10" x14ac:dyDescent="0.25">
      <c r="A5" s="118">
        <f>IFERROR(INDEX(GS_Pleins[Date],1),"")</f>
        <v>46131</v>
      </c>
      <c r="B5" s="84" t="str">
        <f>IFERROR(INDEX(GS_Pleins[Type],1),"")</f>
        <v>Super 98</v>
      </c>
      <c r="C5" s="84" t="str">
        <f>IFERROR(INDEX(GS_Pleins[Vehicule],1),"")</f>
        <v>Z900</v>
      </c>
      <c r="D5" s="85">
        <f>IFERROR(INDEX(GS_Pleins[Km],1),"")</f>
        <v>9812</v>
      </c>
      <c r="E5" s="85"/>
      <c r="F5" s="86">
        <f>IFERROR(INDEX(GS_Pleins[Litres],1),"")</f>
        <v>11.4</v>
      </c>
      <c r="G5" s="87">
        <f>IFERROR(INDEX(GS_Pleins[PrixL],1),"")</f>
        <v>1.9730000000000001</v>
      </c>
      <c r="H5" s="86">
        <f t="shared" ref="H5:H15" si="0">IFERROR($F5*$G5,"")</f>
        <v>22.4922</v>
      </c>
      <c r="I5" s="86" t="str">
        <f t="shared" ref="I5:I15" si="1">IFERROR(IF(AND(ISNUMBER($E5),$E5&gt;0),$F5/$E5*100,""),"")</f>
        <v/>
      </c>
      <c r="J5" s="84" t="str">
        <f>IFERROR(INDEX(GS_Pleins[Station essence],1),"")</f>
        <v>Carrefour - Flers</v>
      </c>
    </row>
    <row r="6" spans="1:10" x14ac:dyDescent="0.25">
      <c r="A6" s="118">
        <f>IFERROR(INDEX(GS_Pleins[Date],2),"")</f>
        <v>46135</v>
      </c>
      <c r="B6" s="84" t="str">
        <f>IFERROR(INDEX(GS_Pleins[Type],2),"")</f>
        <v>Super 98</v>
      </c>
      <c r="C6" s="84" t="str">
        <f>IFERROR(INDEX(GS_Pleins[Vehicule],2),"")</f>
        <v>Z900</v>
      </c>
      <c r="D6" s="85">
        <f>IFERROR(INDEX(GS_Pleins[Km],2),"")</f>
        <v>10094</v>
      </c>
      <c r="E6" s="85">
        <f t="shared" ref="E6:E15" si="2">IFERROR(IF($C6=$C5,$D6-$D5,""),"")</f>
        <v>282</v>
      </c>
      <c r="F6" s="86">
        <f>IFERROR(INDEX(GS_Pleins[Litres],2),"")</f>
        <v>15.22</v>
      </c>
      <c r="G6" s="87">
        <f>IFERROR(INDEX(GS_Pleins[PrixL],2),"")</f>
        <v>1.9259999999999999</v>
      </c>
      <c r="H6" s="86">
        <f t="shared" si="0"/>
        <v>29.31372</v>
      </c>
      <c r="I6" s="86">
        <f t="shared" si="1"/>
        <v>5.3971631205673765</v>
      </c>
      <c r="J6" s="84" t="str">
        <f>IFERROR(INDEX(GS_Pleins[Station essence],2),"")</f>
        <v>Carrefour - Flers</v>
      </c>
    </row>
    <row r="7" spans="1:10" x14ac:dyDescent="0.25">
      <c r="A7" s="118">
        <f>IFERROR(INDEX(GS_Pleins[Date],3),"")</f>
        <v>46140</v>
      </c>
      <c r="B7" s="84" t="str">
        <f>IFERROR(INDEX(GS_Pleins[Type],3),"")</f>
        <v>Super 98</v>
      </c>
      <c r="C7" s="84" t="str">
        <f>IFERROR(INDEX(GS_Pleins[Vehicule],3),"")</f>
        <v>Z900</v>
      </c>
      <c r="D7" s="85">
        <f>IFERROR(INDEX(GS_Pleins[Km],3),"")</f>
        <v>10349</v>
      </c>
      <c r="E7" s="85">
        <f t="shared" si="2"/>
        <v>255</v>
      </c>
      <c r="F7" s="86">
        <f>IFERROR(INDEX(GS_Pleins[Litres],3),"")</f>
        <v>13.75</v>
      </c>
      <c r="G7" s="87">
        <f>IFERROR(INDEX(GS_Pleins[PrixL],3),"")</f>
        <v>2.0310000000000001</v>
      </c>
      <c r="H7" s="86">
        <f t="shared" si="0"/>
        <v>27.926250000000003</v>
      </c>
      <c r="I7" s="86">
        <f t="shared" si="1"/>
        <v>5.3921568627450984</v>
      </c>
      <c r="J7" s="84" t="str">
        <f>IFERROR(INDEX(GS_Pleins[Station essence],3),"")</f>
        <v>Leclerc - Douai</v>
      </c>
    </row>
    <row r="8" spans="1:10" x14ac:dyDescent="0.25">
      <c r="A8" s="118">
        <f>IFERROR(INDEX(GS_Pleins[Date],4),"")</f>
        <v>46146</v>
      </c>
      <c r="B8" s="84" t="str">
        <f>IFERROR(INDEX(GS_Pleins[Type],4),"")</f>
        <v>SuperEthanol E85</v>
      </c>
      <c r="C8" s="84" t="str">
        <f>IFERROR(INDEX(GS_Pleins[Vehicule],4),"")</f>
        <v>Z900</v>
      </c>
      <c r="D8" s="85">
        <f>IFERROR(INDEX(GS_Pleins[Km],4),"")</f>
        <v>10553</v>
      </c>
      <c r="E8" s="85">
        <f t="shared" si="2"/>
        <v>204</v>
      </c>
      <c r="F8" s="86">
        <f>IFERROR(INDEX(GS_Pleins[Litres],4),"")</f>
        <v>11.47</v>
      </c>
      <c r="G8" s="87">
        <f>IFERROR(INDEX(GS_Pleins[PrixL],4),"")</f>
        <v>0.80900000000000005</v>
      </c>
      <c r="H8" s="86">
        <f t="shared" si="0"/>
        <v>9.2792300000000019</v>
      </c>
      <c r="I8" s="86">
        <f t="shared" si="1"/>
        <v>5.6225490196078436</v>
      </c>
      <c r="J8" s="84" t="str">
        <f>IFERROR(INDEX(GS_Pleins[Station essence],4),"")</f>
        <v>E.Leclerc - Beuvry</v>
      </c>
    </row>
    <row r="9" spans="1:10" x14ac:dyDescent="0.25">
      <c r="A9" s="118">
        <f>IFERROR(INDEX(GS_Pleins[Date],5),"")</f>
        <v>46148</v>
      </c>
      <c r="B9" s="84" t="str">
        <f>IFERROR(INDEX(GS_Pleins[Type],5),"")</f>
        <v>SuperEthanol E85</v>
      </c>
      <c r="C9" s="84" t="str">
        <f>IFERROR(INDEX(GS_Pleins[Vehicule],5),"")</f>
        <v>Z900</v>
      </c>
      <c r="D9" s="85">
        <f>IFERROR(INDEX(GS_Pleins[Km],5),"")</f>
        <v>10749</v>
      </c>
      <c r="E9" s="85">
        <f t="shared" si="2"/>
        <v>196</v>
      </c>
      <c r="F9" s="86">
        <f>IFERROR(INDEX(GS_Pleins[Litres],5),"")</f>
        <v>11.71</v>
      </c>
      <c r="G9" s="87">
        <f>IFERROR(INDEX(GS_Pleins[PrixL],5),"")</f>
        <v>0.747</v>
      </c>
      <c r="H9" s="86">
        <f t="shared" si="0"/>
        <v>8.7473700000000001</v>
      </c>
      <c r="I9" s="86">
        <f t="shared" si="1"/>
        <v>5.9744897959183678</v>
      </c>
      <c r="J9" s="84" t="str">
        <f>IFERROR(INDEX(GS_Pleins[Station essence],5),"")</f>
        <v>E.Leclerc - Beuvry</v>
      </c>
    </row>
    <row r="10" spans="1:10" x14ac:dyDescent="0.25">
      <c r="A10" s="118">
        <f>IFERROR(INDEX(GS_Pleins[Date],6),"")</f>
        <v>46151</v>
      </c>
      <c r="B10" s="84" t="str">
        <f>IFERROR(INDEX(GS_Pleins[Type],6),"")</f>
        <v>SuperEthanol E85</v>
      </c>
      <c r="C10" s="84" t="str">
        <f>IFERROR(INDEX(GS_Pleins[Vehicule],6),"")</f>
        <v>Z900</v>
      </c>
      <c r="D10" s="85">
        <f>IFERROR(INDEX(GS_Pleins[Km],6),"")</f>
        <v>10975</v>
      </c>
      <c r="E10" s="85">
        <f t="shared" si="2"/>
        <v>226</v>
      </c>
      <c r="F10" s="86">
        <f>IFERROR(INDEX(GS_Pleins[Litres],6),"")</f>
        <v>15.28</v>
      </c>
      <c r="G10" s="87">
        <f>IFERROR(INDEX(GS_Pleins[PrixL],6),"")</f>
        <v>0.75700000000000001</v>
      </c>
      <c r="H10" s="86">
        <f t="shared" si="0"/>
        <v>11.56696</v>
      </c>
      <c r="I10" s="86">
        <f t="shared" si="1"/>
        <v>6.7610619469026547</v>
      </c>
      <c r="J10" s="84" t="str">
        <f>IFERROR(INDEX(GS_Pleins[Station essence],6),"")</f>
        <v>E.Leclerc - Beuvry</v>
      </c>
    </row>
    <row r="11" spans="1:10" x14ac:dyDescent="0.25">
      <c r="A11" s="118">
        <f>IFERROR(INDEX(GS_Pleins[Date],7),"")</f>
        <v>46154</v>
      </c>
      <c r="B11" s="84" t="str">
        <f>IFERROR(INDEX(GS_Pleins[Type],7),"")</f>
        <v>SuperEthanol E85</v>
      </c>
      <c r="C11" s="84" t="str">
        <f>IFERROR(INDEX(GS_Pleins[Vehicule],7),"")</f>
        <v>Z900</v>
      </c>
      <c r="D11" s="85">
        <f>IFERROR(INDEX(GS_Pleins[Km],7),"")</f>
        <v>11173</v>
      </c>
      <c r="E11" s="85">
        <f t="shared" si="2"/>
        <v>198</v>
      </c>
      <c r="F11" s="86">
        <f>IFERROR(INDEX(GS_Pleins[Litres],7),"")</f>
        <v>13.94</v>
      </c>
      <c r="G11" s="87">
        <f>IFERROR(INDEX(GS_Pleins[PrixL],7),"")</f>
        <v>0.83499999999999996</v>
      </c>
      <c r="H11" s="86">
        <f t="shared" si="0"/>
        <v>11.639899999999999</v>
      </c>
      <c r="I11" s="86">
        <f t="shared" si="1"/>
        <v>7.0404040404040398</v>
      </c>
      <c r="J11" s="84" t="str">
        <f>IFERROR(INDEX(GS_Pleins[Station essence],7),"")</f>
        <v>E.Leclerc - Beuvry</v>
      </c>
    </row>
    <row r="12" spans="1:10" x14ac:dyDescent="0.25">
      <c r="A12" s="118">
        <f>IFERROR(INDEX(GS_Pleins[Date],8),"")</f>
        <v>46157</v>
      </c>
      <c r="B12" s="84" t="str">
        <f>IFERROR(INDEX(GS_Pleins[Type],8),"")</f>
        <v>SuperEthanol E85</v>
      </c>
      <c r="C12" s="84" t="str">
        <f>IFERROR(INDEX(GS_Pleins[Vehicule],8),"")</f>
        <v>Z900</v>
      </c>
      <c r="D12" s="85">
        <f>IFERROR(INDEX(GS_Pleins[Km],8),"")</f>
        <v>11376</v>
      </c>
      <c r="E12" s="85">
        <f t="shared" si="2"/>
        <v>203</v>
      </c>
      <c r="F12" s="86">
        <f>IFERROR(INDEX(GS_Pleins[Litres],8),"")</f>
        <v>13.37</v>
      </c>
      <c r="G12" s="87">
        <f>IFERROR(INDEX(GS_Pleins[PrixL],8),"")</f>
        <v>0.71699999999999997</v>
      </c>
      <c r="H12" s="86">
        <f t="shared" si="0"/>
        <v>9.5862899999999982</v>
      </c>
      <c r="I12" s="86">
        <f t="shared" si="1"/>
        <v>6.5862068965517233</v>
      </c>
      <c r="J12" s="84" t="str">
        <f>IFERROR(INDEX(GS_Pleins[Station essence],8),"")</f>
        <v>E.Leclerc - Beuvry</v>
      </c>
    </row>
    <row r="13" spans="1:10" x14ac:dyDescent="0.25">
      <c r="A13" s="118">
        <f>IFERROR(INDEX(GS_Pleins[Date],9),"")</f>
        <v>46161</v>
      </c>
      <c r="B13" s="84" t="str">
        <f>IFERROR(INDEX(GS_Pleins[Type],9),"")</f>
        <v>SuperEthanol E85</v>
      </c>
      <c r="C13" s="84" t="str">
        <f>IFERROR(INDEX(GS_Pleins[Vehicule],9),"")</f>
        <v>Z900</v>
      </c>
      <c r="D13" s="85">
        <f>IFERROR(INDEX(GS_Pleins[Km],9),"")</f>
        <v>11596</v>
      </c>
      <c r="E13" s="85">
        <f t="shared" si="2"/>
        <v>220</v>
      </c>
      <c r="F13" s="86">
        <f>IFERROR(INDEX(GS_Pleins[Litres],9),"")</f>
        <v>14.9</v>
      </c>
      <c r="G13" s="87">
        <f>IFERROR(INDEX(GS_Pleins[PrixL],9),"")</f>
        <v>0.79800000000000004</v>
      </c>
      <c r="H13" s="86">
        <f t="shared" si="0"/>
        <v>11.8902</v>
      </c>
      <c r="I13" s="86">
        <f t="shared" si="1"/>
        <v>6.7727272727272734</v>
      </c>
      <c r="J13" s="84" t="str">
        <f>IFERROR(INDEX(GS_Pleins[Station essence],9),"")</f>
        <v>E.Leclerc - Beuvry</v>
      </c>
    </row>
    <row r="14" spans="1:10" x14ac:dyDescent="0.25">
      <c r="A14" s="118">
        <f>IFERROR(INDEX(GS_Pleins[Date],10),"")</f>
        <v>46164</v>
      </c>
      <c r="B14" s="84" t="str">
        <f>IFERROR(INDEX(GS_Pleins[Type],10),"")</f>
        <v>SuperEthanol E85</v>
      </c>
      <c r="C14" s="84" t="str">
        <f>IFERROR(INDEX(GS_Pleins[Vehicule],10),"")</f>
        <v>Z900</v>
      </c>
      <c r="D14" s="85">
        <f>IFERROR(INDEX(GS_Pleins[Km],10),"")</f>
        <v>11831</v>
      </c>
      <c r="E14" s="85">
        <f t="shared" si="2"/>
        <v>235</v>
      </c>
      <c r="F14" s="86">
        <f>IFERROR(INDEX(GS_Pleins[Litres],10),"")</f>
        <v>16.25</v>
      </c>
      <c r="G14" s="87">
        <f>IFERROR(INDEX(GS_Pleins[PrixL],10),"")</f>
        <v>0.79800000000000004</v>
      </c>
      <c r="H14" s="86">
        <f t="shared" si="0"/>
        <v>12.967500000000001</v>
      </c>
      <c r="I14" s="86">
        <f t="shared" si="1"/>
        <v>6.9148936170212769</v>
      </c>
      <c r="J14" s="84" t="str">
        <f>IFERROR(INDEX(GS_Pleins[Station essence],10),"")</f>
        <v>E.Leclerc - Beuvry</v>
      </c>
    </row>
    <row r="15" spans="1:10" x14ac:dyDescent="0.25">
      <c r="A15" s="118">
        <f>IFERROR(INDEX(GS_Pleins[Date],11),"")</f>
        <v>46170</v>
      </c>
      <c r="B15" s="84" t="str">
        <f>IFERROR(INDEX(GS_Pleins[Type],11),"")</f>
        <v>SuperEthanol E85</v>
      </c>
      <c r="C15" s="84" t="str">
        <f>IFERROR(INDEX(GS_Pleins[Vehicule],11),"")</f>
        <v>Z900</v>
      </c>
      <c r="D15" s="85">
        <f>IFERROR(INDEX(GS_Pleins[Km],11),"")</f>
        <v>12041</v>
      </c>
      <c r="E15" s="85">
        <f t="shared" si="2"/>
        <v>210</v>
      </c>
      <c r="F15" s="86">
        <f>IFERROR(INDEX(GS_Pleins[Litres],11),"")</f>
        <v>13.23</v>
      </c>
      <c r="G15" s="87">
        <f>IFERROR(INDEX(GS_Pleins[PrixL],11),"")</f>
        <v>0.84899999999999998</v>
      </c>
      <c r="H15" s="86">
        <f t="shared" si="0"/>
        <v>11.23227</v>
      </c>
      <c r="I15" s="86">
        <f t="shared" si="1"/>
        <v>6.3</v>
      </c>
      <c r="J15" s="84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8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310</v>
      </c>
      <c r="I1" t="s">
        <v>311</v>
      </c>
      <c r="J1" t="s">
        <v>312</v>
      </c>
      <c r="K1" t="s">
        <v>313</v>
      </c>
      <c r="L1" t="s">
        <v>314</v>
      </c>
      <c r="M1" t="s">
        <v>315</v>
      </c>
      <c r="N1" t="s">
        <v>316</v>
      </c>
      <c r="O1" t="s">
        <v>323</v>
      </c>
      <c r="P1" t="s">
        <v>341</v>
      </c>
      <c r="Q1" t="s">
        <v>387</v>
      </c>
      <c r="R1" t="s">
        <v>388</v>
      </c>
      <c r="S1" t="s">
        <v>473</v>
      </c>
      <c r="T1" t="s">
        <v>317</v>
      </c>
      <c r="U1" t="s">
        <v>318</v>
      </c>
      <c r="V1" t="s">
        <v>319</v>
      </c>
      <c r="W1" t="s">
        <v>320</v>
      </c>
      <c r="X1" t="s">
        <v>321</v>
      </c>
      <c r="Y1" t="s">
        <v>322</v>
      </c>
    </row>
    <row r="2" spans="1:25" x14ac:dyDescent="0.25">
      <c r="A2" s="80">
        <v>46164.921076388891</v>
      </c>
      <c r="B2" s="80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325</v>
      </c>
      <c r="H2" t="s">
        <v>309</v>
      </c>
      <c r="I2">
        <v>0.79800000000000004</v>
      </c>
      <c r="O2" t="s">
        <v>324</v>
      </c>
      <c r="Q2" s="177">
        <v>46178</v>
      </c>
      <c r="S2" t="s">
        <v>474</v>
      </c>
    </row>
    <row r="3" spans="1:25" x14ac:dyDescent="0.25">
      <c r="A3" s="177">
        <v>46131</v>
      </c>
      <c r="B3" s="80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335</v>
      </c>
      <c r="H3" t="s">
        <v>309</v>
      </c>
      <c r="J3">
        <v>1.9730000000000001</v>
      </c>
      <c r="O3" t="s">
        <v>326</v>
      </c>
      <c r="Q3" s="177">
        <v>46178</v>
      </c>
      <c r="S3" t="s">
        <v>474</v>
      </c>
    </row>
    <row r="4" spans="1:25" x14ac:dyDescent="0.25">
      <c r="A4" s="177">
        <v>46135</v>
      </c>
      <c r="B4" s="80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335</v>
      </c>
      <c r="H4" t="s">
        <v>309</v>
      </c>
      <c r="J4">
        <v>1.9259999999999999</v>
      </c>
      <c r="O4" t="s">
        <v>327</v>
      </c>
      <c r="Q4" s="177">
        <v>46178</v>
      </c>
      <c r="S4" t="s">
        <v>474</v>
      </c>
    </row>
    <row r="5" spans="1:25" x14ac:dyDescent="0.25">
      <c r="A5" s="177">
        <v>46140</v>
      </c>
      <c r="B5" s="80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336</v>
      </c>
      <c r="H5" t="s">
        <v>309</v>
      </c>
      <c r="J5">
        <v>2.0310000000000001</v>
      </c>
      <c r="O5" t="s">
        <v>328</v>
      </c>
      <c r="Q5" s="177">
        <v>46178</v>
      </c>
      <c r="S5" t="s">
        <v>474</v>
      </c>
    </row>
    <row r="6" spans="1:25" x14ac:dyDescent="0.25">
      <c r="A6" s="177">
        <v>46146</v>
      </c>
      <c r="B6" s="80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325</v>
      </c>
      <c r="H6" t="s">
        <v>309</v>
      </c>
      <c r="I6">
        <v>0.80900000000000005</v>
      </c>
      <c r="J6">
        <v>2.0790000000000002</v>
      </c>
      <c r="O6" t="s">
        <v>329</v>
      </c>
      <c r="Q6" s="177">
        <v>46178</v>
      </c>
      <c r="S6" t="s">
        <v>474</v>
      </c>
    </row>
    <row r="7" spans="1:25" x14ac:dyDescent="0.25">
      <c r="A7" s="177">
        <v>46148</v>
      </c>
      <c r="B7" s="80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325</v>
      </c>
      <c r="H7" t="s">
        <v>309</v>
      </c>
      <c r="I7">
        <v>0.747</v>
      </c>
      <c r="J7">
        <v>2.0979999999999999</v>
      </c>
      <c r="O7" t="s">
        <v>330</v>
      </c>
      <c r="Q7" s="177">
        <v>46178</v>
      </c>
      <c r="S7" t="s">
        <v>474</v>
      </c>
    </row>
    <row r="8" spans="1:25" x14ac:dyDescent="0.25">
      <c r="A8" s="177">
        <v>46151</v>
      </c>
      <c r="B8" s="80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325</v>
      </c>
      <c r="H8" t="s">
        <v>309</v>
      </c>
      <c r="I8">
        <v>0.75700000000000001</v>
      </c>
      <c r="J8">
        <v>2.0979999999999999</v>
      </c>
      <c r="O8" t="s">
        <v>331</v>
      </c>
      <c r="Q8" s="177">
        <v>46178</v>
      </c>
      <c r="S8" t="s">
        <v>474</v>
      </c>
    </row>
    <row r="9" spans="1:25" x14ac:dyDescent="0.25">
      <c r="A9" s="177">
        <v>46154</v>
      </c>
      <c r="B9" s="80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325</v>
      </c>
      <c r="H9" t="s">
        <v>309</v>
      </c>
      <c r="I9">
        <v>0.83499999999999996</v>
      </c>
      <c r="J9">
        <v>2.0950000000000002</v>
      </c>
      <c r="O9" t="s">
        <v>332</v>
      </c>
      <c r="Q9" s="177">
        <v>46178</v>
      </c>
      <c r="S9" t="s">
        <v>474</v>
      </c>
    </row>
    <row r="10" spans="1:25" x14ac:dyDescent="0.25">
      <c r="A10" s="177">
        <v>46157</v>
      </c>
      <c r="B10" s="80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325</v>
      </c>
      <c r="H10" t="s">
        <v>309</v>
      </c>
      <c r="I10">
        <v>0.71699999999999997</v>
      </c>
      <c r="J10">
        <v>2.0950000000000002</v>
      </c>
      <c r="O10" t="s">
        <v>333</v>
      </c>
      <c r="Q10" s="177">
        <v>46178</v>
      </c>
      <c r="S10" t="s">
        <v>474</v>
      </c>
    </row>
    <row r="11" spans="1:25" x14ac:dyDescent="0.25">
      <c r="A11" s="177">
        <v>46161</v>
      </c>
      <c r="B11" s="80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325</v>
      </c>
      <c r="H11" t="s">
        <v>309</v>
      </c>
      <c r="I11">
        <v>0.79800000000000004</v>
      </c>
      <c r="J11">
        <v>2.0910000000000002</v>
      </c>
      <c r="O11" t="s">
        <v>334</v>
      </c>
      <c r="Q11" s="177">
        <v>46178</v>
      </c>
      <c r="S11" t="s">
        <v>474</v>
      </c>
    </row>
    <row r="12" spans="1:25" x14ac:dyDescent="0.25">
      <c r="A12" s="80">
        <v>46171.162939814814</v>
      </c>
      <c r="B12" s="80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335</v>
      </c>
      <c r="H12" t="s">
        <v>309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340</v>
      </c>
      <c r="Q12" s="177">
        <v>46178</v>
      </c>
      <c r="S12" t="s">
        <v>474</v>
      </c>
    </row>
    <row r="13" spans="1:25" x14ac:dyDescent="0.25">
      <c r="A13" s="80">
        <v>46177.546539351853</v>
      </c>
      <c r="B13" s="80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325</v>
      </c>
      <c r="H13" t="s">
        <v>309</v>
      </c>
      <c r="I13">
        <v>0.84199999999999997</v>
      </c>
      <c r="J13">
        <v>1.99</v>
      </c>
      <c r="L13">
        <v>1.99</v>
      </c>
      <c r="M13">
        <v>2.1230000000000002</v>
      </c>
      <c r="O13" t="s">
        <v>475</v>
      </c>
      <c r="Q13" s="80">
        <v>46178.802534722221</v>
      </c>
      <c r="S13" t="s">
        <v>474</v>
      </c>
    </row>
    <row r="14" spans="1:25" x14ac:dyDescent="0.25">
      <c r="A14" s="80">
        <v>46178.334606481483</v>
      </c>
      <c r="B14" s="80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477</v>
      </c>
      <c r="H14" t="s">
        <v>309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478</v>
      </c>
      <c r="Q14" s="80">
        <v>46178.802534722221</v>
      </c>
      <c r="S14" t="s">
        <v>474</v>
      </c>
    </row>
    <row r="15" spans="1:25" x14ac:dyDescent="0.25">
      <c r="A15" s="80">
        <v>46182.863495370373</v>
      </c>
      <c r="B15" s="80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325</v>
      </c>
      <c r="H15" t="s">
        <v>309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514</v>
      </c>
      <c r="Q15" s="80">
        <v>46184.318182870367</v>
      </c>
      <c r="S15" t="s">
        <v>474</v>
      </c>
    </row>
    <row r="16" spans="1:25" x14ac:dyDescent="0.25">
      <c r="A16" s="80">
        <v>46186.347581018519</v>
      </c>
      <c r="B16" s="80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325</v>
      </c>
      <c r="H16" t="s">
        <v>309</v>
      </c>
      <c r="I16">
        <v>0.78900000000000003</v>
      </c>
      <c r="O16" t="s">
        <v>527</v>
      </c>
      <c r="Q16" s="80">
        <v>46186.347581018519</v>
      </c>
      <c r="S16" t="s">
        <v>474</v>
      </c>
    </row>
    <row r="17" spans="1:19" x14ac:dyDescent="0.25">
      <c r="A17" s="80">
        <v>46189.795393518521</v>
      </c>
      <c r="B17" s="80">
        <v>46189.083333333336</v>
      </c>
      <c r="C17" t="s">
        <v>99</v>
      </c>
      <c r="D17">
        <v>13162</v>
      </c>
      <c r="E17">
        <v>14.97</v>
      </c>
      <c r="F17">
        <v>0.79900000000000004</v>
      </c>
      <c r="G17" t="s">
        <v>325</v>
      </c>
      <c r="H17" t="s">
        <v>309</v>
      </c>
      <c r="I17">
        <v>0.79900000000000004</v>
      </c>
      <c r="J17">
        <v>1.9750000000000001</v>
      </c>
      <c r="L17">
        <v>1.889</v>
      </c>
      <c r="M17">
        <v>1.885</v>
      </c>
      <c r="O17" t="s">
        <v>537</v>
      </c>
      <c r="Q17" s="80">
        <v>46189.829444444447</v>
      </c>
      <c r="S17" t="s">
        <v>474</v>
      </c>
    </row>
    <row r="18" spans="1:19" x14ac:dyDescent="0.25">
      <c r="A18" s="80">
        <v>46190.985555555555</v>
      </c>
      <c r="B18" s="80">
        <v>25569.041666666668</v>
      </c>
      <c r="C18" t="s">
        <v>54</v>
      </c>
      <c r="D18">
        <v>0</v>
      </c>
      <c r="E18">
        <v>0</v>
      </c>
      <c r="F18">
        <v>0</v>
      </c>
      <c r="G18" t="s">
        <v>270</v>
      </c>
      <c r="H18" t="s">
        <v>302</v>
      </c>
      <c r="O18" t="s">
        <v>323</v>
      </c>
      <c r="Q18" s="80">
        <v>46190.985555555555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7" t="s">
        <v>406</v>
      </c>
    </row>
    <row r="2" spans="2:2" x14ac:dyDescent="0.25">
      <c r="B2" s="108" t="s">
        <v>407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showGridLines="0" showRowColHeaders="0" zoomScale="80" zoomScaleNormal="80" workbookViewId="0"/>
  </sheetViews>
  <sheetFormatPr baseColWidth="10" defaultRowHeight="15.75" x14ac:dyDescent="0.25"/>
  <cols>
    <col min="1" max="1" width="27.625" customWidth="1"/>
    <col min="2" max="2" width="13.625" customWidth="1"/>
    <col min="16" max="16" width="11" customWidth="1"/>
    <col min="52" max="54" width="0" hidden="1" customWidth="1"/>
  </cols>
  <sheetData>
    <row r="1" spans="1:54" ht="21.95" customHeight="1" x14ac:dyDescent="0.25">
      <c r="A1" s="175" t="s">
        <v>382</v>
      </c>
      <c r="B1" s="159"/>
      <c r="AZ1" t="s">
        <v>390</v>
      </c>
      <c r="BA1" t="s">
        <v>390</v>
      </c>
      <c r="BB1" t="s">
        <v>484</v>
      </c>
    </row>
    <row r="2" spans="1:54" ht="21" customHeight="1" x14ac:dyDescent="0.25">
      <c r="A2" s="181" t="s">
        <v>359</v>
      </c>
      <c r="B2" s="182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2"/>
      <c r="AZ2" t="s">
        <v>309</v>
      </c>
      <c r="BA2" t="s">
        <v>366</v>
      </c>
      <c r="BB2" t="s">
        <v>491</v>
      </c>
    </row>
    <row r="3" spans="1:54" ht="21" customHeight="1" x14ac:dyDescent="0.25">
      <c r="A3" s="167" t="s">
        <v>360</v>
      </c>
      <c r="B3" s="176">
        <v>200</v>
      </c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4"/>
      <c r="BA3" t="s">
        <v>480</v>
      </c>
      <c r="BB3" t="s">
        <v>491</v>
      </c>
    </row>
    <row r="4" spans="1:54" ht="21" customHeight="1" x14ac:dyDescent="0.25">
      <c r="A4" s="167" t="s">
        <v>391</v>
      </c>
      <c r="B4" s="176">
        <v>200</v>
      </c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4"/>
      <c r="BA4" t="s">
        <v>367</v>
      </c>
    </row>
    <row r="5" spans="1:54" ht="21" customHeight="1" x14ac:dyDescent="0.25">
      <c r="A5" s="167" t="s">
        <v>310</v>
      </c>
      <c r="B5" s="158" t="s">
        <v>390</v>
      </c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4"/>
      <c r="BA5" t="s">
        <v>488</v>
      </c>
    </row>
    <row r="6" spans="1:54" ht="21" customHeight="1" x14ac:dyDescent="0.25">
      <c r="A6" s="157" t="s">
        <v>389</v>
      </c>
      <c r="B6" s="158" t="s">
        <v>540</v>
      </c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4"/>
      <c r="BA6" t="s">
        <v>489</v>
      </c>
    </row>
    <row r="7" spans="1:54" ht="21" customHeight="1" x14ac:dyDescent="0.25">
      <c r="A7" s="167" t="s">
        <v>482</v>
      </c>
      <c r="B7" s="158" t="s">
        <v>484</v>
      </c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4"/>
      <c r="BA7" t="s">
        <v>490</v>
      </c>
    </row>
    <row r="8" spans="1:54" hidden="1" x14ac:dyDescent="0.25">
      <c r="A8" s="168" t="s">
        <v>483</v>
      </c>
      <c r="B8" s="189">
        <v>46190.986527777779</v>
      </c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4"/>
    </row>
    <row r="9" spans="1:54" hidden="1" x14ac:dyDescent="0.25">
      <c r="A9" s="168" t="s">
        <v>483</v>
      </c>
      <c r="B9" s="178">
        <v>46131</v>
      </c>
      <c r="C9" s="133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4"/>
    </row>
    <row r="10" spans="1:54" x14ac:dyDescent="0.25">
      <c r="A10" s="159"/>
      <c r="B10" s="155">
        <v>46189</v>
      </c>
      <c r="C10" s="133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4"/>
    </row>
    <row r="11" spans="1:54" x14ac:dyDescent="0.25">
      <c r="A11" s="159"/>
      <c r="B11" s="156"/>
      <c r="C11" s="133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4"/>
    </row>
    <row r="12" spans="1:54" ht="3.75" customHeight="1" x14ac:dyDescent="0.25">
      <c r="A12" s="135"/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4"/>
    </row>
    <row r="13" spans="1:54" ht="5.25" customHeight="1" x14ac:dyDescent="0.25">
      <c r="A13" s="135"/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4"/>
    </row>
    <row r="14" spans="1:54" ht="20.25" customHeight="1" x14ac:dyDescent="0.25">
      <c r="A14" s="135"/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4"/>
    </row>
    <row r="15" spans="1:54" ht="2.25" customHeight="1" x14ac:dyDescent="0.25">
      <c r="A15" s="136"/>
      <c r="B15" s="137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8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9"/>
  <sheetViews>
    <sheetView zoomScale="92" zoomScaleNormal="92" workbookViewId="0">
      <selection sqref="A1:XFD1"/>
    </sheetView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49.5" customHeight="1" x14ac:dyDescent="0.25"/>
    <row r="2" spans="2:6" ht="33.950000000000003" customHeight="1" x14ac:dyDescent="0.35">
      <c r="B2" s="111" t="s">
        <v>415</v>
      </c>
    </row>
    <row r="4" spans="2:6" x14ac:dyDescent="0.25">
      <c r="B4" s="101" t="s">
        <v>416</v>
      </c>
      <c r="C4" s="112" t="s">
        <v>366</v>
      </c>
    </row>
    <row r="5" spans="2:6" x14ac:dyDescent="0.25">
      <c r="B5" s="101" t="s">
        <v>427</v>
      </c>
      <c r="C5" s="112"/>
    </row>
    <row r="6" spans="2:6" x14ac:dyDescent="0.25">
      <c r="B6" s="102" t="s">
        <v>420</v>
      </c>
    </row>
    <row r="7" spans="2:6" x14ac:dyDescent="0.25">
      <c r="B7" s="113" t="s">
        <v>275</v>
      </c>
      <c r="C7" s="113" t="s">
        <v>421</v>
      </c>
      <c r="D7" s="113" t="s">
        <v>375</v>
      </c>
      <c r="E7" s="113" t="s">
        <v>422</v>
      </c>
    </row>
    <row r="8" spans="2:6" x14ac:dyDescent="0.25">
      <c r="B8" t="s">
        <v>423</v>
      </c>
      <c r="C8" s="115">
        <v>0.78014285714285714</v>
      </c>
      <c r="D8" s="96">
        <v>7</v>
      </c>
      <c r="E8" s="96" t="s">
        <v>426</v>
      </c>
      <c r="F8" s="114" t="s">
        <v>424</v>
      </c>
    </row>
    <row r="9" spans="2:6" x14ac:dyDescent="0.25">
      <c r="B9" t="s">
        <v>335</v>
      </c>
      <c r="C9" s="115">
        <v>0.84899999999999998</v>
      </c>
      <c r="D9" s="96">
        <v>1</v>
      </c>
      <c r="E9" s="96" t="s">
        <v>426</v>
      </c>
    </row>
  </sheetData>
  <dataValidations count="1">
    <dataValidation type="list" allowBlank="1" showInputMessage="1" showErrorMessage="1" sqref="C4" xr:uid="{FC83DAD3-0725-4D1A-BBD8-1FC930FF2181}">
      <formula1>"E85,Gazole,SP98"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zoomScale="122" zoomScaleNormal="122" workbookViewId="0"/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83" t="s">
        <v>398</v>
      </c>
      <c r="C2" s="184"/>
      <c r="D2" s="184"/>
    </row>
    <row r="4" spans="2:4" ht="24" customHeight="1" x14ac:dyDescent="0.25">
      <c r="B4" s="102" t="s">
        <v>408</v>
      </c>
    </row>
    <row r="5" spans="2:4" ht="21.95" customHeight="1" x14ac:dyDescent="0.25">
      <c r="B5" s="103" t="s">
        <v>399</v>
      </c>
      <c r="D5" s="104" t="s">
        <v>400</v>
      </c>
    </row>
    <row r="7" spans="2:4" ht="24" customHeight="1" x14ac:dyDescent="0.25">
      <c r="B7" s="102" t="s">
        <v>409</v>
      </c>
    </row>
    <row r="8" spans="2:4" ht="21.95" customHeight="1" x14ac:dyDescent="0.25">
      <c r="B8" s="103" t="s">
        <v>402</v>
      </c>
      <c r="D8" s="104" t="s">
        <v>403</v>
      </c>
    </row>
    <row r="10" spans="2:4" ht="24" customHeight="1" x14ac:dyDescent="0.25">
      <c r="B10" s="102" t="s">
        <v>410</v>
      </c>
    </row>
    <row r="11" spans="2:4" ht="21.95" customHeight="1" x14ac:dyDescent="0.25">
      <c r="B11" s="103" t="s">
        <v>401</v>
      </c>
      <c r="D11" s="105"/>
    </row>
    <row r="12" spans="2:4" ht="21.95" customHeight="1" x14ac:dyDescent="0.25">
      <c r="B12" s="103" t="s">
        <v>359</v>
      </c>
      <c r="D12" s="106"/>
    </row>
    <row r="13" spans="2:4" ht="21.95" customHeight="1" x14ac:dyDescent="0.25">
      <c r="B13" s="103" t="s">
        <v>360</v>
      </c>
      <c r="D13" s="106">
        <v>200</v>
      </c>
    </row>
    <row r="14" spans="2:4" ht="21.95" customHeight="1" x14ac:dyDescent="0.25">
      <c r="B14" s="103" t="s">
        <v>411</v>
      </c>
      <c r="D14" s="109">
        <v>15.159691403444878</v>
      </c>
    </row>
    <row r="15" spans="2:4" x14ac:dyDescent="0.25">
      <c r="B15" s="110" t="s">
        <v>412</v>
      </c>
    </row>
    <row r="16" spans="2:4" ht="24" customHeight="1" x14ac:dyDescent="0.25"/>
    <row r="17" spans="2:4" ht="24" customHeight="1" x14ac:dyDescent="0.25">
      <c r="B17" s="102" t="s">
        <v>404</v>
      </c>
    </row>
    <row r="18" spans="2:4" ht="21.95" customHeight="1" x14ac:dyDescent="0.25">
      <c r="B18" s="103" t="s">
        <v>405</v>
      </c>
      <c r="D18" s="104" t="s">
        <v>539</v>
      </c>
    </row>
    <row r="19" spans="2:4" ht="21.95" customHeight="1" x14ac:dyDescent="0.25"/>
    <row r="20" spans="2:4" ht="24" customHeight="1" x14ac:dyDescent="0.25">
      <c r="B20" s="102" t="s">
        <v>492</v>
      </c>
    </row>
    <row r="21" spans="2:4" ht="21.95" customHeight="1" x14ac:dyDescent="0.25">
      <c r="B21" s="140" t="s">
        <v>493</v>
      </c>
      <c r="D21" s="141" t="s">
        <v>494</v>
      </c>
    </row>
    <row r="22" spans="2:4" ht="21.95" customHeight="1" x14ac:dyDescent="0.25">
      <c r="B22" s="139" t="s">
        <v>495</v>
      </c>
      <c r="D22" s="142">
        <v>16</v>
      </c>
    </row>
    <row r="23" spans="2:4" ht="21.95" customHeight="1" x14ac:dyDescent="0.25">
      <c r="B23" s="139" t="s">
        <v>532</v>
      </c>
      <c r="D23" s="142">
        <v>12</v>
      </c>
    </row>
    <row r="24" spans="2:4" ht="21.95" customHeight="1" x14ac:dyDescent="0.25">
      <c r="B24" s="139" t="s">
        <v>496</v>
      </c>
      <c r="D24" s="142">
        <v>18</v>
      </c>
    </row>
    <row r="25" spans="2:4" ht="21.95" customHeight="1" x14ac:dyDescent="0.25">
      <c r="B25" s="139" t="s">
        <v>497</v>
      </c>
      <c r="D25" s="142">
        <v>15</v>
      </c>
    </row>
    <row r="26" spans="2:4" ht="21.95" customHeight="1" x14ac:dyDescent="0.25">
      <c r="B26" s="139" t="s">
        <v>533</v>
      </c>
      <c r="D26" s="142">
        <v>13</v>
      </c>
    </row>
    <row r="27" spans="2:4" ht="21.95" customHeight="1" x14ac:dyDescent="0.25">
      <c r="B27" s="139" t="s">
        <v>400</v>
      </c>
      <c r="D27" s="142">
        <v>15</v>
      </c>
    </row>
    <row r="28" spans="2:4" ht="21.95" customHeight="1" x14ac:dyDescent="0.25"/>
    <row r="30" spans="2:4" ht="24" customHeight="1" x14ac:dyDescent="0.25">
      <c r="B30" s="102" t="s">
        <v>498</v>
      </c>
    </row>
    <row r="31" spans="2:4" x14ac:dyDescent="0.25">
      <c r="B31" s="110" t="s">
        <v>499</v>
      </c>
    </row>
    <row r="33" spans="2:4" ht="21.95" customHeight="1" x14ac:dyDescent="0.25">
      <c r="B33" s="103" t="s">
        <v>500</v>
      </c>
      <c r="D33" s="143"/>
    </row>
    <row r="34" spans="2:4" ht="21.95" customHeight="1" x14ac:dyDescent="0.25">
      <c r="B34" s="103" t="s">
        <v>501</v>
      </c>
      <c r="D34" s="144"/>
    </row>
    <row r="35" spans="2:4" ht="21.95" customHeight="1" x14ac:dyDescent="0.25">
      <c r="B35" s="103" t="s">
        <v>502</v>
      </c>
      <c r="D35" s="145"/>
    </row>
    <row r="36" spans="2:4" ht="21.95" customHeight="1" x14ac:dyDescent="0.25">
      <c r="B36" s="103" t="s">
        <v>503</v>
      </c>
      <c r="D36" s="146"/>
    </row>
    <row r="37" spans="2:4" ht="21.95" customHeight="1" x14ac:dyDescent="0.25">
      <c r="B37" s="103" t="s">
        <v>504</v>
      </c>
      <c r="D37" s="147"/>
    </row>
    <row r="38" spans="2:4" ht="21.95" customHeight="1" x14ac:dyDescent="0.25">
      <c r="B38" s="103" t="s">
        <v>505</v>
      </c>
      <c r="D38" s="148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44"/>
  <sheetViews>
    <sheetView tabSelected="1" topLeftCell="A8" zoomScale="72" zoomScaleNormal="72" workbookViewId="0">
      <selection activeCell="B28" sqref="B28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/>
    <row r="2" spans="1:27" ht="50.1" customHeight="1" x14ac:dyDescent="0.25">
      <c r="A2" s="186" t="s">
        <v>71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Z2" s="70">
        <v>46271.863495370373</v>
      </c>
      <c r="AA2" s="70">
        <v>2</v>
      </c>
    </row>
    <row r="3" spans="1:27" ht="3.95" customHeight="1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</row>
    <row r="4" spans="1:27" ht="14.25" customHeight="1" x14ac:dyDescent="0.25">
      <c r="A4" s="24"/>
      <c r="B4" s="24"/>
      <c r="C4" s="24"/>
      <c r="D4" s="24"/>
      <c r="E4" s="24"/>
      <c r="F4" s="24"/>
      <c r="G4" s="24"/>
      <c r="H4" s="24"/>
      <c r="I4" s="24"/>
      <c r="J4"/>
      <c r="K4"/>
      <c r="L4"/>
      <c r="M4"/>
    </row>
    <row r="5" spans="1:27" ht="18.75" x14ac:dyDescent="0.25">
      <c r="A5" s="95" t="s">
        <v>5</v>
      </c>
      <c r="B5" s="25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6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40">
        <f>IFERROR(AVERAGEIFS(Tableau2[Conso. (L/100km)],Tableau2[Type],"SuperEthanol E85"),"")</f>
        <v>6.6531126385267232</v>
      </c>
      <c r="K6" s="22" t="s">
        <v>125</v>
      </c>
      <c r="L6" s="2"/>
      <c r="M6" s="2"/>
    </row>
    <row r="7" spans="1:27" x14ac:dyDescent="0.25">
      <c r="A7" s="4" t="s">
        <v>40</v>
      </c>
      <c r="B7" s="40">
        <f>IFERROR(AVERAGEIFS(Tableau2[Conso. (L/100km)],Tableau2[Type],"Super 98"),"")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9" cm="1">
        <f t="array" ref="J7">IFERROR(AVERAGE(IF((Tableau2[Type]="SuperEthanol E85")*(Tableau2[Nb. km]&lt;&gt;"")*(Tableau2[Nb. Litres]&lt;&gt;""),Tableau2[Nb. km]/Tableau2[Nb. Litres])),"")</f>
        <v>15.159691403444878</v>
      </c>
      <c r="K7" s="22" t="s">
        <v>125</v>
      </c>
      <c r="L7" s="2"/>
      <c r="M7" s="2"/>
    </row>
    <row r="8" spans="1:27" x14ac:dyDescent="0.25">
      <c r="A8" s="4" t="s">
        <v>185</v>
      </c>
      <c r="B8" s="69" cm="1">
        <f t="array" ref="B8">IFERROR(AVERAGE(IF((Tableau2[Type]="Super 98")*(Tableau2[Nb. km]&lt;&gt;"")*(Tableau2[Nb. Litres]&lt;&gt;""),Tableau2[Nb. km]/Tableau2[Nb. Litres])),"")</f>
        <v>18.536853422530164</v>
      </c>
      <c r="C8" s="22" t="s">
        <v>58</v>
      </c>
      <c r="D8" s="2"/>
      <c r="E8" s="2"/>
      <c r="F8" s="2"/>
      <c r="G8" s="53" t="s">
        <v>8</v>
      </c>
      <c r="H8" s="53"/>
      <c r="I8" s="53"/>
      <c r="J8" s="37">
        <f>IF(OR(B7="",B7=0,COUNTIF(Tableau2[Type],"SuperEthanol E85")=0),0.2,AVERAGEIFS(Tableau2[Conso. (L/100km)],Tableau2[Type],"SuperEthanol E85")/B7-1)</f>
        <v>0.23327747231834772</v>
      </c>
      <c r="K8" s="5" t="s">
        <v>41</v>
      </c>
      <c r="L8" s="2"/>
      <c r="M8" s="2"/>
    </row>
    <row r="9" spans="1:27" ht="7.5" customHeight="1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</row>
    <row r="10" spans="1:27" ht="18.75" x14ac:dyDescent="0.25">
      <c r="A10" s="94" t="s">
        <v>101</v>
      </c>
      <c r="B10" s="27"/>
      <c r="C10" s="28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8">
        <f>IFERROR(LOOKUP(9.99999999999999E+307,Tableau2[Économie cumulée (€)]),0)</f>
        <v>138.36773006972007</v>
      </c>
      <c r="C11" s="5" t="s">
        <v>103</v>
      </c>
      <c r="D11" s="2"/>
      <c r="E11" s="2"/>
      <c r="F11" s="2"/>
      <c r="G11" s="185" t="s">
        <v>106</v>
      </c>
      <c r="H11" s="185"/>
      <c r="I11" s="39"/>
      <c r="J11" s="35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46321.678721360622</v>
      </c>
      <c r="K11" s="32" t="s">
        <v>107</v>
      </c>
      <c r="L11" s="32"/>
      <c r="M11" s="32"/>
      <c r="N11" s="2"/>
    </row>
    <row r="12" spans="1:27" x14ac:dyDescent="0.25">
      <c r="A12" s="4" t="s">
        <v>104</v>
      </c>
      <c r="B12" s="38">
        <f>MAX(0,B6-B11)</f>
        <v>376.17226993027987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4">
        <f>IFERROR(IF(B12=0,LOOKUP(9.99999999999999E+307,Tableau2[Km compteur]),IF(OR(B13="-",B13=0),"En attente d'un plein E85",LOOKUP(9.99999999999999E+307,Tableau2[Km compteur])+B12/B13)),"En attente d'un plein E85")</f>
        <v>20809.538879048534</v>
      </c>
      <c r="K12" s="32" t="s">
        <v>195</v>
      </c>
      <c r="L12" s="32"/>
      <c r="M12" s="32"/>
      <c r="N12" s="2"/>
      <c r="O12" s="2"/>
      <c r="P12" s="2"/>
    </row>
    <row r="13" spans="1:27" x14ac:dyDescent="0.25">
      <c r="A13" s="4" t="s">
        <v>108</v>
      </c>
      <c r="B13" s="41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4.9188670483370091E-2</v>
      </c>
      <c r="C13" s="30"/>
      <c r="D13" s="30"/>
      <c r="E13" s="2"/>
      <c r="F13" s="2"/>
      <c r="G13" s="4" t="s">
        <v>118</v>
      </c>
      <c r="H13" s="4"/>
      <c r="I13" s="4"/>
      <c r="J13" s="33">
        <f>IFERROR(MIN(B11/B6,1),0)</f>
        <v>0.26891540029875244</v>
      </c>
      <c r="K13" s="32" t="s">
        <v>119</v>
      </c>
      <c r="L13" s="32"/>
      <c r="M13" s="32"/>
      <c r="N13" s="2"/>
      <c r="O13" s="2"/>
      <c r="P13" s="2"/>
    </row>
    <row r="14" spans="1:27" ht="11.25" customHeight="1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27" ht="18.75" x14ac:dyDescent="0.25">
      <c r="A15" s="94" t="s">
        <v>9</v>
      </c>
      <c r="B15" s="31"/>
      <c r="C15" s="29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1:27" ht="37.5" customHeight="1" x14ac:dyDescent="0.25">
      <c r="A16" s="74" t="s">
        <v>10</v>
      </c>
      <c r="B16" s="75" t="s">
        <v>0</v>
      </c>
      <c r="C16" s="75" t="s">
        <v>54</v>
      </c>
      <c r="D16" s="75" t="s">
        <v>11</v>
      </c>
      <c r="E16" s="75" t="s">
        <v>184</v>
      </c>
      <c r="F16" s="75" t="s">
        <v>55</v>
      </c>
      <c r="G16" s="75" t="s">
        <v>56</v>
      </c>
      <c r="H16" s="75" t="s">
        <v>98</v>
      </c>
      <c r="I16" s="76" t="s">
        <v>57</v>
      </c>
      <c r="J16" s="76" t="s">
        <v>12</v>
      </c>
      <c r="K16" s="75" t="s">
        <v>134</v>
      </c>
      <c r="L16" s="76" t="s">
        <v>81</v>
      </c>
      <c r="M16" s="77" t="s">
        <v>100</v>
      </c>
      <c r="N16" s="77" t="s">
        <v>13</v>
      </c>
      <c r="O16" s="76" t="s">
        <v>270</v>
      </c>
      <c r="Q16" s="42" t="s">
        <v>148</v>
      </c>
      <c r="R16" s="42" t="s">
        <v>13</v>
      </c>
      <c r="S16" s="42" t="s">
        <v>135</v>
      </c>
    </row>
    <row r="17" spans="1:19" x14ac:dyDescent="0.25">
      <c r="A17" s="43">
        <v>1</v>
      </c>
      <c r="B17" s="174">
        <f>IFERROR(INDEX(GS_Pleins[Date],ROW()-ROW(Tableau2[#Headers])),"")</f>
        <v>46131</v>
      </c>
      <c r="C17" s="89" t="str">
        <f>IFERROR(INDEX(GS_Pleins[Type],ROW()-ROW(Tableau2[#Headers])),"")</f>
        <v>Super 98</v>
      </c>
      <c r="D17" s="44">
        <f>IFERROR(INDEX(GS_Pleins[Km],ROW()-ROW(Tableau2[#Headers])),"")</f>
        <v>9812</v>
      </c>
      <c r="E17" s="58" t="str">
        <f>IF(AND(ISNUMBER(D16),Tableau2[[#This Row],[Km compteur]]&lt;&gt;""),Tableau2[[#This Row],[Km compteur]]-D16,"")</f>
        <v/>
      </c>
      <c r="F17" s="45">
        <f>IFERROR(INDEX(GS_Pleins[Litres],ROW()-ROW(Tableau2[#Headers])),"")</f>
        <v>11.4</v>
      </c>
      <c r="G17" s="46">
        <f>IFERROR(INDEX(GS_Pleins[PrixL],ROW()-ROW(Tableau2[#Headers])),"")</f>
        <v>1.9730000000000001</v>
      </c>
      <c r="H17" s="47" t="str">
        <f t="shared" ref="H17:H24" si="0">IF(OR(D17="",D16="",I17="",ISTEXT(D16)),"",F17/(D17-D16)*100)</f>
        <v/>
      </c>
      <c r="I17" s="48">
        <f t="shared" ref="I17:I24" si="1">IF(F17="","",F17*G17)</f>
        <v>22.4922</v>
      </c>
      <c r="J17" s="49" t="str">
        <f t="shared" ref="J17:J24" si="2">IF(OR(D17="",D16="",F17="",ISTEXT(D16)),"",F17/(D17-D16)*100)</f>
        <v/>
      </c>
      <c r="K17" s="50">
        <f>IF(Tableau2[[#This Row],[Type]]="Super 98",Tableau2[[#This Row],[Prix €/L]],"")</f>
        <v>1.9730000000000001</v>
      </c>
      <c r="L17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2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1" t="str">
        <f>IFERROR(INDEX(GS_Pleins[Station essence],ROW()-ROW(Tableau2[#Headers])),"")</f>
        <v>Carrefour - Flers</v>
      </c>
      <c r="Q17" s="1">
        <v>0</v>
      </c>
      <c r="R17" s="1">
        <v>0</v>
      </c>
      <c r="S17" s="1">
        <f>$B$6</f>
        <v>514.54</v>
      </c>
    </row>
    <row r="18" spans="1:19" x14ac:dyDescent="0.25">
      <c r="A18" s="43">
        <f t="shared" ref="A18:A24" si="3">IF(B18="","",A17+1)</f>
        <v>2</v>
      </c>
      <c r="B18" s="174">
        <f>IFERROR(INDEX(GS_Pleins[Date],ROW()-ROW(Tableau2[#Headers])),"")</f>
        <v>46135</v>
      </c>
      <c r="C18" s="89" t="str">
        <f>IFERROR(INDEX(GS_Pleins[Type],ROW()-ROW(Tableau2[#Headers])),"")</f>
        <v>Super 98</v>
      </c>
      <c r="D18" s="44">
        <f>IFERROR(INDEX(GS_Pleins[Km],ROW()-ROW(Tableau2[#Headers])),"")</f>
        <v>10094</v>
      </c>
      <c r="E18" s="58">
        <f>IF(AND(ISNUMBER(D17),Tableau2[[#This Row],[Km compteur]]&lt;&gt;""),Tableau2[[#This Row],[Km compteur]]-D17,"")</f>
        <v>282</v>
      </c>
      <c r="F18" s="45">
        <f>IFERROR(INDEX(GS_Pleins[Litres],ROW()-ROW(Tableau2[#Headers])),"")</f>
        <v>15.22</v>
      </c>
      <c r="G18" s="46">
        <f>IFERROR(INDEX(GS_Pleins[PrixL],ROW()-ROW(Tableau2[#Headers])),"")</f>
        <v>1.9259999999999999</v>
      </c>
      <c r="H18" s="47">
        <f t="shared" si="0"/>
        <v>5.3971631205673765</v>
      </c>
      <c r="I18" s="48">
        <f>IF(F18="","",F18*G18)</f>
        <v>29.31372</v>
      </c>
      <c r="J18" s="49">
        <f t="shared" si="2"/>
        <v>5.3971631205673765</v>
      </c>
      <c r="K18" s="50">
        <f>IF(Tableau2[[#This Row],[Type]]="Super 98",Tableau2[[#This Row],[Prix €/L]],"")</f>
        <v>1.9259999999999999</v>
      </c>
      <c r="L18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2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2" t="str">
        <f>IFERROR(INDEX(GS_Pleins[Station essence],ROW()-ROW(Tableau2[#Headers])),"")</f>
        <v>Carrefour - Flers</v>
      </c>
      <c r="Q18" s="1" cm="1">
        <f t="array" ref="Q18">IFERROR(IF(SMALL(IF((Tableau2[Type]="SuperEthanol E85")*(Tableau2[Économie cumulée (€)]&lt;&gt;""),ROW(Tableau2[Type])),1)&gt;0,1,NA()),NA())</f>
        <v>1</v>
      </c>
      <c r="R18" s="1" cm="1">
        <f t="array" ref="R18">IFERROR(INDEX(Tableau2[Économie cumulée (€)],SMALL(IF((Tableau2[Type]="SuperEthanol E85")*(Tableau2[Économie cumulée (€)]&lt;&gt;""),ROW(Tableau2[Type])-ROW(Tableau2[#Headers])),1)),NA())</f>
        <v>10.056345760719452</v>
      </c>
      <c r="S18" s="1">
        <f t="shared" ref="R18:S33" si="4">IF(ISNA(Q18),NA(),$B$6)</f>
        <v>514.54</v>
      </c>
    </row>
    <row r="19" spans="1:19" x14ac:dyDescent="0.25">
      <c r="A19" s="43">
        <f t="shared" si="3"/>
        <v>3</v>
      </c>
      <c r="B19" s="174">
        <f>IFERROR(INDEX(GS_Pleins[Date],ROW()-ROW(Tableau2[#Headers])),"")</f>
        <v>46140</v>
      </c>
      <c r="C19" s="89" t="str">
        <f>IFERROR(INDEX(GS_Pleins[Type],ROW()-ROW(Tableau2[#Headers])),"")</f>
        <v>Super 98</v>
      </c>
      <c r="D19" s="44">
        <f>IFERROR(INDEX(GS_Pleins[Km],ROW()-ROW(Tableau2[#Headers])),"")</f>
        <v>10349</v>
      </c>
      <c r="E19" s="58">
        <f>IF(AND(ISNUMBER(D18),Tableau2[[#This Row],[Km compteur]]&lt;&gt;""),Tableau2[[#This Row],[Km compteur]]-D18,"")</f>
        <v>255</v>
      </c>
      <c r="F19" s="45">
        <f>IFERROR(INDEX(GS_Pleins[Litres],ROW()-ROW(Tableau2[#Headers])),"")</f>
        <v>13.75</v>
      </c>
      <c r="G19" s="46">
        <f>IFERROR(INDEX(GS_Pleins[PrixL],ROW()-ROW(Tableau2[#Headers])),"")</f>
        <v>2.0310000000000001</v>
      </c>
      <c r="H19" s="47">
        <f t="shared" si="0"/>
        <v>5.3921568627450984</v>
      </c>
      <c r="I19" s="48">
        <f t="shared" si="1"/>
        <v>27.926250000000003</v>
      </c>
      <c r="J19" s="49">
        <f t="shared" si="2"/>
        <v>5.3921568627450984</v>
      </c>
      <c r="K19" s="50">
        <f>IF(Tableau2[[#This Row],[Type]]="Super 98",Tableau2[[#This Row],[Prix €/L]],"")</f>
        <v>2.0310000000000001</v>
      </c>
      <c r="L19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2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1" t="str">
        <f>IFERROR(INDEX(GS_Pleins[Station essence],ROW()-ROW(Tableau2[#Headers])),"")</f>
        <v>Leclerc - Douai</v>
      </c>
      <c r="Q19" s="1" cm="1">
        <f t="array" ref="Q19">IFERROR(IF(SMALL(IF((Tableau2[Type]="SuperEthanol E85")*(Tableau2[Économie cumulée (€)]&lt;&gt;""),ROW(Tableau2[Type])),2)&gt;0,2,NA()),NA())</f>
        <v>2</v>
      </c>
      <c r="R19" s="1" cm="1">
        <f t="array" ref="R19">IFERROR(INDEX(Tableau2[Économie cumulée (€)],SMALL(IF((Tableau2[Type]="SuperEthanol E85")*(Tableau2[Économie cumulée (€)]&lt;&gt;""),ROW(Tableau2[Type])-ROW(Tableau2[#Headers])),2)),NA())</f>
        <v>21.229537476500422</v>
      </c>
      <c r="S19" s="1">
        <f t="shared" si="4"/>
        <v>514.54</v>
      </c>
    </row>
    <row r="20" spans="1:19" x14ac:dyDescent="0.25">
      <c r="A20" s="43">
        <f t="shared" si="3"/>
        <v>4</v>
      </c>
      <c r="B20" s="174">
        <f>IFERROR(INDEX(GS_Pleins[Date],ROW()-ROW(Tableau2[#Headers])),"")</f>
        <v>46146</v>
      </c>
      <c r="C20" s="89" t="str">
        <f>IFERROR(INDEX(GS_Pleins[Type],ROW()-ROW(Tableau2[#Headers])),"")</f>
        <v>SuperEthanol E85</v>
      </c>
      <c r="D20" s="44">
        <f>IFERROR(INDEX(GS_Pleins[Km],ROW()-ROW(Tableau2[#Headers])),"")</f>
        <v>10553</v>
      </c>
      <c r="E20" s="58">
        <f>IF(AND(ISNUMBER(D19),Tableau2[[#This Row],[Km compteur]]&lt;&gt;""),Tableau2[[#This Row],[Km compteur]]-D19,"")</f>
        <v>204</v>
      </c>
      <c r="F20" s="45">
        <f>IFERROR(INDEX(GS_Pleins[Litres],ROW()-ROW(Tableau2[#Headers])),"")</f>
        <v>11.47</v>
      </c>
      <c r="G20" s="46">
        <f>IFERROR(INDEX(GS_Pleins[PrixL],ROW()-ROW(Tableau2[#Headers])),"")</f>
        <v>0.80900000000000005</v>
      </c>
      <c r="H20" s="47">
        <f t="shared" si="0"/>
        <v>5.6225490196078436</v>
      </c>
      <c r="I20" s="48">
        <f t="shared" si="1"/>
        <v>9.2792300000000019</v>
      </c>
      <c r="J20" s="49">
        <f t="shared" si="2"/>
        <v>5.6225490196078436</v>
      </c>
      <c r="K20" s="50">
        <v>2.0790000000000002</v>
      </c>
      <c r="L20" s="48">
        <f>IF(OR(Tableau2[[#This Row],[Type]]&lt;&gt;"SuperEthanol E85",Tableau2[[#This Row],[Nb. Litres]]="",Tableau2[[#This Row],[Prix S98 jour (€/L)]]=""),"",Tableau2[[#This Row],[Nb. Litres]]/(1+$J$8)*Tableau2[[#This Row],[Prix S98 jour (€/L)]])</f>
        <v>19.335575760719454</v>
      </c>
      <c r="M20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0.52009549056972415</v>
      </c>
      <c r="N20" s="52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10.056345760719452</v>
      </c>
      <c r="O20" s="91" t="str">
        <f>IFERROR(INDEX(GS_Pleins[Station essence],ROW()-ROW(Tableau2[#Headers])),"")</f>
        <v>E.Leclerc - Beuvry</v>
      </c>
      <c r="Q20" s="1" cm="1">
        <f t="array" ref="Q20">IFERROR(IF(SMALL(IF((Tableau2[Type]="SuperEthanol E85")*(Tableau2[Économie cumulée (€)]&lt;&gt;""),ROW(Tableau2[Type])),3)&gt;0,3,NA()),NA())</f>
        <v>3</v>
      </c>
      <c r="R20" s="1" cm="1">
        <f t="array" ref="R20">IFERROR(INDEX(Tableau2[Économie cumulée (€)],SMALL(IF((Tableau2[Type]="SuperEthanol E85")*(Tableau2[Économie cumulée (€)]&lt;&gt;""),ROW(Tableau2[Type])-ROW(Tableau2[#Headers])),3)),NA())</f>
        <v>35.656273720491299</v>
      </c>
      <c r="S20" s="1">
        <f t="shared" si="4"/>
        <v>514.54</v>
      </c>
    </row>
    <row r="21" spans="1:19" x14ac:dyDescent="0.25">
      <c r="A21" s="43">
        <f t="shared" si="3"/>
        <v>5</v>
      </c>
      <c r="B21" s="174">
        <f>IFERROR(INDEX(GS_Pleins[Date],ROW()-ROW(Tableau2[#Headers])),"")</f>
        <v>46148</v>
      </c>
      <c r="C21" s="89" t="str">
        <f>IFERROR(INDEX(GS_Pleins[Type],ROW()-ROW(Tableau2[#Headers])),"")</f>
        <v>SuperEthanol E85</v>
      </c>
      <c r="D21" s="44">
        <f>IFERROR(INDEX(GS_Pleins[Km],ROW()-ROW(Tableau2[#Headers])),"")</f>
        <v>10749</v>
      </c>
      <c r="E21" s="58">
        <f>IF(AND(ISNUMBER(D20),Tableau2[[#This Row],[Km compteur]]&lt;&gt;""),Tableau2[[#This Row],[Km compteur]]-D20,"")</f>
        <v>196</v>
      </c>
      <c r="F21" s="45">
        <f>IFERROR(INDEX(GS_Pleins[Litres],ROW()-ROW(Tableau2[#Headers])),"")</f>
        <v>11.71</v>
      </c>
      <c r="G21" s="46">
        <f>IFERROR(INDEX(GS_Pleins[PrixL],ROW()-ROW(Tableau2[#Headers])),"")</f>
        <v>0.747</v>
      </c>
      <c r="H21" s="47">
        <f t="shared" si="0"/>
        <v>5.9744897959183678</v>
      </c>
      <c r="I21" s="48">
        <f t="shared" si="1"/>
        <v>8.7473700000000001</v>
      </c>
      <c r="J21" s="49">
        <f t="shared" si="2"/>
        <v>5.9744897959183678</v>
      </c>
      <c r="K21" s="50">
        <v>2.0979999999999999</v>
      </c>
      <c r="L21" s="48">
        <f>IF(OR(Tableau2[[#This Row],[Type]]&lt;&gt;"SuperEthanol E85",Tableau2[[#This Row],[Nb. Litres]]="",Tableau2[[#This Row],[Prix S98 jour (€/L)]]=""),"",Tableau2[[#This Row],[Nb. Litres]]/(1+$J$8)*Tableau2[[#This Row],[Prix S98 jour (€/L)]])</f>
        <v>19.92056171578097</v>
      </c>
      <c r="M21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0.56088738235376279</v>
      </c>
      <c r="N21" s="52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21.229537476500422</v>
      </c>
      <c r="O21" s="91" t="str">
        <f>IFERROR(INDEX(GS_Pleins[Station essence],ROW()-ROW(Tableau2[#Headers])),"")</f>
        <v>E.Leclerc - Beuvry</v>
      </c>
      <c r="Q21" s="1" cm="1">
        <f t="array" ref="Q21">IFERROR(IF(SMALL(IF((Tableau2[Type]="SuperEthanol E85")*(Tableau2[Économie cumulée (€)]&lt;&gt;""),ROW(Tableau2[Type])),4)&gt;0,4,NA()),NA())</f>
        <v>4</v>
      </c>
      <c r="R21" s="1" cm="1">
        <f t="array" ref="R21">IFERROR(INDEX(Tableau2[Économie cumulée (€)],SMALL(IF((Tableau2[Type]="SuperEthanol E85")*(Tableau2[Économie cumulée (€)]&lt;&gt;""),ROW(Tableau2[Type])-ROW(Tableau2[#Headers])),4)),NA())</f>
        <v>47.696608424771583</v>
      </c>
      <c r="S21" s="1">
        <f t="shared" si="4"/>
        <v>514.54</v>
      </c>
    </row>
    <row r="22" spans="1:19" x14ac:dyDescent="0.25">
      <c r="A22" s="43">
        <f t="shared" si="3"/>
        <v>6</v>
      </c>
      <c r="B22" s="174">
        <f>IFERROR(INDEX(GS_Pleins[Date],ROW()-ROW(Tableau2[#Headers])),"")</f>
        <v>46151</v>
      </c>
      <c r="C22" s="89" t="str">
        <f>IFERROR(INDEX(GS_Pleins[Type],ROW()-ROW(Tableau2[#Headers])),"")</f>
        <v>SuperEthanol E85</v>
      </c>
      <c r="D22" s="44">
        <f>IFERROR(INDEX(GS_Pleins[Km],ROW()-ROW(Tableau2[#Headers])),"")</f>
        <v>10975</v>
      </c>
      <c r="E22" s="58">
        <f>IF(AND(ISNUMBER(D21),Tableau2[[#This Row],[Km compteur]]&lt;&gt;""),Tableau2[[#This Row],[Km compteur]]-D21,"")</f>
        <v>226</v>
      </c>
      <c r="F22" s="45">
        <f>IFERROR(INDEX(GS_Pleins[Litres],ROW()-ROW(Tableau2[#Headers])),"")</f>
        <v>15.28</v>
      </c>
      <c r="G22" s="46">
        <f>IFERROR(INDEX(GS_Pleins[PrixL],ROW()-ROW(Tableau2[#Headers])),"")</f>
        <v>0.75700000000000001</v>
      </c>
      <c r="H22" s="47">
        <f>IF(OR(D22="",D21="",I22="",ISTEXT(D21)),"",F22/(D22-D21)*100)</f>
        <v>6.7610619469026547</v>
      </c>
      <c r="I22" s="48">
        <f t="shared" si="1"/>
        <v>11.56696</v>
      </c>
      <c r="J22" s="49">
        <f t="shared" si="2"/>
        <v>6.7610619469026547</v>
      </c>
      <c r="K22" s="50">
        <v>2.0979999999999999</v>
      </c>
      <c r="L22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25.993696243990875</v>
      </c>
      <c r="M22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0.55500903405863233</v>
      </c>
      <c r="N22" s="52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35.656273720491299</v>
      </c>
      <c r="O22" s="91" t="str">
        <f>IFERROR(INDEX(GS_Pleins[Station essence],ROW()-ROW(Tableau2[#Headers])),"")</f>
        <v>E.Leclerc - Beuvry</v>
      </c>
      <c r="Q22" s="1" cm="1">
        <f t="array" ref="Q22">IFERROR(IF(SMALL(IF((Tableau2[Type]="SuperEthanol E85")*(Tableau2[Économie cumulée (€)]&lt;&gt;""),ROW(Tableau2[Type])),5)&gt;0,5,NA()),NA())</f>
        <v>5</v>
      </c>
      <c r="R22" s="1" cm="1">
        <f t="array" ref="R22">IFERROR(INDEX(Tableau2[Économie cumulée (€)],SMALL(IF((Tableau2[Type]="SuperEthanol E85")*(Tableau2[Économie cumulée (€)]&lt;&gt;""),ROW(Tableau2[Type])-ROW(Tableau2[#Headers])),5)),NA())</f>
        <v>60.822279543582724</v>
      </c>
      <c r="S22" s="1">
        <f t="shared" si="4"/>
        <v>514.54</v>
      </c>
    </row>
    <row r="23" spans="1:19" x14ac:dyDescent="0.25">
      <c r="A23" s="43">
        <f t="shared" si="3"/>
        <v>7</v>
      </c>
      <c r="B23" s="174">
        <f>IFERROR(INDEX(GS_Pleins[Date],ROW()-ROW(Tableau2[#Headers])),"")</f>
        <v>46154</v>
      </c>
      <c r="C23" s="90" t="str">
        <f>IFERROR(INDEX(GS_Pleins[Type],ROW()-ROW(Tableau2[#Headers])),"")</f>
        <v>SuperEthanol E85</v>
      </c>
      <c r="D23" s="58">
        <f>IFERROR(INDEX(GS_Pleins[Km],ROW()-ROW(Tableau2[#Headers])),"")</f>
        <v>11173</v>
      </c>
      <c r="E23" s="58">
        <f>IF(AND(ISNUMBER(D22),Tableau2[[#This Row],[Km compteur]]&lt;&gt;""),Tableau2[[#This Row],[Km compteur]]-D22,"")</f>
        <v>198</v>
      </c>
      <c r="F23" s="59">
        <f>IFERROR(INDEX(GS_Pleins[Litres],ROW()-ROW(Tableau2[#Headers])),"")</f>
        <v>13.94</v>
      </c>
      <c r="G23" s="60">
        <f>IFERROR(INDEX(GS_Pleins[PrixL],ROW()-ROW(Tableau2[#Headers])),"")</f>
        <v>0.83499999999999996</v>
      </c>
      <c r="H23" s="47">
        <f t="shared" si="0"/>
        <v>7.0404040404040398</v>
      </c>
      <c r="I23" s="48">
        <f>IF(F23="","",F23*G23)</f>
        <v>11.639899999999999</v>
      </c>
      <c r="J23" s="49">
        <f t="shared" si="2"/>
        <v>7.0404040404040398</v>
      </c>
      <c r="K23" s="61">
        <v>2.0950000000000002</v>
      </c>
      <c r="L23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23.680234704280281</v>
      </c>
      <c r="M23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0.50845504086595694</v>
      </c>
      <c r="N23" s="52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47.696608424771583</v>
      </c>
      <c r="O23" s="91" t="str">
        <f>IFERROR(INDEX(GS_Pleins[Station essence],ROW()-ROW(Tableau2[#Headers])),"")</f>
        <v>E.Leclerc - Beuvry</v>
      </c>
      <c r="Q23" s="1" cm="1">
        <f t="array" ref="Q23">IFERROR(IF(SMALL(IF((Tableau2[Type]="SuperEthanol E85")*(Tableau2[Économie cumulée (€)]&lt;&gt;""),ROW(Tableau2[Type])),6)&gt;0,6,NA()),NA())</f>
        <v>6</v>
      </c>
      <c r="R23" s="1" cm="1">
        <f t="array" ref="R23">IFERROR(INDEX(Tableau2[Économie cumulée (€)],SMALL(IF((Tableau2[Type]="SuperEthanol E85")*(Tableau2[Économie cumulée (€)]&lt;&gt;""),ROW(Tableau2[Type])-ROW(Tableau2[#Headers])),6)),NA())</f>
        <v>74.194764299700353</v>
      </c>
      <c r="S23" s="1">
        <f t="shared" si="4"/>
        <v>514.54</v>
      </c>
    </row>
    <row r="24" spans="1:19" x14ac:dyDescent="0.25">
      <c r="A24" s="43">
        <f t="shared" si="3"/>
        <v>8</v>
      </c>
      <c r="B24" s="174">
        <f>IFERROR(INDEX(GS_Pleins[Date],ROW()-ROW(Tableau2[#Headers])),"")</f>
        <v>46157</v>
      </c>
      <c r="C24" s="89" t="str">
        <f>IFERROR(INDEX(GS_Pleins[Type],ROW()-ROW(Tableau2[#Headers])),"")</f>
        <v>SuperEthanol E85</v>
      </c>
      <c r="D24" s="44">
        <f>IFERROR(INDEX(GS_Pleins[Km],ROW()-ROW(Tableau2[#Headers])),"")</f>
        <v>11376</v>
      </c>
      <c r="E24" s="58">
        <f>IF(AND(ISNUMBER(D23),Tableau2[[#This Row],[Km compteur]]&lt;&gt;""),Tableau2[[#This Row],[Km compteur]]-D23,"")</f>
        <v>203</v>
      </c>
      <c r="F24" s="45">
        <f>IFERROR(INDEX(GS_Pleins[Litres],ROW()-ROW(Tableau2[#Headers])),"")</f>
        <v>13.37</v>
      </c>
      <c r="G24" s="46">
        <f>IFERROR(INDEX(GS_Pleins[PrixL],ROW()-ROW(Tableau2[#Headers])),"")</f>
        <v>0.71699999999999997</v>
      </c>
      <c r="H24" s="47">
        <f t="shared" si="0"/>
        <v>6.5862068965517233</v>
      </c>
      <c r="I24" s="48">
        <f t="shared" si="1"/>
        <v>9.5862899999999982</v>
      </c>
      <c r="J24" s="49">
        <f t="shared" si="2"/>
        <v>6.5862068965517233</v>
      </c>
      <c r="K24" s="50">
        <v>2.0950000000000002</v>
      </c>
      <c r="L24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22.711961118811143</v>
      </c>
      <c r="M24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0.57791887940226483</v>
      </c>
      <c r="N24" s="52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60.822279543582724</v>
      </c>
      <c r="O24" s="91" t="str">
        <f>IFERROR(INDEX(GS_Pleins[Station essence],ROW()-ROW(Tableau2[#Headers])),"")</f>
        <v>E.Leclerc - Beuvry</v>
      </c>
      <c r="Q24" s="1" cm="1">
        <f t="array" ref="Q24">IFERROR(IF(SMALL(IF((Tableau2[Type]="SuperEthanol E85")*(Tableau2[Économie cumulée (€)]&lt;&gt;""),ROW(Tableau2[Type])),7)&gt;0,7,NA()),NA())</f>
        <v>7</v>
      </c>
      <c r="R24" s="1" cm="1">
        <f t="array" ref="R24">IFERROR(INDEX(Tableau2[Économie cumulée (€)],SMALL(IF((Tableau2[Type]="SuperEthanol E85")*(Tableau2[Économie cumulée (€)]&lt;&gt;""),ROW(Tableau2[Type])-ROW(Tableau2[#Headers])),7)),NA())</f>
        <v>89.121433107739648</v>
      </c>
      <c r="S24" s="1">
        <f t="shared" si="4"/>
        <v>514.54</v>
      </c>
    </row>
    <row r="25" spans="1:19" x14ac:dyDescent="0.25">
      <c r="A25" s="72">
        <f t="shared" ref="A25:A30" si="5">IF(B25="","",A24+1)</f>
        <v>9</v>
      </c>
      <c r="B25" s="174">
        <f>IFERROR(INDEX(GS_Pleins[Date],ROW()-ROW(Tableau2[#Headers])),"")</f>
        <v>46161</v>
      </c>
      <c r="C25" s="90" t="str">
        <f>IFERROR(INDEX(GS_Pleins[Type],ROW()-ROW(Tableau2[#Headers])),"")</f>
        <v>SuperEthanol E85</v>
      </c>
      <c r="D25" s="58">
        <f>IFERROR(INDEX(GS_Pleins[Km],ROW()-ROW(Tableau2[#Headers])),"")</f>
        <v>11596</v>
      </c>
      <c r="E25" s="58">
        <f>IF(AND(ISNUMBER(D24),Tableau2[[#This Row],[Km compteur]]&lt;&gt;""),Tableau2[[#This Row],[Km compteur]]-D24,"")</f>
        <v>220</v>
      </c>
      <c r="F25" s="59">
        <f>IFERROR(INDEX(GS_Pleins[Litres],ROW()-ROW(Tableau2[#Headers])),"")</f>
        <v>14.9</v>
      </c>
      <c r="G25" s="60">
        <f>IFERROR(INDEX(GS_Pleins[PrixL],ROW()-ROW(Tableau2[#Headers])),"")</f>
        <v>0.79800000000000004</v>
      </c>
      <c r="H25" s="71">
        <f t="shared" ref="H25:H30" si="6">IF(OR(D25="",D24="",I25="",ISTEXT(D24)),"",F25/(D25-D24)*100)</f>
        <v>6.7727272727272734</v>
      </c>
      <c r="I25" s="48">
        <f t="shared" ref="I25:I30" si="7">IF(F25="","",F25*G25)</f>
        <v>11.8902</v>
      </c>
      <c r="J25" s="49">
        <f t="shared" ref="J25:J30" si="8">IF(OR(D25="",D24="",F25="",ISTEXT(D24)),"",F25/(D25-D24)*100)</f>
        <v>6.7727272727272734</v>
      </c>
      <c r="K25" s="61">
        <v>2.0910000000000002</v>
      </c>
      <c r="L25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25.262684756117629</v>
      </c>
      <c r="M25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0.52933743524149146</v>
      </c>
      <c r="N25" s="52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74.194764299700353</v>
      </c>
      <c r="O25" s="91" t="str">
        <f>IFERROR(INDEX(GS_Pleins[Station essence],ROW()-ROW(Tableau2[#Headers])),"")</f>
        <v>E.Leclerc - Beuvry</v>
      </c>
      <c r="Q25" s="1" cm="1">
        <f t="array" ref="Q25">IFERROR(IF(SMALL(IF((Tableau2[Type]="SuperEthanol E85")*(Tableau2[Économie cumulée (€)]&lt;&gt;""),ROW(Tableau2[Type])),11)&gt;0,11,NA()),NA())</f>
        <v>11</v>
      </c>
      <c r="R25" s="1" cm="1">
        <f t="array" ref="R25">IFERROR(INDEX(Tableau2[Économie cumulée (€)],SMALL(IF((Tableau2[Type]="SuperEthanol E85")*(Tableau2[Économie cumulée (€)]&lt;&gt;""),ROW(Tableau2[Type])-ROW(Tableau2[#Headers])),11)),NA())</f>
        <v>138.36773006972007</v>
      </c>
      <c r="S25" s="1">
        <f t="shared" si="4"/>
        <v>514.54</v>
      </c>
    </row>
    <row r="26" spans="1:19" x14ac:dyDescent="0.25">
      <c r="A26" s="72">
        <f t="shared" si="5"/>
        <v>10</v>
      </c>
      <c r="B26" s="174">
        <f>IFERROR(INDEX(GS_Pleins[Date],ROW()-ROW(Tableau2[#Headers])),"")</f>
        <v>46164</v>
      </c>
      <c r="C26" s="90" t="str">
        <f>IFERROR(INDEX(GS_Pleins[Type],ROW()-ROW(Tableau2[#Headers])),"")</f>
        <v>SuperEthanol E85</v>
      </c>
      <c r="D26" s="58">
        <f>IFERROR(INDEX(GS_Pleins[Km],ROW()-ROW(Tableau2[#Headers])),"")</f>
        <v>11831</v>
      </c>
      <c r="E26" s="58">
        <f>IF(AND(ISNUMBER(D25),Tableau2[[#This Row],[Km compteur]]&lt;&gt;""),Tableau2[[#This Row],[Km compteur]]-D25,"")</f>
        <v>235</v>
      </c>
      <c r="F26" s="59">
        <f>IFERROR(INDEX(GS_Pleins[Litres],ROW()-ROW(Tableau2[#Headers])),"")</f>
        <v>16.25</v>
      </c>
      <c r="G26" s="60">
        <f>IFERROR(INDEX(GS_Pleins[PrixL],ROW()-ROW(Tableau2[#Headers])),"")</f>
        <v>0.79800000000000004</v>
      </c>
      <c r="H26" s="71">
        <f t="shared" si="6"/>
        <v>6.9148936170212769</v>
      </c>
      <c r="I26" s="48">
        <f t="shared" si="7"/>
        <v>12.967500000000001</v>
      </c>
      <c r="J26" s="49">
        <f t="shared" si="8"/>
        <v>6.9148936170212769</v>
      </c>
      <c r="K26" s="61">
        <v>2.117</v>
      </c>
      <c r="L26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27.894168808039296</v>
      </c>
      <c r="M26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0.53511789187055192</v>
      </c>
      <c r="N26" s="48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89.121433107739648</v>
      </c>
      <c r="O26" s="91" t="str">
        <f>IFERROR(INDEX(GS_Pleins[Station essence],ROW()-ROW(Tableau2[#Headers])),"")</f>
        <v>E.Leclerc - Beuvry</v>
      </c>
      <c r="Q26" s="1" t="e" cm="1">
        <f t="array" ref="Q26">IFERROR(IF(SMALL(IF((Tableau2[Type]="SuperEthanol E85")*(Tableau2[Économie cumulée (€)]&lt;&gt;""),ROW(Tableau2[Type])),14)&gt;0,14,NA()),NA())</f>
        <v>#N/A</v>
      </c>
      <c r="R26" s="1" t="e" cm="1">
        <f t="array" ref="R26">IFERROR(INDEX(Tableau2[Économie cumulée (€)],SMALL(IF((Tableau2[Type]="SuperEthanol E85")*(Tableau2[Économie cumulée (€)]&lt;&gt;""),ROW(Tableau2[Type])-ROW(Tableau2[#Headers])),14)),NA())</f>
        <v>#N/A</v>
      </c>
      <c r="S26" s="1" t="e">
        <f t="shared" si="4"/>
        <v>#N/A</v>
      </c>
    </row>
    <row r="27" spans="1:19" x14ac:dyDescent="0.25">
      <c r="A27" s="72">
        <f t="shared" si="5"/>
        <v>11</v>
      </c>
      <c r="B27" s="174">
        <f>IFERROR(INDEX(GS_Pleins[Date],ROW()-ROW(Tableau2[#Headers])),"")</f>
        <v>46170</v>
      </c>
      <c r="C27" s="90" t="str">
        <f>IFERROR(INDEX(GS_Pleins[Type],ROW()-ROW(Tableau2[#Headers])),"")</f>
        <v>SuperEthanol E85</v>
      </c>
      <c r="D27" s="58">
        <f>IFERROR(INDEX(GS_Pleins[Km],ROW()-ROW(Tableau2[#Headers])),"")</f>
        <v>12041</v>
      </c>
      <c r="E27" s="58">
        <f>IF(AND(ISNUMBER(D26),Tableau2[[#This Row],[Km compteur]]&lt;&gt;""),Tableau2[[#This Row],[Km compteur]]-D26,"")</f>
        <v>210</v>
      </c>
      <c r="F27" s="59">
        <f>IFERROR(INDEX(GS_Pleins[Litres],ROW()-ROW(Tableau2[#Headers])),"")</f>
        <v>13.23</v>
      </c>
      <c r="G27" s="60">
        <f>IFERROR(INDEX(GS_Pleins[PrixL],ROW()-ROW(Tableau2[#Headers])),"")</f>
        <v>0.84899999999999998</v>
      </c>
      <c r="H27" s="71">
        <f t="shared" si="6"/>
        <v>6.3</v>
      </c>
      <c r="I27" s="48">
        <f t="shared" si="7"/>
        <v>11.23227</v>
      </c>
      <c r="J27" s="49">
        <f t="shared" si="8"/>
        <v>6.3</v>
      </c>
      <c r="K27" s="61">
        <v>2.1789999999999998</v>
      </c>
      <c r="L27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23.375250620452864</v>
      </c>
      <c r="M27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0.51948023221740369</v>
      </c>
      <c r="N27" s="48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101.26441372819251</v>
      </c>
      <c r="O27" s="91" t="str">
        <f>IFERROR(INDEX(GS_Pleins[Station essence],ROW()-ROW(Tableau2[#Headers])),"")</f>
        <v>Carrefour - Flers</v>
      </c>
      <c r="Q27" s="1" t="e" cm="1">
        <f t="array" ref="Q27">IFERROR(IF(SMALL(IF((Tableau2[Type]="SuperEthanol E85")*(Tableau2[Économie cumulée (€)]&lt;&gt;""),ROW(Tableau2[Type])),15)&gt;0,15,NA()),NA())</f>
        <v>#N/A</v>
      </c>
      <c r="R27" s="1" t="e" cm="1">
        <f t="array" ref="R27">IFERROR(INDEX(Tableau2[Économie cumulée (€)],SMALL(IF((Tableau2[Type]="SuperEthanol E85")*(Tableau2[Économie cumulée (€)]&lt;&gt;""),ROW(Tableau2[Type])-ROW(Tableau2[#Headers])),15)),NA())</f>
        <v>#N/A</v>
      </c>
      <c r="S27" s="1" t="e">
        <f t="shared" si="4"/>
        <v>#N/A</v>
      </c>
    </row>
    <row r="28" spans="1:19" x14ac:dyDescent="0.25">
      <c r="A28" s="72">
        <f>IF(B29="","",A27+1)</f>
        <v>12</v>
      </c>
      <c r="B28" s="174"/>
      <c r="C28" s="90" t="str">
        <f>IFERROR(INDEX(GS_Pleins[Type],ROW()-ROW(Tableau2[#Headers])),"")</f>
        <v>SuperEthanol E85</v>
      </c>
      <c r="D28" s="58">
        <f>IFERROR(INDEX(GS_Pleins[Km],ROW()-ROW(Tableau2[#Headers])),"")</f>
        <v>12297</v>
      </c>
      <c r="E28" s="58">
        <f>IF(AND(ISNUMBER(D27),Tableau2[[#This Row],[Km compteur]]&lt;&gt;""),Tableau2[[#This Row],[Km compteur]]-D27,"")</f>
        <v>256</v>
      </c>
      <c r="F28" s="59">
        <f>IFERROR(INDEX(GS_Pleins[Litres],ROW()-ROW(Tableau2[#Headers])),"")</f>
        <v>15.61</v>
      </c>
      <c r="G28" s="60">
        <f>IFERROR(INDEX(GS_Pleins[PrixL],ROW()-ROW(Tableau2[#Headers])),"")</f>
        <v>0.79800000000000004</v>
      </c>
      <c r="H28" s="71">
        <f t="shared" si="6"/>
        <v>6.09765625</v>
      </c>
      <c r="I28" s="48">
        <f t="shared" si="7"/>
        <v>12.45678</v>
      </c>
      <c r="J28" s="49">
        <f t="shared" si="8"/>
        <v>6.09765625</v>
      </c>
      <c r="K28" s="61">
        <v>1.99</v>
      </c>
      <c r="L28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25.188086782778296</v>
      </c>
      <c r="M28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0.50544953622610977</v>
      </c>
      <c r="N28" s="48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113.9957205109708</v>
      </c>
      <c r="O28" s="91" t="str">
        <f>IFERROR(INDEX(GS_Pleins[Station essence],ROW()-ROW(Tableau2[#Headers])),"")</f>
        <v>E.Leclerc - Beuvry</v>
      </c>
      <c r="Q28" s="1" t="e" cm="1">
        <f t="array" ref="Q28">IFERROR(IF(SMALL(IF((Tableau2[Type]="SuperEthanol E85")*(Tableau2[Économie cumulée (€)]&lt;&gt;""),ROW(Tableau2[Type])),16)&gt;0,16,NA()),NA())</f>
        <v>#N/A</v>
      </c>
      <c r="R28" s="1" t="e" cm="1">
        <f t="array" ref="R28">IFERROR(INDEX(Tableau2[Économie cumulée (€)],SMALL(IF((Tableau2[Type]="SuperEthanol E85")*(Tableau2[Économie cumulée (€)]&lt;&gt;""),ROW(Tableau2[Type])-ROW(Tableau2[#Headers])),16)),NA())</f>
        <v>#N/A</v>
      </c>
      <c r="S28" s="1" t="e">
        <f t="shared" si="4"/>
        <v>#N/A</v>
      </c>
    </row>
    <row r="29" spans="1:19" x14ac:dyDescent="0.25">
      <c r="A29" s="72" t="e">
        <f>IF(#REF!="","",A28+1)</f>
        <v>#REF!</v>
      </c>
      <c r="B29" s="174">
        <f>IFERROR(INDEX(GS_Pleins[Date],ROW()-ROW(Tableau2[#Headers])),"")</f>
        <v>46177</v>
      </c>
      <c r="C29" s="90" t="str">
        <f>IFERROR(INDEX(GS_Pleins[Type],ROW()-ROW(Tableau2[#Headers])),"")</f>
        <v>SuperEthanol E85</v>
      </c>
      <c r="D29" s="58">
        <f>IFERROR(INDEX(GS_Pleins[Km],ROW()-ROW(Tableau2[#Headers])),"")</f>
        <v>12538</v>
      </c>
      <c r="E29" s="58">
        <f>IF(AND(ISNUMBER(D28),Tableau2[[#This Row],[Km compteur]]&lt;&gt;""),Tableau2[[#This Row],[Km compteur]]-D28,"")</f>
        <v>241</v>
      </c>
      <c r="F29" s="59">
        <f>IFERROR(INDEX(GS_Pleins[Litres],ROW()-ROW(Tableau2[#Headers])),"")</f>
        <v>15.09</v>
      </c>
      <c r="G29" s="60">
        <f>IFERROR(INDEX(GS_Pleins[PrixL],ROW()-ROW(Tableau2[#Headers])),"")</f>
        <v>0.72899999999999998</v>
      </c>
      <c r="H29" s="71">
        <f t="shared" si="6"/>
        <v>6.2614107883817427</v>
      </c>
      <c r="I29" s="48">
        <f t="shared" si="7"/>
        <v>11.00061</v>
      </c>
      <c r="J29" s="49">
        <f t="shared" si="8"/>
        <v>6.2614107883817427</v>
      </c>
      <c r="K29" s="61">
        <v>1.9770000000000001</v>
      </c>
      <c r="L29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24.189957791022703</v>
      </c>
      <c r="M29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0.54524062856849997</v>
      </c>
      <c r="N29" s="48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127.1850683019935</v>
      </c>
      <c r="O29" s="91" t="str">
        <f>IFERROR(INDEX(GS_Pleins[Station essence],ROW()-ROW(Tableau2[#Headers])),"")</f>
        <v>Total - Lille</v>
      </c>
      <c r="Q29" s="1" t="e" cm="1">
        <f t="array" ref="Q29">IFERROR(IF(SMALL(IF((Tableau2[Type]="SuperEthanol E85")*(Tableau2[Économie cumulée (€)]&lt;&gt;""),ROW(Tableau2[Type])),17)&gt;0,17,NA()),NA())</f>
        <v>#N/A</v>
      </c>
      <c r="R29" s="1" t="e" cm="1">
        <f t="array" ref="R29">IFERROR(INDEX(Tableau2[Économie cumulée (€)],SMALL(IF((Tableau2[Type]="SuperEthanol E85")*(Tableau2[Économie cumulée (€)]&lt;&gt;""),ROW(Tableau2[Type])-ROW(Tableau2[#Headers])),17)),NA())</f>
        <v>#N/A</v>
      </c>
      <c r="S29" s="1" t="e">
        <f t="shared" si="4"/>
        <v>#N/A</v>
      </c>
    </row>
    <row r="30" spans="1:19" x14ac:dyDescent="0.25">
      <c r="A30" s="72" t="e">
        <f t="shared" si="5"/>
        <v>#REF!</v>
      </c>
      <c r="B30" s="174">
        <f>IFERROR(INDEX(GS_Pleins[Date],ROW()-ROW(Tableau2[#Headers])),"")</f>
        <v>46182.083333333336</v>
      </c>
      <c r="C30" s="90" t="str">
        <f>IFERROR(INDEX(GS_Pleins[Type],ROW()-ROW(Tableau2[#Headers])),"")</f>
        <v>SuperEthanol E85</v>
      </c>
      <c r="D30" s="58">
        <f>IFERROR(INDEX(GS_Pleins[Km],ROW()-ROW(Tableau2[#Headers])),"")</f>
        <v>12706</v>
      </c>
      <c r="E30" s="58">
        <f>IF(AND(ISNUMBER(D29),Tableau2[[#This Row],[Km compteur]]&lt;&gt;""),Tableau2[[#This Row],[Km compteur]]-D29,"")</f>
        <v>168</v>
      </c>
      <c r="F30" s="59">
        <f>IFERROR(INDEX(GS_Pleins[Litres],ROW()-ROW(Tableau2[#Headers])),"")</f>
        <v>13.88</v>
      </c>
      <c r="G30" s="60">
        <f>IFERROR(INDEX(GS_Pleins[PrixL],ROW()-ROW(Tableau2[#Headers])),"")</f>
        <v>0.79900000000000004</v>
      </c>
      <c r="H30" s="71">
        <f t="shared" si="6"/>
        <v>8.2619047619047628</v>
      </c>
      <c r="I30" s="48">
        <f t="shared" si="7"/>
        <v>11.090120000000001</v>
      </c>
      <c r="J30" s="49">
        <f t="shared" si="8"/>
        <v>8.2619047619047628</v>
      </c>
      <c r="K30" s="61">
        <v>1.9790000000000001</v>
      </c>
      <c r="L30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22.272781767726567</v>
      </c>
      <c r="M30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0.50207746317212743</v>
      </c>
      <c r="N30" s="48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138.36773006972007</v>
      </c>
      <c r="O30" s="91" t="str">
        <f>IFERROR(INDEX(GS_Pleins[Station essence],ROW()-ROW(Tableau2[#Headers])),"")</f>
        <v>E.Leclerc - Beuvry</v>
      </c>
      <c r="Q30" s="1" t="e" cm="1">
        <f t="array" ref="Q30">IFERROR(IF(SMALL(IF((Tableau2[Type]="SuperEthanol E85")*(Tableau2[Économie cumulée (€)]&lt;&gt;""),ROW(Tableau2[Type])),18)&gt;0,18,NA()),NA())</f>
        <v>#N/A</v>
      </c>
      <c r="R30" s="1" t="e" cm="1">
        <f t="array" ref="R30">IFERROR(INDEX(Tableau2[Économie cumulée (€)],SMALL(IF((Tableau2[Type]="SuperEthanol E85")*(Tableau2[Économie cumulée (€)]&lt;&gt;""),ROW(Tableau2[Type])-ROW(Tableau2[#Headers])),18)),NA())</f>
        <v>#N/A</v>
      </c>
      <c r="S30" s="1" t="e">
        <f t="shared" si="4"/>
        <v>#N/A</v>
      </c>
    </row>
    <row r="31" spans="1:19" x14ac:dyDescent="0.25">
      <c r="A31" s="72" t="e">
        <f>IF(B31="","",A30+1)</f>
        <v>#REF!</v>
      </c>
      <c r="B31" s="174">
        <f>IFERROR(INDEX(GS_Pleins[Date],ROW()-ROW(Tableau2[#Headers])),"")</f>
        <v>46185.083333333336</v>
      </c>
      <c r="C31" s="90" t="str">
        <f>IFERROR(INDEX(GS_Pleins[Type],ROW()-ROW(Tableau2[#Headers])),"")</f>
        <v>SuperEthanol E85</v>
      </c>
      <c r="D31" s="58">
        <f>IFERROR(INDEX(GS_Pleins[Km],ROW()-ROW(Tableau2[#Headers])),"")</f>
        <v>12941</v>
      </c>
      <c r="E31" s="58">
        <f>IF(AND(ISNUMBER(D30),Tableau2[[#This Row],[Km compteur]]&lt;&gt;""),Tableau2[[#This Row],[Km compteur]]-D30,"")</f>
        <v>235</v>
      </c>
      <c r="F31" s="59">
        <f>IFERROR(INDEX(GS_Pleins[Litres],ROW()-ROW(Tableau2[#Headers])),"")</f>
        <v>16.739999999999998</v>
      </c>
      <c r="G31" s="60">
        <f>IFERROR(INDEX(GS_Pleins[PrixL],ROW()-ROW(Tableau2[#Headers])),"")</f>
        <v>0.79900000000000004</v>
      </c>
      <c r="H31" s="71">
        <f>IF(OR(D31="",D30="",I31="",ISTEXT(D30)),"",F31/(D31-D30)*100)</f>
        <v>7.1234042553191479</v>
      </c>
      <c r="I31" s="48">
        <f>IF(F31="","",F31*G31)</f>
        <v>13.375259999999999</v>
      </c>
      <c r="J31" s="49">
        <f>IF(OR(D31="",D30="",F31="",ISTEXT(D30)),"",F31/(D31-D30)*100)</f>
        <v>7.1234042553191479</v>
      </c>
      <c r="K31" s="61" t="str">
        <f>IF(Tableau2[[#This Row],[Type]]="Super 98",Tableau2[[#This Row],[Prix €/L]],"")</f>
        <v/>
      </c>
      <c r="L31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31" s="57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31" s="48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138.36773006972007</v>
      </c>
      <c r="O31" s="91" t="str">
        <f>IFERROR(INDEX(GS_Pleins[Station essence],ROW()-ROW(Tableau2[#Headers])),"")</f>
        <v>E.Leclerc - Beuvry</v>
      </c>
      <c r="Q31" s="1" t="e" cm="1">
        <f t="array" ref="Q31">IFERROR(IF(SMALL(IF((Tableau2[Type]="SuperEthanol E85")*(Tableau2[Économie cumulée (€)]&lt;&gt;""),ROW(Tableau2[Type])),19)&gt;0,19,NA()),NA())</f>
        <v>#N/A</v>
      </c>
      <c r="R31" s="1" t="e" cm="1">
        <f t="array" ref="R31">IFERROR(INDEX(Tableau2[Économie cumulée (€)],SMALL(IF((Tableau2[Type]="SuperEthanol E85")*(Tableau2[Économie cumulée (€)]&lt;&gt;""),ROW(Tableau2[Type])-ROW(Tableau2[#Headers])),19)),NA())</f>
        <v>#N/A</v>
      </c>
      <c r="S31" s="1" t="e">
        <f t="shared" si="4"/>
        <v>#N/A</v>
      </c>
    </row>
    <row r="32" spans="1:19" x14ac:dyDescent="0.25">
      <c r="A32" s="72" t="e">
        <f>IF(B32="","",A31+1)</f>
        <v>#REF!</v>
      </c>
      <c r="B32" s="174">
        <f>IFERROR(INDEX(GS_Pleins[Date],ROW()-ROW(Tableau2[#Headers])),"")</f>
        <v>46189.083333333336</v>
      </c>
      <c r="C32" s="90" t="str">
        <f>IFERROR(INDEX(GS_Pleins[Type],ROW()-ROW(Tableau2[#Headers])),"")</f>
        <v>SuperEthanol E85</v>
      </c>
      <c r="D32" s="58">
        <f>IFERROR(INDEX(GS_Pleins[Km],ROW()-ROW(Tableau2[#Headers])),"")</f>
        <v>13162</v>
      </c>
      <c r="E32" s="58">
        <f>IF(AND(ISNUMBER(D31),Tableau2[[#This Row],[Km compteur]]&lt;&gt;""),Tableau2[[#This Row],[Km compteur]]-D31,"")</f>
        <v>221</v>
      </c>
      <c r="F32" s="59">
        <f>IFERROR(INDEX(GS_Pleins[Litres],ROW()-ROW(Tableau2[#Headers])),"")</f>
        <v>14.97</v>
      </c>
      <c r="G32" s="60">
        <f>IFERROR(INDEX(GS_Pleins[PrixL],ROW()-ROW(Tableau2[#Headers])),"")</f>
        <v>0.79900000000000004</v>
      </c>
      <c r="H32" s="71">
        <f>IF(OR(D32="",D31="",I32="",ISTEXT(D31)),"",F32/(D32-D31)*100)</f>
        <v>6.7737556561085972</v>
      </c>
      <c r="I32" s="48">
        <f>IF(F32="","",F32*G32)</f>
        <v>11.961030000000001</v>
      </c>
      <c r="J32" s="49">
        <f>IF(OR(D32="",D31="",F32="",ISTEXT(D31)),"",F32/(D32-D31)*100)</f>
        <v>6.7737556561085972</v>
      </c>
      <c r="K32" s="61" t="str">
        <f>IF(Tableau2[[#This Row],[Type]]="Super 98",Tableau2[[#This Row],[Prix €/L]],"")</f>
        <v/>
      </c>
      <c r="L32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32" s="57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32" s="48">
        <f>IF(Tableau2[[#This Row],[Type]]&lt;&gt;"SuperEthanol E85","",IF(Tableau2[[#This Row],[Coût Plein (€)]]="","",IF(ISNUMBER(Tableau2[[#This Row],[Coût Plein équiv. S98 (€)]]),IF(ISNUMBER(N31),N31,0)+(Tableau2[[#This Row],[Coût Plein équiv. S98 (€)]]-Tableau2[[#This Row],[Coût Plein (€)]]),IF(ISNUMBER(N31),N31,""))))</f>
        <v>138.36773006972007</v>
      </c>
      <c r="O32" s="91" t="str">
        <f>IFERROR(INDEX(GS_Pleins[Station essence],ROW()-ROW(Tableau2[#Headers])),"")</f>
        <v>E.Leclerc - Beuvry</v>
      </c>
      <c r="P32" s="1" t="e" cm="1">
        <f t="array" ref="P32">IFERROR(IF(SMALL(IF((Tableau2[Type]="SuperEthanol E85")*(Tableau2[Économie cumulée (€)]&lt;&gt;""),ROW(Tableau2[Type])),20)&gt;0,20,NA()),NA())</f>
        <v>#N/A</v>
      </c>
      <c r="Q32" s="1" t="e" cm="1">
        <f t="array" ref="Q32">IFERROR(INDEX(Tableau2[Économie cumulée (€)],SMALL(IF((Tableau2[Type]="SuperEthanol E85")*(Tableau2[Économie cumulée (€)]&lt;&gt;""),ROW(Tableau2[Type])-ROW(Tableau2[#Headers])),20)),NA())</f>
        <v>#N/A</v>
      </c>
      <c r="R32" s="1" t="e">
        <f t="shared" si="4"/>
        <v>#N/A</v>
      </c>
    </row>
    <row r="33" spans="1:27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P33" s="1" t="e" cm="1">
        <f t="array" ref="P33">IFERROR(IF(SMALL(IF((Tableau2[Type]="SuperEthanol E85")*(Tableau2[Économie cumulée (€)]&lt;&gt;""),ROW(Tableau2[Type])),21)&gt;0,21,NA()),NA())</f>
        <v>#N/A</v>
      </c>
      <c r="Q33" s="1" t="e" cm="1">
        <f t="array" ref="Q33">IFERROR(INDEX(Tableau2[Économie cumulée (€)],SMALL(IF((Tableau2[Type]="SuperEthanol E85")*(Tableau2[Économie cumulée (€)]&lt;&gt;""),ROW(Tableau2[Type])-ROW(Tableau2[#Headers])),21)),NA())</f>
        <v>#N/A</v>
      </c>
      <c r="R33" s="1" t="e">
        <f t="shared" si="4"/>
        <v>#N/A</v>
      </c>
    </row>
    <row r="34" spans="1:27" ht="18.75" x14ac:dyDescent="0.25">
      <c r="A34" s="95" t="s">
        <v>14</v>
      </c>
      <c r="B34" s="3"/>
      <c r="C34" s="3"/>
      <c r="D34" s="3"/>
      <c r="E34" s="3"/>
      <c r="F34" s="2"/>
      <c r="G34" s="13" t="s">
        <v>18</v>
      </c>
      <c r="H34" s="14"/>
      <c r="I34" s="14"/>
      <c r="J34" s="14"/>
      <c r="K34" s="14"/>
      <c r="L34" s="14"/>
      <c r="M34" s="2"/>
    </row>
    <row r="35" spans="1:27" x14ac:dyDescent="0.25">
      <c r="A35" s="4" t="s">
        <v>66</v>
      </c>
      <c r="B35" s="6">
        <f>COUNTIF(C17:C32,"SuperEthanol E85")</f>
        <v>13</v>
      </c>
      <c r="C35" s="6"/>
      <c r="D35" s="6"/>
      <c r="E35" s="6"/>
      <c r="F35" s="2"/>
      <c r="G35" s="15" t="s">
        <v>19</v>
      </c>
      <c r="H35" s="15"/>
      <c r="I35" s="15"/>
      <c r="J35" s="62">
        <f>SUM(L17:L32)</f>
        <v>259.82496006972008</v>
      </c>
      <c r="K35" s="15"/>
      <c r="L35" s="15"/>
      <c r="M35" s="5" t="s">
        <v>20</v>
      </c>
    </row>
    <row r="36" spans="1:27" x14ac:dyDescent="0.25">
      <c r="A36" s="7" t="s">
        <v>65</v>
      </c>
      <c r="B36" s="18">
        <f>COUNTIF(C17:C32,"Super 98")</f>
        <v>3</v>
      </c>
      <c r="C36" s="8"/>
      <c r="D36" s="8"/>
      <c r="E36" s="8"/>
      <c r="F36" s="2"/>
      <c r="G36" s="16" t="s">
        <v>21</v>
      </c>
      <c r="H36" s="16"/>
      <c r="I36" s="16"/>
      <c r="J36" s="63">
        <f>IF(J35=0,"",J35-B41)</f>
        <v>113.03144006972011</v>
      </c>
      <c r="K36" s="16"/>
      <c r="L36" s="16"/>
      <c r="M36" s="5" t="s">
        <v>22</v>
      </c>
    </row>
    <row r="37" spans="1:27" x14ac:dyDescent="0.25">
      <c r="A37" s="4" t="s">
        <v>15</v>
      </c>
      <c r="B37" s="19">
        <f>IF(COUNTA(D17:D32)&lt;2,"",MAX(D17:D32)-MIN(D17:D32))</f>
        <v>3350</v>
      </c>
      <c r="C37" s="9"/>
      <c r="D37" s="9"/>
      <c r="E37" s="9"/>
      <c r="F37" s="2"/>
      <c r="G37" s="17" t="s">
        <v>23</v>
      </c>
      <c r="H37" s="15"/>
      <c r="I37" s="15"/>
      <c r="J37" s="64">
        <f>IF(J36="","",J36-B6)</f>
        <v>-401.50855993027983</v>
      </c>
      <c r="K37" s="15"/>
      <c r="L37" s="15"/>
      <c r="M37" s="5" t="s">
        <v>24</v>
      </c>
    </row>
    <row r="38" spans="1:27" x14ac:dyDescent="0.25">
      <c r="A38" s="55" t="s">
        <v>181</v>
      </c>
      <c r="B38" s="56">
        <f>IFERROR((LOOKUP(9.99999999999999E+307,Tableau2[Km compteur])-INDEX(Tableau2[Km compteur],1))/(LOOKUP(9.99999999999999E+307,Tableau2[Date])-INDEX(Tableau2[Date],1))*7,"-")</f>
        <v>403.73027259682681</v>
      </c>
      <c r="C38" s="8"/>
      <c r="D38" s="8"/>
      <c r="E38" s="8"/>
      <c r="F38" s="2"/>
      <c r="G38" s="16" t="s">
        <v>25</v>
      </c>
      <c r="H38" s="16"/>
      <c r="I38" s="16"/>
      <c r="J38" s="65">
        <f>IF(OR(B6="",B6=0,J36=""),"",MIN(J36/B6,1))</f>
        <v>0.21967473873696916</v>
      </c>
      <c r="K38" s="16"/>
      <c r="L38" s="16"/>
      <c r="M38" s="2"/>
    </row>
    <row r="39" spans="1:27" x14ac:dyDescent="0.25">
      <c r="A39" s="4" t="s">
        <v>182</v>
      </c>
      <c r="B39" s="54">
        <f>IFERROR((LOOKUP(9.99999999999999E+307,Tableau2[Km compteur])-INDEX(Tableau2[Km compteur],1))/(LOOKUP(9.99999999999999E+307,Tableau2[Date])-INDEX(Tableau2[Date],1))*30.4375,"-")</f>
        <v>1755.505738880845</v>
      </c>
      <c r="C39" s="9"/>
      <c r="D39" s="9"/>
      <c r="E39" s="9"/>
      <c r="F39" s="2"/>
      <c r="G39" s="15" t="s">
        <v>26</v>
      </c>
      <c r="H39" s="15"/>
      <c r="I39" s="15"/>
      <c r="J39" s="15" t="str">
        <f>IF(J37="","",IF(J37&gt;=0,"✅ OUI ! Rentabilisé !","❌ Pas encore... Encore "&amp;TEXT(ABS(J37),"#,##")&amp;" € à économiser"))</f>
        <v>❌ Pas encore... Encore 401,51 € à économiser</v>
      </c>
      <c r="K39" s="15"/>
      <c r="L39" s="15"/>
      <c r="M39" s="2"/>
    </row>
    <row r="40" spans="1:27" x14ac:dyDescent="0.25">
      <c r="A40" s="7" t="s">
        <v>16</v>
      </c>
      <c r="B40" s="20">
        <f>SUMIF(C17:C32,"SuperEthanol E85",F17:F32)</f>
        <v>186.44</v>
      </c>
      <c r="C40" s="10"/>
      <c r="D40" s="10"/>
      <c r="E40" s="10"/>
      <c r="F40" s="2"/>
      <c r="G40" s="66"/>
      <c r="H40" s="66"/>
      <c r="I40" s="66"/>
      <c r="J40" s="66"/>
      <c r="K40" s="66"/>
      <c r="L40" s="66"/>
      <c r="M40" s="2"/>
      <c r="AA40"/>
    </row>
    <row r="41" spans="1:27" x14ac:dyDescent="0.25">
      <c r="A41" s="4" t="s">
        <v>17</v>
      </c>
      <c r="B41" s="21">
        <f>SUMIF(C17:C32,"SuperEthanol E85",I17:I32)</f>
        <v>146.79351999999997</v>
      </c>
      <c r="C41" s="9"/>
      <c r="D41" s="9"/>
      <c r="E41" s="9"/>
      <c r="F41" s="2"/>
      <c r="G41" s="15" t="s">
        <v>39</v>
      </c>
      <c r="H41" s="15"/>
      <c r="I41" s="15"/>
      <c r="J41" s="68">
        <f>IF(OR(J36="",B37="",B37=0),"",J36/B37*100)</f>
        <v>3.374072837902093</v>
      </c>
      <c r="K41" s="15"/>
      <c r="L41" s="15"/>
      <c r="M41" s="2"/>
    </row>
    <row r="42" spans="1:27" x14ac:dyDescent="0.25">
      <c r="A42" s="7" t="s">
        <v>59</v>
      </c>
      <c r="B42" s="20">
        <f>IFERROR(AVERAGEIFS(J17:J32,C17:C32,"SuperEthanol E85"),"")</f>
        <v>6.6531126385267232</v>
      </c>
      <c r="C42" s="11"/>
      <c r="D42" s="11"/>
      <c r="E42" s="11"/>
      <c r="F42" s="2"/>
      <c r="G42" s="16" t="s">
        <v>183</v>
      </c>
      <c r="H42" s="16"/>
      <c r="I42" s="16"/>
      <c r="J42" s="67">
        <f>IF(OR(J41="",J41&lt;=0,J37=""),"",IF(J37&gt;=0,0,ROUNDUP(ABS(J37)/J41*100,0)))</f>
        <v>11900</v>
      </c>
      <c r="K42" s="16"/>
      <c r="L42" s="16"/>
      <c r="M42" s="2"/>
    </row>
    <row r="43" spans="1:27" x14ac:dyDescent="0.25">
      <c r="A43" s="4" t="s">
        <v>60</v>
      </c>
      <c r="B43" s="9">
        <f>IFERROR(AVERAGEIFS(J17:J32,C17:C32,"Super 98"),"")</f>
        <v>5.394659991656237</v>
      </c>
      <c r="C43" s="12"/>
      <c r="D43" s="12"/>
      <c r="E43" s="12"/>
      <c r="F43" s="2"/>
      <c r="G43" s="2"/>
      <c r="H43" s="2"/>
      <c r="I43" s="2"/>
      <c r="J43" s="2"/>
      <c r="K43" s="2"/>
      <c r="L43" s="2"/>
    </row>
    <row r="44" spans="1:27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</sheetData>
  <sheetProtection sheet="1" formatColumns="0" selectLockedCells="1"/>
  <mergeCells count="2">
    <mergeCell ref="G11:H11"/>
    <mergeCell ref="A2:O2"/>
  </mergeCells>
  <phoneticPr fontId="15" type="noConversion"/>
  <conditionalFormatting sqref="K17:K32">
    <cfRule type="expression" dxfId="95" priority="2">
      <formula>AND($C17="SuperEthanol E85",$K17="")</formula>
    </cfRule>
  </conditionalFormatting>
  <conditionalFormatting sqref="G17:G32">
    <cfRule type="expression" dxfId="94" priority="3">
      <formula>AND($G17&lt;&gt;"",ISNUMBER($G17),$G17&lt;AVERAGEIFS(G:G,C:C,$C17,G:G,"&gt;="&amp;$G17-30,G:G," &lt;="&amp;$G17))</formula>
    </cfRule>
    <cfRule type="expression" dxfId="93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2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O32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7" customWidth="1"/>
    <col min="2" max="8" width="13.625" style="117" customWidth="1"/>
    <col min="9" max="16384" width="9" style="124"/>
  </cols>
  <sheetData>
    <row r="1" spans="1:8" ht="29.25" customHeight="1" x14ac:dyDescent="0.25">
      <c r="A1" s="161"/>
      <c r="B1" s="161"/>
      <c r="C1" s="161"/>
      <c r="D1" s="161"/>
      <c r="E1" s="161"/>
      <c r="F1" s="161"/>
      <c r="G1" s="161"/>
      <c r="H1" s="161"/>
    </row>
    <row r="2" spans="1:8" ht="18.75" customHeight="1" x14ac:dyDescent="0.25">
      <c r="A2" s="119" t="s">
        <v>275</v>
      </c>
      <c r="B2" s="119" t="s">
        <v>294</v>
      </c>
      <c r="C2" s="119" t="s">
        <v>295</v>
      </c>
      <c r="D2" s="119" t="s">
        <v>471</v>
      </c>
      <c r="E2" s="119" t="s">
        <v>296</v>
      </c>
      <c r="F2" s="119" t="s">
        <v>297</v>
      </c>
      <c r="G2" s="119" t="s">
        <v>298</v>
      </c>
      <c r="H2" s="119" t="s">
        <v>472</v>
      </c>
    </row>
    <row r="3" spans="1:8" ht="16.5" customHeight="1" x14ac:dyDescent="0.25">
      <c r="A3" s="125" t="s">
        <v>335</v>
      </c>
      <c r="B3" s="120">
        <v>0.745</v>
      </c>
      <c r="C3" s="120">
        <v>1.976</v>
      </c>
      <c r="D3" s="120">
        <v>1.911</v>
      </c>
      <c r="E3" s="120">
        <v>1.9419999999999999</v>
      </c>
      <c r="F3" s="120">
        <v>1.9239999999999999</v>
      </c>
      <c r="G3" s="120">
        <v>0.96899999999999997</v>
      </c>
      <c r="H3" s="121">
        <v>46177</v>
      </c>
    </row>
    <row r="4" spans="1:8" ht="16.5" customHeight="1" x14ac:dyDescent="0.25">
      <c r="A4" s="126" t="s">
        <v>325</v>
      </c>
      <c r="B4" s="122">
        <v>0.79800000000000004</v>
      </c>
      <c r="C4" s="122">
        <v>2.0350000000000001</v>
      </c>
      <c r="D4" s="122">
        <v>1.9419999999999999</v>
      </c>
      <c r="E4" s="122">
        <v>1.9990000000000001</v>
      </c>
      <c r="F4" s="122">
        <v>1.919</v>
      </c>
      <c r="G4" s="122"/>
      <c r="H4" s="123">
        <v>46177</v>
      </c>
    </row>
    <row r="5" spans="1:8" ht="16.5" customHeight="1" x14ac:dyDescent="0.25">
      <c r="A5" s="125" t="s">
        <v>336</v>
      </c>
      <c r="B5" s="120">
        <v>0.78100000000000003</v>
      </c>
      <c r="C5" s="120">
        <v>1.99</v>
      </c>
      <c r="D5" s="120">
        <v>1.9390000000000001</v>
      </c>
      <c r="E5" s="120"/>
      <c r="F5" s="120">
        <v>1.988</v>
      </c>
      <c r="G5" s="120">
        <v>0.999</v>
      </c>
      <c r="H5" s="121">
        <v>46177</v>
      </c>
    </row>
    <row r="6" spans="1:8" ht="16.5" customHeight="1" x14ac:dyDescent="0.25">
      <c r="A6" s="126" t="s">
        <v>470</v>
      </c>
      <c r="B6" s="122"/>
      <c r="C6" s="122">
        <v>1.99</v>
      </c>
      <c r="D6" s="122">
        <v>2.04</v>
      </c>
      <c r="E6" s="122"/>
      <c r="F6" s="122">
        <v>1.99</v>
      </c>
      <c r="G6" s="122"/>
      <c r="H6" s="123">
        <v>46177</v>
      </c>
    </row>
    <row r="7" spans="1:8" ht="16.5" customHeight="1" x14ac:dyDescent="0.25">
      <c r="A7" s="125" t="s">
        <v>461</v>
      </c>
      <c r="B7" s="120"/>
      <c r="C7" s="120">
        <v>2.129</v>
      </c>
      <c r="D7" s="120">
        <v>1.9690000000000001</v>
      </c>
      <c r="E7" s="120"/>
      <c r="F7" s="120">
        <v>1.9990000000000001</v>
      </c>
      <c r="G7" s="120"/>
      <c r="H7" s="121">
        <v>46177</v>
      </c>
    </row>
    <row r="8" spans="1:8" ht="16.5" customHeight="1" x14ac:dyDescent="0.25">
      <c r="A8" s="126" t="s">
        <v>442</v>
      </c>
      <c r="B8" s="122">
        <v>0.82899999999999996</v>
      </c>
      <c r="C8" s="122">
        <v>1.99</v>
      </c>
      <c r="D8" s="122">
        <v>2.0059999999999998</v>
      </c>
      <c r="E8" s="122"/>
      <c r="F8" s="122">
        <v>1.8959999999999999</v>
      </c>
      <c r="G8" s="122">
        <v>0.999</v>
      </c>
      <c r="H8" s="123">
        <v>46177</v>
      </c>
    </row>
    <row r="9" spans="1:8" ht="16.5" customHeight="1" x14ac:dyDescent="0.25">
      <c r="A9" s="125" t="s">
        <v>463</v>
      </c>
      <c r="B9" s="120"/>
      <c r="C9" s="120">
        <v>1.99</v>
      </c>
      <c r="D9" s="120">
        <v>2.0099999999999998</v>
      </c>
      <c r="E9" s="120"/>
      <c r="F9" s="120">
        <v>1.905</v>
      </c>
      <c r="G9" s="120">
        <v>0.99399999999999999</v>
      </c>
      <c r="H9" s="121">
        <v>46177</v>
      </c>
    </row>
    <row r="10" spans="1:8" ht="16.5" customHeight="1" x14ac:dyDescent="0.25">
      <c r="A10" s="126" t="s">
        <v>433</v>
      </c>
      <c r="B10" s="122">
        <v>0.79800000000000004</v>
      </c>
      <c r="C10" s="122">
        <v>2.0489999999999999</v>
      </c>
      <c r="D10" s="122">
        <v>1.9690000000000001</v>
      </c>
      <c r="E10" s="122"/>
      <c r="F10" s="122">
        <v>1.99</v>
      </c>
      <c r="G10" s="122">
        <v>1.07</v>
      </c>
      <c r="H10" s="123">
        <v>46177</v>
      </c>
    </row>
    <row r="11" spans="1:8" ht="16.5" customHeight="1" x14ac:dyDescent="0.25">
      <c r="A11" s="125" t="s">
        <v>452</v>
      </c>
      <c r="B11" s="120"/>
      <c r="C11" s="120">
        <v>2.0089999999999999</v>
      </c>
      <c r="D11" s="120">
        <v>1.9890000000000001</v>
      </c>
      <c r="E11" s="120">
        <v>1.9850000000000001</v>
      </c>
      <c r="F11" s="120">
        <v>1.9450000000000001</v>
      </c>
      <c r="G11" s="120"/>
      <c r="H11" s="121">
        <v>46177</v>
      </c>
    </row>
    <row r="12" spans="1:8" ht="16.5" customHeight="1" x14ac:dyDescent="0.25">
      <c r="A12" s="126" t="s">
        <v>437</v>
      </c>
      <c r="B12" s="122">
        <v>0.81399999999999995</v>
      </c>
      <c r="C12" s="122">
        <v>2.0790000000000002</v>
      </c>
      <c r="D12" s="122">
        <v>1.9890000000000001</v>
      </c>
      <c r="E12" s="122"/>
      <c r="F12" s="122">
        <v>1.8680000000000001</v>
      </c>
      <c r="G12" s="122">
        <v>0.999</v>
      </c>
      <c r="H12" s="123">
        <v>46177</v>
      </c>
    </row>
    <row r="13" spans="1:8" ht="16.5" customHeight="1" x14ac:dyDescent="0.25">
      <c r="A13" s="125" t="s">
        <v>464</v>
      </c>
      <c r="B13" s="120"/>
      <c r="C13" s="120">
        <v>2.109</v>
      </c>
      <c r="D13" s="120">
        <v>1.9990000000000001</v>
      </c>
      <c r="E13" s="120"/>
      <c r="F13" s="120">
        <v>1.9990000000000001</v>
      </c>
      <c r="G13" s="120"/>
      <c r="H13" s="121">
        <v>46177</v>
      </c>
    </row>
    <row r="14" spans="1:8" ht="16.5" customHeight="1" x14ac:dyDescent="0.25">
      <c r="A14" s="126" t="s">
        <v>447</v>
      </c>
      <c r="B14" s="122">
        <v>0.81899999999999995</v>
      </c>
      <c r="C14" s="122">
        <v>2.109</v>
      </c>
      <c r="D14" s="122">
        <v>1.9990000000000001</v>
      </c>
      <c r="E14" s="122"/>
      <c r="F14" s="122">
        <v>1.9890000000000001</v>
      </c>
      <c r="G14" s="122">
        <v>0.999</v>
      </c>
      <c r="H14" s="123">
        <v>46177</v>
      </c>
    </row>
    <row r="15" spans="1:8" ht="16.5" customHeight="1" x14ac:dyDescent="0.25">
      <c r="A15" s="125" t="s">
        <v>429</v>
      </c>
      <c r="B15" s="120">
        <v>0.89900000000000002</v>
      </c>
      <c r="C15" s="120">
        <v>1.99</v>
      </c>
      <c r="D15" s="120">
        <v>2.0790000000000002</v>
      </c>
      <c r="E15" s="120"/>
      <c r="F15" s="120">
        <v>1.9890000000000001</v>
      </c>
      <c r="G15" s="120">
        <v>0.999</v>
      </c>
      <c r="H15" s="121">
        <v>46177</v>
      </c>
    </row>
    <row r="16" spans="1:8" ht="16.5" customHeight="1" x14ac:dyDescent="0.25">
      <c r="A16" s="126" t="s">
        <v>449</v>
      </c>
      <c r="B16" s="122">
        <v>0.80900000000000005</v>
      </c>
      <c r="C16" s="122">
        <v>2.0790000000000002</v>
      </c>
      <c r="D16" s="122">
        <v>1.919</v>
      </c>
      <c r="E16" s="122">
        <v>1.9890000000000001</v>
      </c>
      <c r="F16" s="122">
        <v>1.9490000000000001</v>
      </c>
      <c r="G16" s="122">
        <v>0.96899999999999997</v>
      </c>
      <c r="H16" s="123">
        <v>46177</v>
      </c>
    </row>
    <row r="17" spans="1:8" ht="16.5" customHeight="1" x14ac:dyDescent="0.25">
      <c r="A17" s="125" t="s">
        <v>468</v>
      </c>
      <c r="B17" s="120"/>
      <c r="C17" s="120">
        <v>2.1589999999999998</v>
      </c>
      <c r="D17" s="120">
        <v>2.129</v>
      </c>
      <c r="E17" s="120">
        <v>2.109</v>
      </c>
      <c r="F17" s="120"/>
      <c r="G17" s="120"/>
      <c r="H17" s="121">
        <v>46177</v>
      </c>
    </row>
    <row r="18" spans="1:8" ht="16.5" customHeight="1" x14ac:dyDescent="0.25">
      <c r="A18" s="126" t="s">
        <v>439</v>
      </c>
      <c r="B18" s="122">
        <v>0.94499999999999995</v>
      </c>
      <c r="C18" s="122">
        <v>2.0630000000000002</v>
      </c>
      <c r="D18" s="122">
        <v>1.9630000000000001</v>
      </c>
      <c r="E18" s="122"/>
      <c r="F18" s="122">
        <v>1.9159999999999999</v>
      </c>
      <c r="G18" s="122"/>
      <c r="H18" s="123">
        <v>46177</v>
      </c>
    </row>
    <row r="19" spans="1:8" ht="16.5" customHeight="1" x14ac:dyDescent="0.25">
      <c r="A19" s="125" t="s">
        <v>453</v>
      </c>
      <c r="B19" s="120"/>
      <c r="C19" s="120">
        <v>1.99</v>
      </c>
      <c r="D19" s="120">
        <v>2.0089999999999999</v>
      </c>
      <c r="E19" s="120"/>
      <c r="F19" s="120"/>
      <c r="G19" s="120"/>
      <c r="H19" s="121">
        <v>46177</v>
      </c>
    </row>
    <row r="20" spans="1:8" ht="16.5" customHeight="1" x14ac:dyDescent="0.25">
      <c r="A20" s="126" t="s">
        <v>445</v>
      </c>
      <c r="B20" s="122">
        <v>0.83399999999999996</v>
      </c>
      <c r="C20" s="122">
        <v>1.99</v>
      </c>
      <c r="D20" s="122">
        <v>2.1080000000000001</v>
      </c>
      <c r="E20" s="122"/>
      <c r="F20" s="122">
        <v>1.988</v>
      </c>
      <c r="G20" s="122"/>
      <c r="H20" s="123">
        <v>46177</v>
      </c>
    </row>
    <row r="21" spans="1:8" ht="16.5" customHeight="1" x14ac:dyDescent="0.25">
      <c r="A21" s="125" t="s">
        <v>431</v>
      </c>
      <c r="B21" s="120">
        <v>0.81899999999999995</v>
      </c>
      <c r="C21" s="120">
        <v>2.089</v>
      </c>
      <c r="D21" s="120">
        <v>1.9590000000000001</v>
      </c>
      <c r="E21" s="120"/>
      <c r="F21" s="120">
        <v>1.9690000000000001</v>
      </c>
      <c r="G21" s="120"/>
      <c r="H21" s="121">
        <v>46177</v>
      </c>
    </row>
    <row r="22" spans="1:8" ht="16.5" customHeight="1" x14ac:dyDescent="0.25">
      <c r="A22" s="126" t="s">
        <v>458</v>
      </c>
      <c r="B22" s="122"/>
      <c r="C22" s="122">
        <v>2.1589999999999998</v>
      </c>
      <c r="D22" s="122">
        <v>1.9910000000000001</v>
      </c>
      <c r="E22" s="122"/>
      <c r="F22" s="122">
        <v>1.9419999999999999</v>
      </c>
      <c r="G22" s="122"/>
      <c r="H22" s="123">
        <v>46177</v>
      </c>
    </row>
    <row r="23" spans="1:8" ht="16.5" customHeight="1" x14ac:dyDescent="0.25">
      <c r="A23" s="125" t="s">
        <v>451</v>
      </c>
      <c r="B23" s="120"/>
      <c r="C23" s="120">
        <v>1.99</v>
      </c>
      <c r="D23" s="120">
        <v>2.0649999999999999</v>
      </c>
      <c r="E23" s="120"/>
      <c r="F23" s="120">
        <v>1.899</v>
      </c>
      <c r="G23" s="120"/>
      <c r="H23" s="121">
        <v>46177</v>
      </c>
    </row>
    <row r="24" spans="1:8" ht="16.5" customHeight="1" x14ac:dyDescent="0.25">
      <c r="A24" s="126" t="s">
        <v>438</v>
      </c>
      <c r="B24" s="122">
        <v>0.82899999999999996</v>
      </c>
      <c r="C24" s="122">
        <v>2.08</v>
      </c>
      <c r="D24" s="122">
        <v>1.9950000000000001</v>
      </c>
      <c r="E24" s="122"/>
      <c r="F24" s="122">
        <v>1.96</v>
      </c>
      <c r="G24" s="122"/>
      <c r="H24" s="123">
        <v>46177</v>
      </c>
    </row>
    <row r="25" spans="1:8" ht="16.5" customHeight="1" x14ac:dyDescent="0.25">
      <c r="A25" s="125" t="s">
        <v>454</v>
      </c>
      <c r="B25" s="120"/>
      <c r="C25" s="120">
        <v>2.0990000000000002</v>
      </c>
      <c r="D25" s="120">
        <v>1.9950000000000001</v>
      </c>
      <c r="E25" s="120">
        <v>2.069</v>
      </c>
      <c r="F25" s="120"/>
      <c r="G25" s="120"/>
      <c r="H25" s="121">
        <v>46177</v>
      </c>
    </row>
    <row r="26" spans="1:8" ht="16.5" customHeight="1" x14ac:dyDescent="0.25">
      <c r="A26" s="126" t="s">
        <v>459</v>
      </c>
      <c r="B26" s="122"/>
      <c r="C26" s="122">
        <v>1.99</v>
      </c>
      <c r="D26" s="122">
        <v>2.0139999999999998</v>
      </c>
      <c r="E26" s="122"/>
      <c r="F26" s="122">
        <v>1.897</v>
      </c>
      <c r="G26" s="122"/>
      <c r="H26" s="123">
        <v>46177</v>
      </c>
    </row>
    <row r="27" spans="1:8" ht="16.5" customHeight="1" x14ac:dyDescent="0.25">
      <c r="A27" s="125" t="s">
        <v>443</v>
      </c>
      <c r="B27" s="120">
        <v>0.79800000000000004</v>
      </c>
      <c r="C27" s="120">
        <v>2.0390000000000001</v>
      </c>
      <c r="D27" s="120">
        <v>1.9690000000000001</v>
      </c>
      <c r="E27" s="120"/>
      <c r="F27" s="120">
        <v>1.9390000000000001</v>
      </c>
      <c r="G27" s="120"/>
      <c r="H27" s="121">
        <v>46177</v>
      </c>
    </row>
    <row r="28" spans="1:8" ht="16.5" customHeight="1" x14ac:dyDescent="0.25">
      <c r="A28" s="126" t="s">
        <v>462</v>
      </c>
      <c r="B28" s="122"/>
      <c r="C28" s="122">
        <v>2.0590000000000002</v>
      </c>
      <c r="D28" s="122">
        <v>2.0289999999999999</v>
      </c>
      <c r="E28" s="122">
        <v>1.9990000000000001</v>
      </c>
      <c r="F28" s="122"/>
      <c r="G28" s="122"/>
      <c r="H28" s="123">
        <v>46177</v>
      </c>
    </row>
    <row r="29" spans="1:8" ht="16.5" customHeight="1" x14ac:dyDescent="0.25">
      <c r="A29" s="125" t="s">
        <v>428</v>
      </c>
      <c r="B29" s="120">
        <v>0.95</v>
      </c>
      <c r="C29" s="120">
        <v>1.99</v>
      </c>
      <c r="D29" s="120">
        <v>1.9910000000000001</v>
      </c>
      <c r="E29" s="120"/>
      <c r="F29" s="120">
        <v>1.91</v>
      </c>
      <c r="G29" s="120"/>
      <c r="H29" s="121">
        <v>46177</v>
      </c>
    </row>
    <row r="30" spans="1:8" ht="16.5" customHeight="1" x14ac:dyDescent="0.25">
      <c r="A30" s="126" t="s">
        <v>466</v>
      </c>
      <c r="B30" s="122"/>
      <c r="C30" s="122">
        <v>2.0089999999999999</v>
      </c>
      <c r="D30" s="122">
        <v>1.9690000000000001</v>
      </c>
      <c r="E30" s="122"/>
      <c r="F30" s="122">
        <v>1.9390000000000001</v>
      </c>
      <c r="G30" s="122"/>
      <c r="H30" s="123">
        <v>46177</v>
      </c>
    </row>
    <row r="31" spans="1:8" ht="16.5" customHeight="1" x14ac:dyDescent="0.25">
      <c r="A31" s="125" t="s">
        <v>446</v>
      </c>
      <c r="B31" s="120">
        <v>0.79800000000000004</v>
      </c>
      <c r="C31" s="120">
        <v>2.0030000000000001</v>
      </c>
      <c r="D31" s="120">
        <v>1.9650000000000001</v>
      </c>
      <c r="E31" s="120"/>
      <c r="F31" s="120">
        <v>1.897</v>
      </c>
      <c r="G31" s="120"/>
      <c r="H31" s="121">
        <v>46177</v>
      </c>
    </row>
    <row r="32" spans="1:8" ht="16.5" customHeight="1" x14ac:dyDescent="0.25">
      <c r="A32" s="126" t="s">
        <v>440</v>
      </c>
      <c r="B32" s="122">
        <v>0.79900000000000004</v>
      </c>
      <c r="C32" s="122">
        <v>2.0790000000000002</v>
      </c>
      <c r="D32" s="122">
        <v>1.9890000000000001</v>
      </c>
      <c r="E32" s="122"/>
      <c r="F32" s="122">
        <v>1.9590000000000001</v>
      </c>
      <c r="G32" s="122">
        <v>0.999</v>
      </c>
      <c r="H32" s="123">
        <v>46177</v>
      </c>
    </row>
    <row r="33" spans="1:8" ht="16.5" customHeight="1" x14ac:dyDescent="0.25">
      <c r="A33" s="125" t="s">
        <v>455</v>
      </c>
      <c r="B33" s="120"/>
      <c r="C33" s="120">
        <v>2.0369999999999999</v>
      </c>
      <c r="D33" s="120">
        <v>1.9990000000000001</v>
      </c>
      <c r="E33" s="120"/>
      <c r="F33" s="120">
        <v>1.9990000000000001</v>
      </c>
      <c r="G33" s="120"/>
      <c r="H33" s="121">
        <v>46177</v>
      </c>
    </row>
    <row r="34" spans="1:8" ht="16.5" customHeight="1" x14ac:dyDescent="0.25">
      <c r="A34" s="126" t="s">
        <v>435</v>
      </c>
      <c r="B34" s="122">
        <v>0.72899999999999998</v>
      </c>
      <c r="C34" s="122">
        <v>2.129</v>
      </c>
      <c r="D34" s="122">
        <v>1.9690000000000001</v>
      </c>
      <c r="E34" s="122"/>
      <c r="F34" s="122">
        <v>1.9590000000000001</v>
      </c>
      <c r="G34" s="122"/>
      <c r="H34" s="123">
        <v>46177</v>
      </c>
    </row>
    <row r="35" spans="1:8" ht="16.5" customHeight="1" x14ac:dyDescent="0.25">
      <c r="A35" s="125" t="s">
        <v>444</v>
      </c>
      <c r="B35" s="120">
        <v>0.79800000000000004</v>
      </c>
      <c r="C35" s="120">
        <v>2.0590000000000002</v>
      </c>
      <c r="D35" s="120">
        <v>1.913</v>
      </c>
      <c r="E35" s="120">
        <v>1.9990000000000001</v>
      </c>
      <c r="F35" s="120"/>
      <c r="G35" s="120"/>
      <c r="H35" s="121">
        <v>46177</v>
      </c>
    </row>
    <row r="36" spans="1:8" ht="16.5" customHeight="1" x14ac:dyDescent="0.25">
      <c r="A36" s="126" t="s">
        <v>436</v>
      </c>
      <c r="B36" s="122">
        <v>0.82899999999999996</v>
      </c>
      <c r="C36" s="122">
        <v>1.99</v>
      </c>
      <c r="D36" s="122">
        <v>2.0150000000000001</v>
      </c>
      <c r="E36" s="122"/>
      <c r="F36" s="122">
        <v>1.903</v>
      </c>
      <c r="G36" s="122">
        <v>0.98899999999999999</v>
      </c>
      <c r="H36" s="123">
        <v>46177</v>
      </c>
    </row>
    <row r="37" spans="1:8" ht="16.5" customHeight="1" x14ac:dyDescent="0.25">
      <c r="A37" s="125" t="s">
        <v>469</v>
      </c>
      <c r="B37" s="120"/>
      <c r="C37" s="120">
        <v>2.19</v>
      </c>
      <c r="D37" s="120">
        <v>2.19</v>
      </c>
      <c r="E37" s="120">
        <v>2.09</v>
      </c>
      <c r="F37" s="120"/>
      <c r="G37" s="120"/>
      <c r="H37" s="121">
        <v>46177</v>
      </c>
    </row>
    <row r="38" spans="1:8" ht="16.5" customHeight="1" x14ac:dyDescent="0.25">
      <c r="A38" s="126" t="s">
        <v>456</v>
      </c>
      <c r="B38" s="122"/>
      <c r="C38" s="122">
        <v>2.028</v>
      </c>
      <c r="D38" s="122">
        <v>1.9330000000000001</v>
      </c>
      <c r="E38" s="122"/>
      <c r="F38" s="122">
        <v>1.92</v>
      </c>
      <c r="G38" s="122"/>
      <c r="H38" s="123">
        <v>46177</v>
      </c>
    </row>
    <row r="39" spans="1:8" ht="16.5" customHeight="1" x14ac:dyDescent="0.25">
      <c r="A39" s="125" t="s">
        <v>460</v>
      </c>
      <c r="B39" s="120"/>
      <c r="C39" s="120">
        <v>2.169</v>
      </c>
      <c r="D39" s="120">
        <v>2.129</v>
      </c>
      <c r="E39" s="120">
        <v>2.1379999999999999</v>
      </c>
      <c r="F39" s="120"/>
      <c r="G39" s="120"/>
      <c r="H39" s="121">
        <v>46177</v>
      </c>
    </row>
    <row r="40" spans="1:8" ht="16.5" customHeight="1" x14ac:dyDescent="0.25">
      <c r="A40" s="126" t="s">
        <v>467</v>
      </c>
      <c r="B40" s="122"/>
      <c r="C40" s="122">
        <v>2.056</v>
      </c>
      <c r="D40" s="122">
        <v>1.966</v>
      </c>
      <c r="E40" s="122"/>
      <c r="F40" s="122">
        <v>1.893</v>
      </c>
      <c r="G40" s="122"/>
      <c r="H40" s="123">
        <v>46177</v>
      </c>
    </row>
    <row r="41" spans="1:8" ht="16.5" customHeight="1" x14ac:dyDescent="0.25">
      <c r="A41" s="125" t="s">
        <v>448</v>
      </c>
      <c r="B41" s="120">
        <v>0.79800000000000004</v>
      </c>
      <c r="C41" s="120">
        <v>2.0990000000000002</v>
      </c>
      <c r="D41" s="120">
        <v>1.907</v>
      </c>
      <c r="E41" s="120"/>
      <c r="F41" s="120">
        <v>1.9470000000000001</v>
      </c>
      <c r="G41" s="120"/>
      <c r="H41" s="121">
        <v>46177</v>
      </c>
    </row>
    <row r="42" spans="1:8" ht="16.5" customHeight="1" x14ac:dyDescent="0.25">
      <c r="A42" s="126" t="s">
        <v>430</v>
      </c>
      <c r="B42" s="122">
        <v>0.99</v>
      </c>
      <c r="C42" s="122">
        <v>2.13</v>
      </c>
      <c r="D42" s="122">
        <v>2.08</v>
      </c>
      <c r="E42" s="122"/>
      <c r="F42" s="122">
        <v>2.06</v>
      </c>
      <c r="G42" s="122">
        <v>0.999</v>
      </c>
      <c r="H42" s="123">
        <v>46177</v>
      </c>
    </row>
    <row r="43" spans="1:8" ht="16.5" customHeight="1" x14ac:dyDescent="0.25">
      <c r="A43" s="125" t="s">
        <v>450</v>
      </c>
      <c r="B43" s="120">
        <v>0.81899999999999995</v>
      </c>
      <c r="C43" s="120">
        <v>2.0750000000000002</v>
      </c>
      <c r="D43" s="120">
        <v>2.0070000000000001</v>
      </c>
      <c r="E43" s="120"/>
      <c r="F43" s="120">
        <v>1.9790000000000001</v>
      </c>
      <c r="G43" s="120"/>
      <c r="H43" s="121">
        <v>46177</v>
      </c>
    </row>
    <row r="44" spans="1:8" ht="16.5" customHeight="1" x14ac:dyDescent="0.25">
      <c r="A44" s="126" t="s">
        <v>434</v>
      </c>
      <c r="B44" s="122">
        <v>0.81499999999999995</v>
      </c>
      <c r="C44" s="122">
        <v>2.0529999999999999</v>
      </c>
      <c r="D44" s="122">
        <v>2.0150000000000001</v>
      </c>
      <c r="E44" s="122"/>
      <c r="F44" s="122">
        <v>1.9390000000000001</v>
      </c>
      <c r="G44" s="122"/>
      <c r="H44" s="123">
        <v>46177</v>
      </c>
    </row>
    <row r="45" spans="1:8" ht="16.5" customHeight="1" x14ac:dyDescent="0.25">
      <c r="A45" s="125" t="s">
        <v>441</v>
      </c>
      <c r="B45" s="120">
        <v>0.74</v>
      </c>
      <c r="C45" s="120">
        <v>1.9910000000000001</v>
      </c>
      <c r="D45" s="120">
        <v>1.9450000000000001</v>
      </c>
      <c r="E45" s="120"/>
      <c r="F45" s="120">
        <v>1.917</v>
      </c>
      <c r="G45" s="120"/>
      <c r="H45" s="121">
        <v>46177</v>
      </c>
    </row>
    <row r="46" spans="1:8" ht="16.5" customHeight="1" x14ac:dyDescent="0.25">
      <c r="A46" s="126" t="s">
        <v>465</v>
      </c>
      <c r="B46" s="122"/>
      <c r="C46" s="122">
        <v>2.169</v>
      </c>
      <c r="D46" s="122">
        <v>2.129</v>
      </c>
      <c r="E46" s="122">
        <v>2.1379999999999999</v>
      </c>
      <c r="F46" s="122"/>
      <c r="G46" s="122"/>
      <c r="H46" s="123">
        <v>46177</v>
      </c>
    </row>
    <row r="47" spans="1:8" ht="16.5" customHeight="1" x14ac:dyDescent="0.25">
      <c r="A47" s="125" t="s">
        <v>457</v>
      </c>
      <c r="B47" s="120"/>
      <c r="C47" s="120">
        <v>2.0099999999999998</v>
      </c>
      <c r="D47" s="120">
        <v>1.92</v>
      </c>
      <c r="E47" s="120"/>
      <c r="F47" s="120"/>
      <c r="G47" s="120"/>
      <c r="H47" s="121">
        <v>46176</v>
      </c>
    </row>
    <row r="48" spans="1:8" ht="16.5" customHeight="1" x14ac:dyDescent="0.25">
      <c r="A48" s="126" t="s">
        <v>432</v>
      </c>
      <c r="B48" s="122">
        <v>0.81899999999999995</v>
      </c>
      <c r="C48" s="122">
        <v>1.99</v>
      </c>
      <c r="D48" s="122">
        <v>1.97</v>
      </c>
      <c r="E48" s="122"/>
      <c r="F48" s="122"/>
      <c r="G48" s="122"/>
      <c r="H48" s="123">
        <v>46176</v>
      </c>
    </row>
    <row r="49" spans="1:8" ht="16.5" customHeight="1" x14ac:dyDescent="0.25">
      <c r="A49" s="127" t="s">
        <v>342</v>
      </c>
      <c r="B49" s="128">
        <v>0.81899999999999995</v>
      </c>
      <c r="C49" s="128">
        <v>1.99</v>
      </c>
      <c r="D49" s="128">
        <v>1.97</v>
      </c>
      <c r="E49" s="128"/>
      <c r="F49" s="128"/>
      <c r="G49" s="128"/>
      <c r="H49" s="129">
        <v>46176</v>
      </c>
    </row>
  </sheetData>
  <pageMargins left="0.75" right="0.75" top="1" bottom="1" header="0.5" footer="0.5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1" t="s">
        <v>506</v>
      </c>
    </row>
    <row r="4" spans="2:10" x14ac:dyDescent="0.25">
      <c r="B4" s="102" t="s">
        <v>509</v>
      </c>
    </row>
    <row r="5" spans="2:10" x14ac:dyDescent="0.25">
      <c r="B5" s="153" t="s">
        <v>0</v>
      </c>
      <c r="C5" s="153" t="s">
        <v>54</v>
      </c>
      <c r="D5" s="153" t="s">
        <v>299</v>
      </c>
      <c r="E5" s="153" t="s">
        <v>300</v>
      </c>
      <c r="F5" s="153" t="s">
        <v>507</v>
      </c>
      <c r="G5" s="153" t="s">
        <v>508</v>
      </c>
      <c r="H5" s="153" t="s">
        <v>275</v>
      </c>
      <c r="I5" s="153" t="s">
        <v>302</v>
      </c>
    </row>
    <row r="6" spans="2:10" x14ac:dyDescent="0.25">
      <c r="B6" s="162">
        <v>46154</v>
      </c>
      <c r="C6" s="96" t="s">
        <v>99</v>
      </c>
      <c r="D6" s="149">
        <v>11173</v>
      </c>
      <c r="E6" s="150">
        <v>13.94</v>
      </c>
      <c r="F6" s="151">
        <v>0.83499999999999996</v>
      </c>
      <c r="G6" s="150">
        <v>11.639899999999999</v>
      </c>
      <c r="H6" s="152" t="s">
        <v>325</v>
      </c>
      <c r="I6" s="96" t="s">
        <v>309</v>
      </c>
    </row>
    <row r="7" spans="2:10" x14ac:dyDescent="0.25">
      <c r="B7" s="162">
        <v>46151</v>
      </c>
      <c r="C7" s="96" t="s">
        <v>99</v>
      </c>
      <c r="D7" s="149">
        <v>10975</v>
      </c>
      <c r="E7" s="150">
        <v>15.28</v>
      </c>
      <c r="F7" s="151">
        <v>0.75700000000000001</v>
      </c>
      <c r="G7" s="150">
        <v>11.56696</v>
      </c>
      <c r="H7" s="152" t="s">
        <v>325</v>
      </c>
      <c r="I7" s="96" t="s">
        <v>309</v>
      </c>
    </row>
    <row r="8" spans="2:10" x14ac:dyDescent="0.25">
      <c r="B8" s="162">
        <v>46185.083333333336</v>
      </c>
      <c r="C8" s="96" t="s">
        <v>99</v>
      </c>
      <c r="D8" s="149">
        <v>12941</v>
      </c>
      <c r="E8" s="150">
        <v>16.739999999999998</v>
      </c>
      <c r="F8" s="151">
        <v>0.79900000000000004</v>
      </c>
      <c r="G8" s="150">
        <v>13.375259999999999</v>
      </c>
      <c r="H8" s="152" t="s">
        <v>325</v>
      </c>
      <c r="I8" s="96" t="s">
        <v>309</v>
      </c>
    </row>
    <row r="9" spans="2:10" x14ac:dyDescent="0.25">
      <c r="B9" s="162">
        <v>46182.083333333336</v>
      </c>
      <c r="C9" s="96" t="s">
        <v>99</v>
      </c>
      <c r="D9" s="149">
        <v>12706</v>
      </c>
      <c r="E9" s="150">
        <v>13.88</v>
      </c>
      <c r="F9" s="151">
        <v>0.79900000000000004</v>
      </c>
      <c r="G9" s="150">
        <v>11.090120000000001</v>
      </c>
      <c r="H9" s="152" t="s">
        <v>325</v>
      </c>
      <c r="I9" s="96" t="s">
        <v>309</v>
      </c>
    </row>
    <row r="10" spans="2:10" x14ac:dyDescent="0.25">
      <c r="B10" s="162">
        <v>46148</v>
      </c>
      <c r="C10" s="96" t="s">
        <v>99</v>
      </c>
      <c r="D10" s="149">
        <v>10749</v>
      </c>
      <c r="E10" s="150">
        <v>11.71</v>
      </c>
      <c r="F10" s="151">
        <v>0.747</v>
      </c>
      <c r="G10" s="150">
        <v>8.7473700000000001</v>
      </c>
      <c r="H10" s="152" t="s">
        <v>325</v>
      </c>
      <c r="I10" s="96" t="s">
        <v>309</v>
      </c>
    </row>
    <row r="12" spans="2:10" x14ac:dyDescent="0.25">
      <c r="B12" s="102" t="s">
        <v>530</v>
      </c>
    </row>
    <row r="13" spans="2:10" x14ac:dyDescent="0.25">
      <c r="B13" s="96" t="s">
        <v>0</v>
      </c>
      <c r="C13" s="96" t="s">
        <v>54</v>
      </c>
      <c r="D13" s="96" t="s">
        <v>299</v>
      </c>
      <c r="E13" s="96" t="s">
        <v>300</v>
      </c>
      <c r="F13" s="96" t="s">
        <v>507</v>
      </c>
      <c r="G13" s="96" t="s">
        <v>508</v>
      </c>
      <c r="H13" s="152" t="s">
        <v>275</v>
      </c>
      <c r="I13" s="96" t="s">
        <v>302</v>
      </c>
      <c r="J13" s="96" t="s">
        <v>529</v>
      </c>
    </row>
    <row r="14" spans="2:10" x14ac:dyDescent="0.25">
      <c r="B14" s="162">
        <v>46154</v>
      </c>
      <c r="C14" s="96" t="s">
        <v>99</v>
      </c>
      <c r="D14" s="149">
        <v>11173</v>
      </c>
      <c r="E14" s="150">
        <v>13.94</v>
      </c>
      <c r="F14" s="151">
        <v>0.83499999999999996</v>
      </c>
      <c r="G14" s="150">
        <v>11.639899999999999</v>
      </c>
      <c r="H14" s="152" t="s">
        <v>325</v>
      </c>
      <c r="I14" s="96" t="s">
        <v>309</v>
      </c>
      <c r="J14" s="160"/>
    </row>
    <row r="15" spans="2:10" x14ac:dyDescent="0.25">
      <c r="B15" s="162">
        <v>46151</v>
      </c>
      <c r="C15" s="96" t="s">
        <v>99</v>
      </c>
      <c r="D15" s="149">
        <v>10975</v>
      </c>
      <c r="E15" s="150">
        <v>15.28</v>
      </c>
      <c r="F15" s="151">
        <v>0.75700000000000001</v>
      </c>
      <c r="G15" s="150">
        <v>11.56696</v>
      </c>
      <c r="H15" s="152" t="s">
        <v>325</v>
      </c>
      <c r="I15" s="96" t="s">
        <v>309</v>
      </c>
      <c r="J15" s="160"/>
    </row>
    <row r="16" spans="2:10" x14ac:dyDescent="0.25">
      <c r="B16" s="162">
        <v>46185.083333333336</v>
      </c>
      <c r="C16" s="96" t="s">
        <v>99</v>
      </c>
      <c r="D16" s="149">
        <v>12941</v>
      </c>
      <c r="E16" s="150">
        <v>16.739999999999998</v>
      </c>
      <c r="F16" s="151">
        <v>0.79900000000000004</v>
      </c>
      <c r="G16" s="150">
        <v>13.375259999999999</v>
      </c>
      <c r="H16" s="152" t="s">
        <v>325</v>
      </c>
      <c r="I16" s="96" t="s">
        <v>309</v>
      </c>
      <c r="J16" s="160"/>
    </row>
    <row r="17" spans="2:10" x14ac:dyDescent="0.25">
      <c r="B17" s="162">
        <v>46182.083333333336</v>
      </c>
      <c r="C17" s="96" t="s">
        <v>99</v>
      </c>
      <c r="D17" s="149">
        <v>12706</v>
      </c>
      <c r="E17" s="150">
        <v>13.88</v>
      </c>
      <c r="F17" s="151">
        <v>0.79900000000000004</v>
      </c>
      <c r="G17" s="150">
        <v>11.090120000000001</v>
      </c>
      <c r="H17" s="152" t="s">
        <v>325</v>
      </c>
      <c r="I17" s="96" t="s">
        <v>309</v>
      </c>
      <c r="J17" s="160"/>
    </row>
    <row r="18" spans="2:10" x14ac:dyDescent="0.25">
      <c r="B18" s="162">
        <v>46148</v>
      </c>
      <c r="C18" s="96" t="s">
        <v>99</v>
      </c>
      <c r="D18" s="149">
        <v>10749</v>
      </c>
      <c r="E18" s="150">
        <v>11.71</v>
      </c>
      <c r="F18" s="151">
        <v>0.747</v>
      </c>
      <c r="G18" s="150">
        <v>8.7473700000000001</v>
      </c>
      <c r="H18" s="152" t="s">
        <v>325</v>
      </c>
      <c r="I18" s="96" t="s">
        <v>309</v>
      </c>
      <c r="J18" s="160"/>
    </row>
    <row r="19" spans="2:10" x14ac:dyDescent="0.25">
      <c r="B19" s="162">
        <v>46170</v>
      </c>
      <c r="C19" s="96" t="s">
        <v>99</v>
      </c>
      <c r="D19" s="149">
        <v>12041</v>
      </c>
      <c r="E19" s="150">
        <v>13.23</v>
      </c>
      <c r="F19" s="151">
        <v>0.84899999999999998</v>
      </c>
      <c r="G19" s="150">
        <v>11.23227</v>
      </c>
      <c r="H19" s="152" t="s">
        <v>335</v>
      </c>
      <c r="I19" s="96" t="s">
        <v>309</v>
      </c>
      <c r="J19" s="160"/>
    </row>
    <row r="20" spans="2:10" x14ac:dyDescent="0.25">
      <c r="B20" s="162">
        <v>46164</v>
      </c>
      <c r="C20" s="96" t="s">
        <v>99</v>
      </c>
      <c r="D20" s="149">
        <v>11831</v>
      </c>
      <c r="E20" s="150">
        <v>16.25</v>
      </c>
      <c r="F20" s="151">
        <v>0.79800000000000004</v>
      </c>
      <c r="G20" s="150">
        <v>12.967500000000001</v>
      </c>
      <c r="H20" s="152" t="s">
        <v>325</v>
      </c>
      <c r="I20" s="96" t="s">
        <v>309</v>
      </c>
      <c r="J20" s="160"/>
    </row>
    <row r="21" spans="2:10" x14ac:dyDescent="0.25">
      <c r="B21" s="162">
        <v>46161</v>
      </c>
      <c r="C21" s="96" t="s">
        <v>99</v>
      </c>
      <c r="D21" s="149">
        <v>11596</v>
      </c>
      <c r="E21" s="150">
        <v>14.9</v>
      </c>
      <c r="F21" s="151">
        <v>0.79800000000000004</v>
      </c>
      <c r="G21" s="150">
        <v>11.8902</v>
      </c>
      <c r="H21" s="152" t="s">
        <v>325</v>
      </c>
      <c r="I21" s="96" t="s">
        <v>309</v>
      </c>
      <c r="J21" s="160"/>
    </row>
    <row r="22" spans="2:10" x14ac:dyDescent="0.25">
      <c r="B22" s="162">
        <v>46157</v>
      </c>
      <c r="C22" s="96" t="s">
        <v>99</v>
      </c>
      <c r="D22" s="149">
        <v>11376</v>
      </c>
      <c r="E22" s="150">
        <v>13.37</v>
      </c>
      <c r="F22" s="151">
        <v>0.71699999999999997</v>
      </c>
      <c r="G22" s="150">
        <v>9.5862899999999982</v>
      </c>
      <c r="H22" s="152" t="s">
        <v>325</v>
      </c>
      <c r="I22" s="96" t="s">
        <v>309</v>
      </c>
      <c r="J22" s="160"/>
    </row>
    <row r="23" spans="2:10" x14ac:dyDescent="0.25">
      <c r="B23" s="162">
        <v>46177</v>
      </c>
      <c r="C23" s="96" t="s">
        <v>99</v>
      </c>
      <c r="D23" s="149">
        <v>12538</v>
      </c>
      <c r="E23" s="150">
        <v>15.09</v>
      </c>
      <c r="F23" s="151">
        <v>0.72899999999999998</v>
      </c>
      <c r="G23" s="150">
        <v>11.00061</v>
      </c>
      <c r="H23" s="152" t="s">
        <v>477</v>
      </c>
      <c r="I23" s="96" t="s">
        <v>309</v>
      </c>
      <c r="J23" s="160"/>
    </row>
    <row r="24" spans="2:10" x14ac:dyDescent="0.25">
      <c r="B24" s="162">
        <v>46140</v>
      </c>
      <c r="C24" s="96" t="s">
        <v>80</v>
      </c>
      <c r="D24" s="149">
        <v>10349</v>
      </c>
      <c r="E24" s="150">
        <v>13.75</v>
      </c>
      <c r="F24" s="151">
        <v>2.0310000000000001</v>
      </c>
      <c r="G24" s="150">
        <v>27.926250000000003</v>
      </c>
      <c r="H24" s="152" t="s">
        <v>336</v>
      </c>
      <c r="I24" s="96" t="s">
        <v>309</v>
      </c>
      <c r="J24" s="160"/>
    </row>
    <row r="25" spans="2:10" x14ac:dyDescent="0.25">
      <c r="B25" s="162">
        <v>46135</v>
      </c>
      <c r="C25" s="96" t="s">
        <v>80</v>
      </c>
      <c r="D25" s="149">
        <v>10094</v>
      </c>
      <c r="E25" s="150">
        <v>15.22</v>
      </c>
      <c r="F25" s="151">
        <v>1.9259999999999999</v>
      </c>
      <c r="G25" s="150">
        <v>29.31372</v>
      </c>
      <c r="H25" s="152" t="s">
        <v>335</v>
      </c>
      <c r="I25" s="96" t="s">
        <v>309</v>
      </c>
      <c r="J25" s="160"/>
    </row>
    <row r="26" spans="2:10" x14ac:dyDescent="0.25">
      <c r="B26" s="162">
        <v>46131</v>
      </c>
      <c r="C26" s="96" t="s">
        <v>80</v>
      </c>
      <c r="D26" s="149">
        <v>9812</v>
      </c>
      <c r="E26" s="150">
        <v>11.4</v>
      </c>
      <c r="F26" s="151">
        <v>1.9730000000000001</v>
      </c>
      <c r="G26" s="150">
        <v>22.4922</v>
      </c>
      <c r="H26" s="152" t="s">
        <v>335</v>
      </c>
      <c r="I26" s="96" t="s">
        <v>309</v>
      </c>
      <c r="J26" s="160"/>
    </row>
    <row r="27" spans="2:10" x14ac:dyDescent="0.25">
      <c r="B27" s="162">
        <v>46175</v>
      </c>
      <c r="C27" s="96" t="s">
        <v>99</v>
      </c>
      <c r="D27" s="149">
        <v>12297</v>
      </c>
      <c r="E27" s="150">
        <v>15.61</v>
      </c>
      <c r="F27" s="151">
        <v>0.79800000000000004</v>
      </c>
      <c r="G27" s="150">
        <v>12.45678</v>
      </c>
      <c r="H27" s="152" t="s">
        <v>325</v>
      </c>
      <c r="I27" s="96" t="s">
        <v>309</v>
      </c>
      <c r="J27" s="160"/>
    </row>
    <row r="28" spans="2:10" x14ac:dyDescent="0.25">
      <c r="B28" s="162">
        <v>46146</v>
      </c>
      <c r="C28" s="96" t="s">
        <v>99</v>
      </c>
      <c r="D28" s="149">
        <v>10553</v>
      </c>
      <c r="E28" s="150">
        <v>11.47</v>
      </c>
      <c r="F28" s="151">
        <v>0.80900000000000005</v>
      </c>
      <c r="G28" s="150">
        <v>9.2792300000000019</v>
      </c>
      <c r="H28" s="152" t="s">
        <v>325</v>
      </c>
      <c r="I28" s="96" t="s">
        <v>309</v>
      </c>
      <c r="J28" s="160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8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20.5" style="78" customWidth="1"/>
    <col min="2" max="2" width="11.25" style="78" bestFit="1" customWidth="1"/>
    <col min="3" max="3" width="15.875" style="78" bestFit="1" customWidth="1"/>
    <col min="4" max="4" width="9.625" style="78" customWidth="1"/>
    <col min="5" max="5" width="11.5" style="78" bestFit="1" customWidth="1"/>
    <col min="6" max="6" width="11" style="78" bestFit="1" customWidth="1"/>
    <col min="7" max="7" width="19.75" style="78" bestFit="1" customWidth="1"/>
    <col min="8" max="8" width="14.375" style="78" bestFit="1" customWidth="1"/>
    <col min="9" max="9" width="16" style="78" bestFit="1" customWidth="1"/>
    <col min="10" max="11" width="17.125" style="78" bestFit="1" customWidth="1"/>
    <col min="12" max="12" width="16" style="78" bestFit="1" customWidth="1"/>
    <col min="13" max="13" width="18.5" style="78" bestFit="1" customWidth="1"/>
    <col min="14" max="14" width="17.125" style="78" bestFit="1" customWidth="1"/>
    <col min="15" max="15" width="37.5" style="88" bestFit="1" customWidth="1"/>
    <col min="16" max="16" width="14.25" style="96" bestFit="1" customWidth="1"/>
    <col min="17" max="17" width="19.25" style="82" bestFit="1" customWidth="1"/>
    <col min="18" max="16384" width="11" style="78"/>
  </cols>
  <sheetData>
    <row r="1" spans="1:17" s="96" customFormat="1" ht="68.25" customHeight="1" x14ac:dyDescent="0.25">
      <c r="P1" s="96" t="s">
        <v>341</v>
      </c>
      <c r="Q1" s="169" t="s">
        <v>339</v>
      </c>
    </row>
    <row r="2" spans="1:17" x14ac:dyDescent="0.25">
      <c r="A2" s="73" t="s">
        <v>292</v>
      </c>
      <c r="B2" s="170" t="s">
        <v>0</v>
      </c>
      <c r="C2" s="73" t="s">
        <v>54</v>
      </c>
      <c r="D2" s="73" t="s">
        <v>299</v>
      </c>
      <c r="E2" s="73" t="s">
        <v>300</v>
      </c>
      <c r="F2" s="73" t="s">
        <v>301</v>
      </c>
      <c r="G2" s="73" t="s">
        <v>270</v>
      </c>
      <c r="H2" s="73" t="s">
        <v>302</v>
      </c>
      <c r="I2" s="73" t="s">
        <v>303</v>
      </c>
      <c r="J2" s="73" t="s">
        <v>304</v>
      </c>
      <c r="K2" s="73" t="s">
        <v>305</v>
      </c>
      <c r="L2" s="73" t="s">
        <v>306</v>
      </c>
      <c r="M2" s="73" t="s">
        <v>307</v>
      </c>
      <c r="N2" s="73" t="s">
        <v>308</v>
      </c>
      <c r="O2" t="s">
        <v>323</v>
      </c>
      <c r="P2" t="s">
        <v>341</v>
      </c>
      <c r="Q2" s="98" t="s">
        <v>339</v>
      </c>
    </row>
    <row r="3" spans="1:17" x14ac:dyDescent="0.25">
      <c r="A3" s="81" t="s">
        <v>348</v>
      </c>
      <c r="B3" s="187">
        <v>46131</v>
      </c>
      <c r="C3" s="79" t="s">
        <v>80</v>
      </c>
      <c r="D3" s="79">
        <v>9812</v>
      </c>
      <c r="E3" s="79">
        <v>11.4</v>
      </c>
      <c r="F3" s="79">
        <v>1.9730000000000001</v>
      </c>
      <c r="G3" s="79" t="s">
        <v>335</v>
      </c>
      <c r="H3" s="79" t="s">
        <v>309</v>
      </c>
      <c r="I3" s="79"/>
      <c r="J3" s="79">
        <v>1.9730000000000001</v>
      </c>
      <c r="K3" s="79"/>
      <c r="L3" s="79"/>
      <c r="M3" s="79"/>
      <c r="N3" s="79"/>
      <c r="O3" s="97" t="s">
        <v>326</v>
      </c>
      <c r="P3" s="97" t="s">
        <v>358</v>
      </c>
      <c r="Q3" s="81"/>
    </row>
    <row r="4" spans="1:17" x14ac:dyDescent="0.25">
      <c r="A4" s="81" t="s">
        <v>349</v>
      </c>
      <c r="B4" s="187">
        <v>46135</v>
      </c>
      <c r="C4" s="79" t="s">
        <v>80</v>
      </c>
      <c r="D4" s="79">
        <v>10094</v>
      </c>
      <c r="E4" s="79">
        <v>15.22</v>
      </c>
      <c r="F4" s="79">
        <v>1.9259999999999999</v>
      </c>
      <c r="G4" s="79" t="s">
        <v>335</v>
      </c>
      <c r="H4" s="79" t="s">
        <v>309</v>
      </c>
      <c r="I4" s="79"/>
      <c r="J4" s="79">
        <v>1.9259999999999999</v>
      </c>
      <c r="K4" s="79"/>
      <c r="L4" s="79"/>
      <c r="M4" s="79"/>
      <c r="N4" s="79"/>
      <c r="O4" s="97" t="s">
        <v>327</v>
      </c>
      <c r="P4" s="97" t="s">
        <v>358</v>
      </c>
      <c r="Q4" s="81"/>
    </row>
    <row r="5" spans="1:17" x14ac:dyDescent="0.25">
      <c r="A5" s="81" t="s">
        <v>350</v>
      </c>
      <c r="B5" s="187">
        <v>46140</v>
      </c>
      <c r="C5" s="79" t="s">
        <v>80</v>
      </c>
      <c r="D5" s="79">
        <v>10349</v>
      </c>
      <c r="E5" s="79">
        <v>13.75</v>
      </c>
      <c r="F5" s="79">
        <v>2.0310000000000001</v>
      </c>
      <c r="G5" s="79" t="s">
        <v>336</v>
      </c>
      <c r="H5" s="79" t="s">
        <v>309</v>
      </c>
      <c r="I5" s="79"/>
      <c r="J5" s="79">
        <v>2.0310000000000001</v>
      </c>
      <c r="K5" s="79"/>
      <c r="L5" s="79"/>
      <c r="M5" s="79"/>
      <c r="N5" s="79"/>
      <c r="O5" s="97" t="s">
        <v>328</v>
      </c>
      <c r="P5" s="97" t="s">
        <v>358</v>
      </c>
      <c r="Q5" s="81"/>
    </row>
    <row r="6" spans="1:17" x14ac:dyDescent="0.25">
      <c r="A6" s="81" t="s">
        <v>351</v>
      </c>
      <c r="B6" s="187">
        <v>46146</v>
      </c>
      <c r="C6" s="79" t="s">
        <v>99</v>
      </c>
      <c r="D6" s="79">
        <v>10553</v>
      </c>
      <c r="E6" s="79">
        <v>11.47</v>
      </c>
      <c r="F6" s="79">
        <v>0.80900000000000005</v>
      </c>
      <c r="G6" s="79" t="s">
        <v>325</v>
      </c>
      <c r="H6" s="79" t="s">
        <v>309</v>
      </c>
      <c r="I6" s="79">
        <v>0.80900000000000005</v>
      </c>
      <c r="J6" s="79">
        <v>2.0790000000000002</v>
      </c>
      <c r="K6" s="79"/>
      <c r="L6" s="79"/>
      <c r="M6" s="79"/>
      <c r="N6" s="79"/>
      <c r="O6" s="97" t="s">
        <v>329</v>
      </c>
      <c r="P6" s="97" t="s">
        <v>358</v>
      </c>
      <c r="Q6" s="81"/>
    </row>
    <row r="7" spans="1:17" x14ac:dyDescent="0.25">
      <c r="A7" s="81" t="s">
        <v>352</v>
      </c>
      <c r="B7" s="187">
        <v>46148</v>
      </c>
      <c r="C7" s="79" t="s">
        <v>99</v>
      </c>
      <c r="D7" s="79">
        <v>10749</v>
      </c>
      <c r="E7" s="79">
        <v>11.71</v>
      </c>
      <c r="F7" s="79">
        <v>0.747</v>
      </c>
      <c r="G7" s="79" t="s">
        <v>325</v>
      </c>
      <c r="H7" s="79" t="s">
        <v>309</v>
      </c>
      <c r="I7" s="79">
        <v>0.747</v>
      </c>
      <c r="J7" s="79">
        <v>2.0979999999999999</v>
      </c>
      <c r="K7" s="79"/>
      <c r="L7" s="79"/>
      <c r="M7" s="79"/>
      <c r="N7" s="79"/>
      <c r="O7" s="97" t="s">
        <v>330</v>
      </c>
      <c r="P7" s="97" t="s">
        <v>358</v>
      </c>
      <c r="Q7" s="81"/>
    </row>
    <row r="8" spans="1:17" x14ac:dyDescent="0.25">
      <c r="A8" s="81" t="s">
        <v>353</v>
      </c>
      <c r="B8" s="187">
        <v>46151</v>
      </c>
      <c r="C8" s="79" t="s">
        <v>99</v>
      </c>
      <c r="D8" s="79">
        <v>10975</v>
      </c>
      <c r="E8" s="79">
        <v>15.28</v>
      </c>
      <c r="F8" s="79">
        <v>0.75700000000000001</v>
      </c>
      <c r="G8" s="79" t="s">
        <v>325</v>
      </c>
      <c r="H8" s="79" t="s">
        <v>309</v>
      </c>
      <c r="I8" s="79">
        <v>0.75700000000000001</v>
      </c>
      <c r="J8" s="79">
        <v>2.0979999999999999</v>
      </c>
      <c r="K8" s="79"/>
      <c r="L8" s="79"/>
      <c r="M8" s="79"/>
      <c r="N8" s="79"/>
      <c r="O8" s="97" t="s">
        <v>331</v>
      </c>
      <c r="P8" s="97" t="s">
        <v>358</v>
      </c>
      <c r="Q8" s="81"/>
    </row>
    <row r="9" spans="1:17" x14ac:dyDescent="0.25">
      <c r="A9" s="81" t="s">
        <v>354</v>
      </c>
      <c r="B9" s="187">
        <v>46154</v>
      </c>
      <c r="C9" s="79" t="s">
        <v>99</v>
      </c>
      <c r="D9" s="79">
        <v>11173</v>
      </c>
      <c r="E9" s="79">
        <v>13.94</v>
      </c>
      <c r="F9" s="79">
        <v>0.83499999999999996</v>
      </c>
      <c r="G9" s="79" t="s">
        <v>325</v>
      </c>
      <c r="H9" s="79" t="s">
        <v>309</v>
      </c>
      <c r="I9" s="79">
        <v>0.83499999999999996</v>
      </c>
      <c r="J9" s="79">
        <v>2.0950000000000002</v>
      </c>
      <c r="K9" s="79"/>
      <c r="L9" s="79"/>
      <c r="M9" s="79"/>
      <c r="N9" s="79"/>
      <c r="O9" s="97" t="s">
        <v>332</v>
      </c>
      <c r="P9" s="97" t="s">
        <v>358</v>
      </c>
      <c r="Q9" s="81"/>
    </row>
    <row r="10" spans="1:17" x14ac:dyDescent="0.25">
      <c r="A10" s="81" t="s">
        <v>355</v>
      </c>
      <c r="B10" s="187">
        <v>46157</v>
      </c>
      <c r="C10" s="79" t="s">
        <v>99</v>
      </c>
      <c r="D10" s="79">
        <v>11376</v>
      </c>
      <c r="E10" s="79">
        <v>13.37</v>
      </c>
      <c r="F10" s="79">
        <v>0.71699999999999997</v>
      </c>
      <c r="G10" s="79" t="s">
        <v>325</v>
      </c>
      <c r="H10" s="79" t="s">
        <v>309</v>
      </c>
      <c r="I10" s="79">
        <v>0.71699999999999997</v>
      </c>
      <c r="J10" s="79">
        <v>2.0950000000000002</v>
      </c>
      <c r="K10" s="79"/>
      <c r="L10" s="79"/>
      <c r="M10" s="79"/>
      <c r="N10" s="79"/>
      <c r="O10" s="97" t="s">
        <v>333</v>
      </c>
      <c r="P10" s="97" t="s">
        <v>358</v>
      </c>
      <c r="Q10" s="81"/>
    </row>
    <row r="11" spans="1:17" x14ac:dyDescent="0.25">
      <c r="A11" s="81" t="s">
        <v>356</v>
      </c>
      <c r="B11" s="187">
        <v>46161</v>
      </c>
      <c r="C11" s="79" t="s">
        <v>99</v>
      </c>
      <c r="D11" s="79">
        <v>11596</v>
      </c>
      <c r="E11" s="79">
        <v>14.9</v>
      </c>
      <c r="F11" s="79">
        <v>0.79800000000000004</v>
      </c>
      <c r="G11" s="79" t="s">
        <v>325</v>
      </c>
      <c r="H11" s="79" t="s">
        <v>309</v>
      </c>
      <c r="I11" s="79">
        <v>0.79800000000000004</v>
      </c>
      <c r="J11" s="79">
        <v>2.0910000000000002</v>
      </c>
      <c r="K11" s="79"/>
      <c r="L11" s="79"/>
      <c r="M11" s="79"/>
      <c r="N11" s="79"/>
      <c r="O11" s="97" t="s">
        <v>334</v>
      </c>
      <c r="P11" s="97" t="s">
        <v>358</v>
      </c>
      <c r="Q11" s="81"/>
    </row>
    <row r="12" spans="1:17" x14ac:dyDescent="0.25">
      <c r="A12" s="81" t="s">
        <v>347</v>
      </c>
      <c r="B12" s="187">
        <v>46164</v>
      </c>
      <c r="C12" s="79" t="s">
        <v>99</v>
      </c>
      <c r="D12" s="79">
        <v>11831</v>
      </c>
      <c r="E12" s="79">
        <v>16.25</v>
      </c>
      <c r="F12" s="79">
        <v>0.79800000000000004</v>
      </c>
      <c r="G12" s="79" t="s">
        <v>325</v>
      </c>
      <c r="H12" s="79" t="s">
        <v>309</v>
      </c>
      <c r="I12" s="79">
        <v>0.79800000000000004</v>
      </c>
      <c r="J12" s="79"/>
      <c r="K12" s="79"/>
      <c r="L12" s="79"/>
      <c r="M12" s="79"/>
      <c r="N12" s="79"/>
      <c r="O12" s="97" t="s">
        <v>324</v>
      </c>
      <c r="P12" s="97" t="s">
        <v>358</v>
      </c>
      <c r="Q12" s="81"/>
    </row>
    <row r="13" spans="1:17" x14ac:dyDescent="0.25">
      <c r="A13" s="81" t="s">
        <v>357</v>
      </c>
      <c r="B13" s="187">
        <v>46170</v>
      </c>
      <c r="C13" s="79" t="s">
        <v>99</v>
      </c>
      <c r="D13" s="79">
        <v>12041</v>
      </c>
      <c r="E13" s="79">
        <v>13.23</v>
      </c>
      <c r="F13" s="79">
        <v>0.84899999999999998</v>
      </c>
      <c r="G13" s="79" t="s">
        <v>335</v>
      </c>
      <c r="H13" s="79" t="s">
        <v>309</v>
      </c>
      <c r="I13" s="79">
        <v>0.84899999999999998</v>
      </c>
      <c r="J13" s="79">
        <v>2.1789999999999998</v>
      </c>
      <c r="K13" s="79">
        <v>2.089</v>
      </c>
      <c r="L13" s="79">
        <v>2.0390000000000001</v>
      </c>
      <c r="M13" s="79">
        <v>2.0990000000000002</v>
      </c>
      <c r="N13" s="79">
        <v>0.96899999999999997</v>
      </c>
      <c r="O13" s="97" t="s">
        <v>340</v>
      </c>
      <c r="P13" s="97" t="s">
        <v>358</v>
      </c>
      <c r="Q13" s="81"/>
    </row>
    <row r="14" spans="1:17" x14ac:dyDescent="0.25">
      <c r="A14" s="81" t="s">
        <v>476</v>
      </c>
      <c r="B14" s="187">
        <v>46175</v>
      </c>
      <c r="C14" s="79" t="s">
        <v>99</v>
      </c>
      <c r="D14" s="79">
        <v>12297</v>
      </c>
      <c r="E14" s="79">
        <v>15.61</v>
      </c>
      <c r="F14" s="79">
        <v>0.79800000000000004</v>
      </c>
      <c r="G14" s="79" t="s">
        <v>325</v>
      </c>
      <c r="H14" s="79" t="s">
        <v>309</v>
      </c>
      <c r="I14" s="79">
        <v>0.84199999999999997</v>
      </c>
      <c r="J14" s="79">
        <v>1.99</v>
      </c>
      <c r="K14" s="79"/>
      <c r="L14" s="79">
        <v>1.99</v>
      </c>
      <c r="M14" s="79">
        <v>2.1230000000000002</v>
      </c>
      <c r="N14" s="79"/>
      <c r="O14" s="97" t="s">
        <v>475</v>
      </c>
      <c r="P14" s="97" t="s">
        <v>358</v>
      </c>
      <c r="Q14" s="81"/>
    </row>
    <row r="15" spans="1:17" x14ac:dyDescent="0.25">
      <c r="A15" s="81" t="s">
        <v>481</v>
      </c>
      <c r="B15" s="187">
        <v>46177</v>
      </c>
      <c r="C15" s="79" t="s">
        <v>99</v>
      </c>
      <c r="D15" s="79">
        <v>12538</v>
      </c>
      <c r="E15" s="79">
        <v>15.09</v>
      </c>
      <c r="F15" s="79">
        <v>0.72899999999999998</v>
      </c>
      <c r="G15" s="79" t="s">
        <v>477</v>
      </c>
      <c r="H15" s="79" t="s">
        <v>309</v>
      </c>
      <c r="I15" s="79">
        <v>0.81499999999999995</v>
      </c>
      <c r="J15" s="79">
        <v>1.9770000000000001</v>
      </c>
      <c r="K15" s="79"/>
      <c r="L15" s="79">
        <v>1.8620000000000001</v>
      </c>
      <c r="M15" s="79">
        <v>1.9650000000000001</v>
      </c>
      <c r="N15" s="79"/>
      <c r="O15" s="97" t="s">
        <v>478</v>
      </c>
      <c r="P15" s="97" t="s">
        <v>358</v>
      </c>
      <c r="Q15" s="81"/>
    </row>
    <row r="16" spans="1:17" x14ac:dyDescent="0.25">
      <c r="A16" s="81">
        <v>46182.863483796296</v>
      </c>
      <c r="B16" s="187">
        <v>46182.083333333336</v>
      </c>
      <c r="C16" s="79" t="s">
        <v>99</v>
      </c>
      <c r="D16" s="79">
        <v>12706</v>
      </c>
      <c r="E16" s="79">
        <v>13.88</v>
      </c>
      <c r="F16" s="79">
        <v>0.79900000000000004</v>
      </c>
      <c r="G16" s="79" t="s">
        <v>325</v>
      </c>
      <c r="H16" s="79" t="s">
        <v>309</v>
      </c>
      <c r="I16" s="79">
        <v>0.79900000000000004</v>
      </c>
      <c r="J16" s="79">
        <v>1.9790000000000001</v>
      </c>
      <c r="K16" s="79"/>
      <c r="L16" s="79">
        <v>1.9179999999999999</v>
      </c>
      <c r="M16" s="79">
        <v>1.9670000000000001</v>
      </c>
      <c r="N16" s="79"/>
      <c r="O16" s="97" t="s">
        <v>514</v>
      </c>
      <c r="P16" s="97"/>
      <c r="Q16" s="81"/>
    </row>
    <row r="17" spans="1:17" x14ac:dyDescent="0.25">
      <c r="A17" s="81">
        <v>46186.347581018519</v>
      </c>
      <c r="B17" s="187">
        <v>46185.083333333336</v>
      </c>
      <c r="C17" s="79" t="s">
        <v>99</v>
      </c>
      <c r="D17" s="79">
        <v>12941</v>
      </c>
      <c r="E17" s="79">
        <v>16.739999999999998</v>
      </c>
      <c r="F17" s="79">
        <v>0.79900000000000004</v>
      </c>
      <c r="G17" s="79" t="s">
        <v>325</v>
      </c>
      <c r="H17" s="79" t="s">
        <v>309</v>
      </c>
      <c r="I17" s="79">
        <v>0.78900000000000003</v>
      </c>
      <c r="J17" s="79"/>
      <c r="K17" s="79"/>
      <c r="L17" s="79"/>
      <c r="M17" s="79"/>
      <c r="N17" s="79"/>
      <c r="O17" s="97" t="s">
        <v>527</v>
      </c>
      <c r="P17" s="97"/>
      <c r="Q17" s="81"/>
    </row>
    <row r="18" spans="1:17" x14ac:dyDescent="0.25">
      <c r="A18" s="81">
        <v>46189.795393518521</v>
      </c>
      <c r="B18" s="187">
        <v>46189.083333333336</v>
      </c>
      <c r="C18" s="79" t="s">
        <v>99</v>
      </c>
      <c r="D18" s="79">
        <v>13162</v>
      </c>
      <c r="E18" s="79">
        <v>14.97</v>
      </c>
      <c r="F18" s="79">
        <v>0.79900000000000004</v>
      </c>
      <c r="G18" s="79" t="s">
        <v>325</v>
      </c>
      <c r="H18" s="79" t="s">
        <v>309</v>
      </c>
      <c r="I18" s="79">
        <v>0.79900000000000004</v>
      </c>
      <c r="J18" s="79">
        <v>1.9750000000000001</v>
      </c>
      <c r="K18" s="79"/>
      <c r="L18" s="79">
        <v>1.889</v>
      </c>
      <c r="M18" s="79">
        <v>1.885</v>
      </c>
      <c r="N18" s="79"/>
      <c r="O18" s="97" t="s">
        <v>537</v>
      </c>
      <c r="P18" s="97"/>
      <c r="Q18" s="81"/>
    </row>
  </sheetData>
  <conditionalFormatting sqref="F3:F18">
    <cfRule type="expression" dxfId="50" priority="1">
      <formula>AND($F3&lt;&gt;"",ISNUMBER($F3),$F3&lt;AVERAGEIFS(F:F,C:C,$C3,B:B,"&gt;="&amp;$B3-30,B:B," &lt;="&amp;$B3))</formula>
    </cfRule>
    <cfRule type="expression" dxfId="49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P18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17" style="73" bestFit="1" customWidth="1"/>
    <col min="2" max="2" width="10.375" style="73" bestFit="1" customWidth="1"/>
    <col min="3" max="3" width="15" style="117" bestFit="1" customWidth="1"/>
    <col min="4" max="4" width="5.875" style="117" bestFit="1" customWidth="1"/>
    <col min="5" max="5" width="7.625" style="117" bestFit="1" customWidth="1"/>
    <col min="6" max="6" width="7" style="117" bestFit="1" customWidth="1"/>
    <col min="7" max="7" width="16.125" style="117" bestFit="1" customWidth="1"/>
    <col min="8" max="8" width="10.125" style="117" bestFit="1" customWidth="1"/>
    <col min="9" max="9" width="12.375" style="117" bestFit="1" customWidth="1"/>
    <col min="10" max="11" width="13.5" style="117" bestFit="1" customWidth="1"/>
    <col min="12" max="12" width="12.375" style="117" bestFit="1" customWidth="1"/>
    <col min="13" max="13" width="15" style="117" bestFit="1" customWidth="1"/>
    <col min="14" max="14" width="13.5" style="117" bestFit="1" customWidth="1"/>
    <col min="15" max="15" width="35.875" style="117" bestFit="1" customWidth="1"/>
    <col min="16" max="16" width="13.5" style="117" bestFit="1" customWidth="1"/>
    <col min="17" max="17" width="9" style="73" bestFit="1" customWidth="1"/>
    <col min="18" max="18" width="8.125" style="73" bestFit="1" customWidth="1"/>
    <col min="19" max="16384" width="11" style="73"/>
  </cols>
  <sheetData>
    <row r="1" spans="1:16" x14ac:dyDescent="0.25">
      <c r="A1" t="s">
        <v>292</v>
      </c>
      <c r="B1" s="73" t="s">
        <v>0</v>
      </c>
      <c r="C1" s="73" t="s">
        <v>54</v>
      </c>
      <c r="D1" t="s">
        <v>299</v>
      </c>
      <c r="E1" t="s">
        <v>300</v>
      </c>
      <c r="F1" t="s">
        <v>301</v>
      </c>
      <c r="G1" t="s">
        <v>270</v>
      </c>
      <c r="H1" t="s">
        <v>302</v>
      </c>
      <c r="I1" t="s">
        <v>303</v>
      </c>
      <c r="J1" t="s">
        <v>304</v>
      </c>
      <c r="K1" t="s">
        <v>305</v>
      </c>
      <c r="L1" t="s">
        <v>306</v>
      </c>
      <c r="M1" t="s">
        <v>307</v>
      </c>
      <c r="N1" t="s">
        <v>308</v>
      </c>
      <c r="O1" t="s">
        <v>323</v>
      </c>
      <c r="P1" t="s">
        <v>341</v>
      </c>
    </row>
    <row r="2" spans="1:16" x14ac:dyDescent="0.25">
      <c r="A2" s="97" t="s">
        <v>538</v>
      </c>
      <c r="B2" s="173">
        <v>46189</v>
      </c>
      <c r="C2" s="79" t="s">
        <v>99</v>
      </c>
      <c r="D2">
        <v>13162</v>
      </c>
      <c r="E2">
        <v>14.97</v>
      </c>
      <c r="F2">
        <v>0.79900000000000004</v>
      </c>
      <c r="G2" s="97" t="s">
        <v>325</v>
      </c>
      <c r="H2" s="97" t="s">
        <v>309</v>
      </c>
      <c r="I2">
        <v>0.79900000000000004</v>
      </c>
      <c r="J2">
        <v>1.9750000000000001</v>
      </c>
      <c r="K2"/>
      <c r="L2">
        <v>1.889</v>
      </c>
      <c r="M2">
        <v>1.885</v>
      </c>
      <c r="N2"/>
      <c r="O2" s="97" t="s">
        <v>537</v>
      </c>
      <c r="P2" s="97" t="s">
        <v>358</v>
      </c>
    </row>
    <row r="3" spans="1:16" x14ac:dyDescent="0.25">
      <c r="A3" s="97" t="s">
        <v>528</v>
      </c>
      <c r="B3" s="173">
        <v>46185</v>
      </c>
      <c r="C3" s="79" t="s">
        <v>99</v>
      </c>
      <c r="D3">
        <v>12941</v>
      </c>
      <c r="E3">
        <v>16.739999999999998</v>
      </c>
      <c r="F3">
        <v>0.79900000000000004</v>
      </c>
      <c r="G3" s="97" t="s">
        <v>325</v>
      </c>
      <c r="H3" s="97" t="s">
        <v>309</v>
      </c>
      <c r="I3">
        <v>0.78900000000000003</v>
      </c>
      <c r="J3"/>
      <c r="K3"/>
      <c r="L3"/>
      <c r="M3"/>
      <c r="N3"/>
      <c r="O3" s="97" t="s">
        <v>527</v>
      </c>
      <c r="P3" s="97" t="s">
        <v>358</v>
      </c>
    </row>
    <row r="4" spans="1:16" x14ac:dyDescent="0.25">
      <c r="A4" s="97" t="s">
        <v>519</v>
      </c>
      <c r="B4" s="173">
        <v>46182</v>
      </c>
      <c r="C4" s="79" t="s">
        <v>99</v>
      </c>
      <c r="D4">
        <v>12706</v>
      </c>
      <c r="E4">
        <v>13.88</v>
      </c>
      <c r="F4">
        <v>0.79900000000000004</v>
      </c>
      <c r="G4" s="97" t="s">
        <v>325</v>
      </c>
      <c r="H4" s="97" t="s">
        <v>309</v>
      </c>
      <c r="I4">
        <v>0.79900000000000004</v>
      </c>
      <c r="J4">
        <v>1.9790000000000001</v>
      </c>
      <c r="K4"/>
      <c r="L4">
        <v>1.9179999999999999</v>
      </c>
      <c r="M4">
        <v>1.9670000000000001</v>
      </c>
      <c r="N4"/>
      <c r="O4" s="97" t="s">
        <v>514</v>
      </c>
      <c r="P4" s="97" t="s">
        <v>358</v>
      </c>
    </row>
    <row r="5" spans="1:16" x14ac:dyDescent="0.25">
      <c r="A5" s="97" t="s">
        <v>481</v>
      </c>
      <c r="B5" s="173">
        <v>46177</v>
      </c>
      <c r="C5" s="79" t="s">
        <v>99</v>
      </c>
      <c r="D5">
        <v>12538</v>
      </c>
      <c r="E5">
        <v>15.09</v>
      </c>
      <c r="F5">
        <v>0.72899999999999998</v>
      </c>
      <c r="G5" s="97" t="s">
        <v>477</v>
      </c>
      <c r="H5" s="97" t="s">
        <v>309</v>
      </c>
      <c r="I5">
        <v>0.81499999999999995</v>
      </c>
      <c r="J5">
        <v>1.9770000000000001</v>
      </c>
      <c r="K5"/>
      <c r="L5">
        <v>1.8620000000000001</v>
      </c>
      <c r="M5">
        <v>1.9650000000000001</v>
      </c>
      <c r="N5"/>
      <c r="O5" s="97" t="s">
        <v>478</v>
      </c>
      <c r="P5" s="97" t="s">
        <v>358</v>
      </c>
    </row>
    <row r="6" spans="1:16" x14ac:dyDescent="0.25">
      <c r="A6" s="97" t="s">
        <v>476</v>
      </c>
      <c r="B6" s="173">
        <v>46175</v>
      </c>
      <c r="C6" s="79" t="s">
        <v>99</v>
      </c>
      <c r="D6">
        <v>12297</v>
      </c>
      <c r="E6">
        <v>15.61</v>
      </c>
      <c r="F6">
        <v>0.79800000000000004</v>
      </c>
      <c r="G6" s="97" t="s">
        <v>325</v>
      </c>
      <c r="H6" s="97" t="s">
        <v>309</v>
      </c>
      <c r="I6">
        <v>0.84199999999999997</v>
      </c>
      <c r="J6">
        <v>1.99</v>
      </c>
      <c r="K6"/>
      <c r="L6">
        <v>1.99</v>
      </c>
      <c r="M6">
        <v>2.1230000000000002</v>
      </c>
      <c r="N6"/>
      <c r="O6" s="97" t="s">
        <v>475</v>
      </c>
      <c r="P6" s="97" t="s">
        <v>358</v>
      </c>
    </row>
    <row r="7" spans="1:16" x14ac:dyDescent="0.25">
      <c r="A7" s="97" t="s">
        <v>357</v>
      </c>
      <c r="B7" s="173">
        <v>46170</v>
      </c>
      <c r="C7" s="79" t="s">
        <v>99</v>
      </c>
      <c r="D7">
        <v>12041</v>
      </c>
      <c r="E7">
        <v>13.23</v>
      </c>
      <c r="F7">
        <v>0.84899999999999998</v>
      </c>
      <c r="G7" s="97" t="s">
        <v>335</v>
      </c>
      <c r="H7" s="97" t="s">
        <v>309</v>
      </c>
      <c r="I7">
        <v>0.84899999999999998</v>
      </c>
      <c r="J7">
        <v>2.1789999999999998</v>
      </c>
      <c r="K7">
        <v>2.089</v>
      </c>
      <c r="L7">
        <v>2.0390000000000001</v>
      </c>
      <c r="M7">
        <v>2.0990000000000002</v>
      </c>
      <c r="N7">
        <v>0.96899999999999997</v>
      </c>
      <c r="O7" s="97" t="s">
        <v>340</v>
      </c>
      <c r="P7" s="97" t="s">
        <v>358</v>
      </c>
    </row>
    <row r="8" spans="1:16" x14ac:dyDescent="0.25">
      <c r="A8" s="97" t="s">
        <v>347</v>
      </c>
      <c r="B8" s="173">
        <v>46164</v>
      </c>
      <c r="C8" s="79" t="s">
        <v>99</v>
      </c>
      <c r="D8">
        <v>11831</v>
      </c>
      <c r="E8">
        <v>16.25</v>
      </c>
      <c r="F8">
        <v>0.79800000000000004</v>
      </c>
      <c r="G8" s="97" t="s">
        <v>325</v>
      </c>
      <c r="H8" s="97" t="s">
        <v>309</v>
      </c>
      <c r="I8">
        <v>0.79800000000000004</v>
      </c>
      <c r="J8"/>
      <c r="K8"/>
      <c r="L8"/>
      <c r="M8"/>
      <c r="N8"/>
      <c r="O8" s="97" t="s">
        <v>324</v>
      </c>
      <c r="P8" s="97" t="s">
        <v>358</v>
      </c>
    </row>
    <row r="9" spans="1:16" x14ac:dyDescent="0.25">
      <c r="A9" s="97" t="s">
        <v>356</v>
      </c>
      <c r="B9" s="173">
        <v>46161</v>
      </c>
      <c r="C9" s="79" t="s">
        <v>99</v>
      </c>
      <c r="D9">
        <v>11596</v>
      </c>
      <c r="E9">
        <v>14.9</v>
      </c>
      <c r="F9">
        <v>0.79800000000000004</v>
      </c>
      <c r="G9" s="97" t="s">
        <v>325</v>
      </c>
      <c r="H9" s="97" t="s">
        <v>309</v>
      </c>
      <c r="I9">
        <v>0.79800000000000004</v>
      </c>
      <c r="J9">
        <v>2.0910000000000002</v>
      </c>
      <c r="K9"/>
      <c r="L9"/>
      <c r="M9"/>
      <c r="N9"/>
      <c r="O9" s="97" t="s">
        <v>334</v>
      </c>
      <c r="P9" s="97" t="s">
        <v>358</v>
      </c>
    </row>
    <row r="10" spans="1:16" x14ac:dyDescent="0.25">
      <c r="A10" s="97" t="s">
        <v>355</v>
      </c>
      <c r="B10" s="173">
        <v>46157</v>
      </c>
      <c r="C10" s="79" t="s">
        <v>99</v>
      </c>
      <c r="D10">
        <v>11376</v>
      </c>
      <c r="E10">
        <v>13.37</v>
      </c>
      <c r="F10">
        <v>0.71699999999999997</v>
      </c>
      <c r="G10" s="97" t="s">
        <v>325</v>
      </c>
      <c r="H10" s="97" t="s">
        <v>309</v>
      </c>
      <c r="I10">
        <v>0.71699999999999997</v>
      </c>
      <c r="J10">
        <v>2.0950000000000002</v>
      </c>
      <c r="K10"/>
      <c r="L10"/>
      <c r="M10"/>
      <c r="N10"/>
      <c r="O10" s="97" t="s">
        <v>333</v>
      </c>
      <c r="P10" s="97" t="s">
        <v>358</v>
      </c>
    </row>
    <row r="11" spans="1:16" x14ac:dyDescent="0.25">
      <c r="A11" s="97" t="s">
        <v>354</v>
      </c>
      <c r="B11" s="173">
        <v>46154</v>
      </c>
      <c r="C11" s="79" t="s">
        <v>99</v>
      </c>
      <c r="D11">
        <v>11173</v>
      </c>
      <c r="E11">
        <v>13.94</v>
      </c>
      <c r="F11">
        <v>0.83499999999999996</v>
      </c>
      <c r="G11" s="97" t="s">
        <v>325</v>
      </c>
      <c r="H11" s="97" t="s">
        <v>309</v>
      </c>
      <c r="I11">
        <v>0.83499999999999996</v>
      </c>
      <c r="J11">
        <v>2.0950000000000002</v>
      </c>
      <c r="K11"/>
      <c r="L11"/>
      <c r="M11"/>
      <c r="N11"/>
      <c r="O11" s="97" t="s">
        <v>332</v>
      </c>
      <c r="P11" s="97" t="s">
        <v>358</v>
      </c>
    </row>
    <row r="12" spans="1:16" x14ac:dyDescent="0.25">
      <c r="A12" s="97" t="s">
        <v>353</v>
      </c>
      <c r="B12" s="173">
        <v>46151</v>
      </c>
      <c r="C12" s="79" t="s">
        <v>99</v>
      </c>
      <c r="D12">
        <v>10975</v>
      </c>
      <c r="E12">
        <v>15.28</v>
      </c>
      <c r="F12">
        <v>0.75700000000000001</v>
      </c>
      <c r="G12" s="97" t="s">
        <v>325</v>
      </c>
      <c r="H12" s="97" t="s">
        <v>309</v>
      </c>
      <c r="I12">
        <v>0.75700000000000001</v>
      </c>
      <c r="J12">
        <v>2.0979999999999999</v>
      </c>
      <c r="K12"/>
      <c r="L12"/>
      <c r="M12"/>
      <c r="N12"/>
      <c r="O12" s="97" t="s">
        <v>331</v>
      </c>
      <c r="P12" s="97" t="s">
        <v>358</v>
      </c>
    </row>
    <row r="13" spans="1:16" x14ac:dyDescent="0.25">
      <c r="A13" s="97" t="s">
        <v>352</v>
      </c>
      <c r="B13" s="173">
        <v>46148</v>
      </c>
      <c r="C13" s="79" t="s">
        <v>99</v>
      </c>
      <c r="D13">
        <v>10749</v>
      </c>
      <c r="E13">
        <v>11.71</v>
      </c>
      <c r="F13">
        <v>0.747</v>
      </c>
      <c r="G13" s="97" t="s">
        <v>325</v>
      </c>
      <c r="H13" s="97" t="s">
        <v>309</v>
      </c>
      <c r="I13">
        <v>0.747</v>
      </c>
      <c r="J13">
        <v>2.0979999999999999</v>
      </c>
      <c r="K13"/>
      <c r="L13"/>
      <c r="M13"/>
      <c r="N13"/>
      <c r="O13" s="97" t="s">
        <v>330</v>
      </c>
      <c r="P13" s="97" t="s">
        <v>358</v>
      </c>
    </row>
    <row r="14" spans="1:16" x14ac:dyDescent="0.25">
      <c r="A14" s="97" t="s">
        <v>351</v>
      </c>
      <c r="B14" s="173">
        <v>46146</v>
      </c>
      <c r="C14" s="79" t="s">
        <v>99</v>
      </c>
      <c r="D14">
        <v>10553</v>
      </c>
      <c r="E14">
        <v>11.47</v>
      </c>
      <c r="F14">
        <v>0.80900000000000005</v>
      </c>
      <c r="G14" s="97" t="s">
        <v>325</v>
      </c>
      <c r="H14" s="97" t="s">
        <v>309</v>
      </c>
      <c r="I14">
        <v>0.80900000000000005</v>
      </c>
      <c r="J14">
        <v>2.0790000000000002</v>
      </c>
      <c r="K14"/>
      <c r="L14"/>
      <c r="M14"/>
      <c r="N14"/>
      <c r="O14" s="97" t="s">
        <v>329</v>
      </c>
      <c r="P14" s="97" t="s">
        <v>358</v>
      </c>
    </row>
    <row r="15" spans="1:16" x14ac:dyDescent="0.25">
      <c r="A15" s="97" t="s">
        <v>350</v>
      </c>
      <c r="B15" s="173">
        <v>46140</v>
      </c>
      <c r="C15" s="79" t="s">
        <v>80</v>
      </c>
      <c r="D15">
        <v>10349</v>
      </c>
      <c r="E15">
        <v>13.75</v>
      </c>
      <c r="F15">
        <v>2.0310000000000001</v>
      </c>
      <c r="G15" s="97" t="s">
        <v>336</v>
      </c>
      <c r="H15" s="97" t="s">
        <v>309</v>
      </c>
      <c r="I15"/>
      <c r="J15">
        <v>2.0310000000000001</v>
      </c>
      <c r="K15"/>
      <c r="L15"/>
      <c r="M15"/>
      <c r="N15"/>
      <c r="O15" s="97" t="s">
        <v>328</v>
      </c>
      <c r="P15" s="97" t="s">
        <v>358</v>
      </c>
    </row>
    <row r="16" spans="1:16" x14ac:dyDescent="0.25">
      <c r="A16" s="97" t="s">
        <v>349</v>
      </c>
      <c r="B16" s="173">
        <v>46135</v>
      </c>
      <c r="C16" s="79" t="s">
        <v>80</v>
      </c>
      <c r="D16">
        <v>10094</v>
      </c>
      <c r="E16">
        <v>15.22</v>
      </c>
      <c r="F16">
        <v>1.9259999999999999</v>
      </c>
      <c r="G16" s="97" t="s">
        <v>335</v>
      </c>
      <c r="H16" s="97" t="s">
        <v>309</v>
      </c>
      <c r="I16"/>
      <c r="J16">
        <v>1.9259999999999999</v>
      </c>
      <c r="K16"/>
      <c r="L16"/>
      <c r="M16"/>
      <c r="N16"/>
      <c r="O16" s="97" t="s">
        <v>327</v>
      </c>
      <c r="P16" s="97" t="s">
        <v>358</v>
      </c>
    </row>
    <row r="17" spans="1:16" x14ac:dyDescent="0.25">
      <c r="A17" s="97" t="s">
        <v>348</v>
      </c>
      <c r="B17" s="173">
        <v>46131</v>
      </c>
      <c r="C17" s="79" t="s">
        <v>80</v>
      </c>
      <c r="D17">
        <v>9812</v>
      </c>
      <c r="E17">
        <v>11.4</v>
      </c>
      <c r="F17">
        <v>1.9730000000000001</v>
      </c>
      <c r="G17" s="97" t="s">
        <v>335</v>
      </c>
      <c r="H17" s="97" t="s">
        <v>309</v>
      </c>
      <c r="I17"/>
      <c r="J17">
        <v>1.9730000000000001</v>
      </c>
      <c r="K17"/>
      <c r="L17"/>
      <c r="M17"/>
      <c r="N17"/>
      <c r="O17" s="97" t="s">
        <v>326</v>
      </c>
      <c r="P17" s="97" t="s">
        <v>358</v>
      </c>
    </row>
    <row r="18" spans="1:16" x14ac:dyDescent="0.25">
      <c r="A18" s="97" t="s">
        <v>542</v>
      </c>
      <c r="B18" s="173">
        <v>25569</v>
      </c>
      <c r="C18" s="79" t="s">
        <v>54</v>
      </c>
      <c r="D18">
        <v>0</v>
      </c>
      <c r="E18">
        <v>0</v>
      </c>
      <c r="F18">
        <v>0</v>
      </c>
      <c r="G18" s="97" t="s">
        <v>270</v>
      </c>
      <c r="H18" s="97" t="s">
        <v>302</v>
      </c>
      <c r="I18"/>
      <c r="J18"/>
      <c r="K18"/>
      <c r="L18"/>
      <c r="M18"/>
      <c r="N18"/>
      <c r="O18" s="97" t="s">
        <v>323</v>
      </c>
      <c r="P18" s="97" t="s">
        <v>358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8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3" customWidth="1"/>
    <col min="2" max="2" width="19.375" style="73" customWidth="1"/>
    <col min="3" max="3" width="1.125" style="73" customWidth="1"/>
    <col min="4" max="4" width="31.5" style="73" customWidth="1"/>
    <col min="5" max="5" width="1" style="73" customWidth="1"/>
    <col min="6" max="6" width="22.625" style="73" customWidth="1"/>
    <col min="7" max="7" width="14" style="73"/>
    <col min="8" max="8" width="17.625" style="73" customWidth="1"/>
    <col min="9" max="16384" width="14" style="73"/>
  </cols>
  <sheetData>
    <row r="1" spans="2:8" ht="23.25" customHeight="1" x14ac:dyDescent="0.25"/>
    <row r="2" spans="2:8" x14ac:dyDescent="0.25">
      <c r="B2" s="73" t="s">
        <v>271</v>
      </c>
      <c r="D2" s="73" t="s">
        <v>274</v>
      </c>
      <c r="F2" s="99" t="s">
        <v>392</v>
      </c>
      <c r="G2" s="99" t="s">
        <v>373</v>
      </c>
      <c r="H2" s="99" t="s">
        <v>393</v>
      </c>
    </row>
    <row r="3" spans="2:8" x14ac:dyDescent="0.25">
      <c r="B3" s="73" t="s">
        <v>273</v>
      </c>
      <c r="F3" s="73" t="s">
        <v>394</v>
      </c>
      <c r="H3" s="73">
        <v>1781423207000</v>
      </c>
    </row>
    <row r="4" spans="2:8" x14ac:dyDescent="0.25">
      <c r="B4" s="73" t="s">
        <v>272</v>
      </c>
      <c r="D4" s="93"/>
      <c r="F4" s="73" t="s">
        <v>395</v>
      </c>
      <c r="G4" s="73">
        <v>15.159691403444878</v>
      </c>
      <c r="H4" s="73">
        <v>1781632519000</v>
      </c>
    </row>
    <row r="5" spans="2:8" x14ac:dyDescent="0.25">
      <c r="B5" s="73" t="s">
        <v>80</v>
      </c>
      <c r="D5" s="171"/>
      <c r="F5" s="73" t="s">
        <v>397</v>
      </c>
      <c r="G5" s="73">
        <v>0.85</v>
      </c>
      <c r="H5" s="73">
        <v>1780742385823</v>
      </c>
    </row>
    <row r="6" spans="2:8" x14ac:dyDescent="0.25">
      <c r="B6" s="73" t="s">
        <v>99</v>
      </c>
      <c r="F6" s="73" t="s">
        <v>413</v>
      </c>
      <c r="H6" s="73">
        <v>1781632519000</v>
      </c>
    </row>
    <row r="7" spans="2:8" x14ac:dyDescent="0.25">
      <c r="D7" s="100"/>
      <c r="F7" s="73" t="s">
        <v>414</v>
      </c>
      <c r="G7" s="73">
        <v>200</v>
      </c>
      <c r="H7" s="73">
        <v>1780512309000</v>
      </c>
    </row>
    <row r="8" spans="2:8" hidden="1" x14ac:dyDescent="0.25">
      <c r="F8" s="160" t="s">
        <v>524</v>
      </c>
      <c r="G8" s="160">
        <v>1</v>
      </c>
      <c r="H8" s="160">
        <v>1781291427494</v>
      </c>
    </row>
    <row r="9" spans="2:8" hidden="1" x14ac:dyDescent="0.25">
      <c r="F9" s="160" t="s">
        <v>525</v>
      </c>
      <c r="G9" s="160">
        <v>1</v>
      </c>
      <c r="H9" s="160">
        <v>1781291427532</v>
      </c>
    </row>
    <row r="10" spans="2:8" hidden="1" x14ac:dyDescent="0.25">
      <c r="F10" s="160" t="s">
        <v>526</v>
      </c>
      <c r="G10" s="160">
        <v>1</v>
      </c>
      <c r="H10" s="160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32" spans="4:4" x14ac:dyDescent="0.25">
      <c r="D32" s="73">
        <v>0</v>
      </c>
    </row>
    <row r="33" spans="4:4" x14ac:dyDescent="0.25">
      <c r="D33" s="171" t="s">
        <v>335</v>
      </c>
    </row>
    <row r="34" spans="4:4" x14ac:dyDescent="0.25">
      <c r="D34" s="73" t="s">
        <v>325</v>
      </c>
    </row>
    <row r="35" spans="4:4" x14ac:dyDescent="0.25">
      <c r="D35" s="73" t="s">
        <v>336</v>
      </c>
    </row>
    <row r="36" spans="4:4" x14ac:dyDescent="0.25">
      <c r="D36" s="130" t="s">
        <v>477</v>
      </c>
    </row>
    <row r="37" spans="4:4" x14ac:dyDescent="0.25">
      <c r="D37" s="130" t="s">
        <v>342</v>
      </c>
    </row>
    <row r="38" spans="4:4" x14ac:dyDescent="0.25">
      <c r="D38" s="172" t="s">
        <v>293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17"/>
  <sheetViews>
    <sheetView workbookViewId="0">
      <selection activeCell="E3" sqref="E3"/>
    </sheetView>
  </sheetViews>
  <sheetFormatPr baseColWidth="10" defaultRowHeight="15.75" x14ac:dyDescent="0.25"/>
  <cols>
    <col min="7" max="7" width="11" style="188"/>
    <col min="12" max="12" width="11" style="188"/>
    <col min="39" max="39" width="11" style="188"/>
    <col min="55" max="55" width="11" style="188"/>
  </cols>
  <sheetData>
    <row r="1" spans="1:56" x14ac:dyDescent="0.25">
      <c r="A1" t="s">
        <v>361</v>
      </c>
      <c r="B1" t="s">
        <v>362</v>
      </c>
      <c r="C1" t="s">
        <v>363</v>
      </c>
      <c r="D1" t="s">
        <v>364</v>
      </c>
      <c r="E1" t="s">
        <v>365</v>
      </c>
      <c r="G1" s="188" t="s">
        <v>0</v>
      </c>
      <c r="H1" t="s">
        <v>366</v>
      </c>
      <c r="I1" t="s">
        <v>367</v>
      </c>
      <c r="J1" t="s">
        <v>513</v>
      </c>
      <c r="O1" t="s">
        <v>302</v>
      </c>
      <c r="P1" t="s">
        <v>368</v>
      </c>
      <c r="Q1" t="s">
        <v>369</v>
      </c>
      <c r="S1" t="s">
        <v>361</v>
      </c>
      <c r="T1" t="s">
        <v>370</v>
      </c>
      <c r="U1" t="s">
        <v>371</v>
      </c>
      <c r="W1" t="s">
        <v>372</v>
      </c>
      <c r="X1" t="s">
        <v>373</v>
      </c>
      <c r="Z1" t="s">
        <v>534</v>
      </c>
      <c r="AA1" t="s">
        <v>535</v>
      </c>
      <c r="AC1" t="s">
        <v>379</v>
      </c>
      <c r="AD1" t="s">
        <v>380</v>
      </c>
      <c r="AF1" t="s">
        <v>383</v>
      </c>
      <c r="AG1" t="s">
        <v>384</v>
      </c>
      <c r="AH1" t="s">
        <v>385</v>
      </c>
      <c r="AJ1" t="s">
        <v>383</v>
      </c>
      <c r="AK1" t="s">
        <v>386</v>
      </c>
      <c r="AM1" s="188" t="s">
        <v>0</v>
      </c>
      <c r="AN1" t="s">
        <v>485</v>
      </c>
      <c r="AP1" t="s">
        <v>486</v>
      </c>
      <c r="AQ1" t="s">
        <v>487</v>
      </c>
      <c r="BC1" s="188" t="s">
        <v>0</v>
      </c>
      <c r="BD1" t="s">
        <v>309</v>
      </c>
    </row>
    <row r="2" spans="1:56" x14ac:dyDescent="0.25">
      <c r="A2" t="s">
        <v>541</v>
      </c>
      <c r="B2">
        <v>79.73</v>
      </c>
      <c r="C2">
        <v>0</v>
      </c>
      <c r="D2">
        <v>0</v>
      </c>
      <c r="E2">
        <v>16.7</v>
      </c>
      <c r="G2" s="188">
        <v>46131</v>
      </c>
      <c r="I2">
        <v>1.9730000000000001</v>
      </c>
      <c r="O2" t="s">
        <v>309</v>
      </c>
      <c r="P2">
        <v>6.77</v>
      </c>
      <c r="Q2">
        <v>6.76</v>
      </c>
      <c r="S2" t="s">
        <v>541</v>
      </c>
      <c r="T2">
        <v>79.73</v>
      </c>
      <c r="W2" t="s">
        <v>374</v>
      </c>
      <c r="X2">
        <v>2026</v>
      </c>
      <c r="Z2" t="s">
        <v>536</v>
      </c>
      <c r="AA2">
        <v>-151</v>
      </c>
      <c r="AC2" t="s">
        <v>381</v>
      </c>
      <c r="AD2">
        <v>202</v>
      </c>
      <c r="AF2">
        <v>4</v>
      </c>
      <c r="AG2">
        <v>10.056345760719452</v>
      </c>
      <c r="AH2">
        <v>514.54</v>
      </c>
      <c r="AJ2">
        <v>2</v>
      </c>
      <c r="AK2">
        <v>5.3971631205673765</v>
      </c>
      <c r="AM2" s="188">
        <v>46146</v>
      </c>
      <c r="AN2">
        <v>10.056345760719452</v>
      </c>
      <c r="AP2">
        <v>0.80900000000000005</v>
      </c>
      <c r="AQ2">
        <v>5.6225490196078436</v>
      </c>
      <c r="BC2" s="188">
        <v>46135</v>
      </c>
      <c r="BD2">
        <v>5.4</v>
      </c>
    </row>
    <row r="3" spans="1:56" x14ac:dyDescent="0.25">
      <c r="A3" t="s">
        <v>396</v>
      </c>
      <c r="B3">
        <v>86.91</v>
      </c>
      <c r="C3">
        <v>-106.7</v>
      </c>
      <c r="D3">
        <v>-106.7</v>
      </c>
      <c r="E3">
        <v>33.299999999999997</v>
      </c>
      <c r="G3" s="188">
        <v>46135</v>
      </c>
      <c r="I3">
        <v>1.9259999999999999</v>
      </c>
      <c r="S3" t="s">
        <v>396</v>
      </c>
      <c r="T3">
        <v>86.91</v>
      </c>
      <c r="W3" t="s">
        <v>375</v>
      </c>
      <c r="X3">
        <v>14</v>
      </c>
      <c r="Z3" t="s">
        <v>378</v>
      </c>
      <c r="AA3">
        <v>200</v>
      </c>
      <c r="AC3" t="s">
        <v>378</v>
      </c>
      <c r="AD3">
        <v>0</v>
      </c>
      <c r="AF3">
        <v>5</v>
      </c>
      <c r="AG3">
        <v>21.229537476500422</v>
      </c>
      <c r="AH3">
        <v>514.54</v>
      </c>
      <c r="AJ3">
        <v>3</v>
      </c>
      <c r="AK3">
        <v>5.3921568627450984</v>
      </c>
      <c r="AM3" s="188">
        <v>46148</v>
      </c>
      <c r="AN3">
        <v>21.229537476500422</v>
      </c>
      <c r="AP3">
        <v>0.747</v>
      </c>
      <c r="AQ3">
        <v>5.9744897959183678</v>
      </c>
      <c r="BC3" s="188">
        <v>46140</v>
      </c>
      <c r="BD3">
        <v>5.39</v>
      </c>
    </row>
    <row r="4" spans="1:56" x14ac:dyDescent="0.25">
      <c r="A4" t="s">
        <v>479</v>
      </c>
      <c r="B4">
        <v>35.47</v>
      </c>
      <c r="C4">
        <v>-44.3</v>
      </c>
      <c r="D4">
        <v>-150.9</v>
      </c>
      <c r="E4">
        <v>50</v>
      </c>
      <c r="G4" s="188">
        <v>46140</v>
      </c>
      <c r="I4">
        <v>2.0310000000000001</v>
      </c>
      <c r="S4" t="s">
        <v>479</v>
      </c>
      <c r="T4">
        <v>35.47</v>
      </c>
      <c r="W4" t="s">
        <v>300</v>
      </c>
      <c r="X4">
        <v>196.2</v>
      </c>
      <c r="AF4">
        <v>6</v>
      </c>
      <c r="AG4">
        <v>35.656273720491299</v>
      </c>
      <c r="AH4">
        <v>514.54</v>
      </c>
      <c r="AJ4">
        <v>4</v>
      </c>
      <c r="AK4">
        <v>5.6225490196078436</v>
      </c>
      <c r="AM4" s="188">
        <v>46151</v>
      </c>
      <c r="AN4">
        <v>35.656273720491299</v>
      </c>
      <c r="AP4">
        <v>0.75700000000000001</v>
      </c>
      <c r="AQ4">
        <v>6.7610619469026547</v>
      </c>
      <c r="BC4" s="188">
        <v>46146</v>
      </c>
      <c r="BD4">
        <v>5.62</v>
      </c>
    </row>
    <row r="5" spans="1:56" x14ac:dyDescent="0.25">
      <c r="G5" s="188">
        <v>46146</v>
      </c>
      <c r="H5">
        <v>0.80900000000000005</v>
      </c>
      <c r="I5">
        <v>2.0790000000000002</v>
      </c>
      <c r="W5" t="s">
        <v>376</v>
      </c>
      <c r="X5">
        <v>202</v>
      </c>
      <c r="AF5">
        <v>7</v>
      </c>
      <c r="AG5">
        <v>47.696608424771583</v>
      </c>
      <c r="AH5">
        <v>514.54</v>
      </c>
      <c r="AJ5">
        <v>5</v>
      </c>
      <c r="AK5">
        <v>5.9744897959183678</v>
      </c>
      <c r="AM5" s="188">
        <v>46154</v>
      </c>
      <c r="AN5">
        <v>47.696608424771583</v>
      </c>
      <c r="AP5">
        <v>0.83499999999999996</v>
      </c>
      <c r="AQ5">
        <v>7.0404040404040398</v>
      </c>
      <c r="BC5" s="188">
        <v>46148</v>
      </c>
      <c r="BD5">
        <v>5.97</v>
      </c>
    </row>
    <row r="6" spans="1:56" x14ac:dyDescent="0.25">
      <c r="G6" s="188">
        <v>46148</v>
      </c>
      <c r="H6">
        <v>0.747</v>
      </c>
      <c r="I6">
        <v>2.0979999999999999</v>
      </c>
      <c r="W6" t="s">
        <v>337</v>
      </c>
      <c r="X6">
        <v>2873</v>
      </c>
      <c r="AF6">
        <v>8</v>
      </c>
      <c r="AG6">
        <v>60.822279543582724</v>
      </c>
      <c r="AH6">
        <v>514.54</v>
      </c>
      <c r="AJ6">
        <v>6</v>
      </c>
      <c r="AK6">
        <v>6.7610619469026547</v>
      </c>
      <c r="AM6" s="188">
        <v>46157</v>
      </c>
      <c r="AN6">
        <v>60.822279543582724</v>
      </c>
      <c r="AP6">
        <v>0.71699999999999997</v>
      </c>
      <c r="AQ6">
        <v>6.5862068965517233</v>
      </c>
      <c r="BC6" s="188">
        <v>46151</v>
      </c>
      <c r="BD6">
        <v>6.76</v>
      </c>
    </row>
    <row r="7" spans="1:56" x14ac:dyDescent="0.25">
      <c r="G7" s="188">
        <v>46151</v>
      </c>
      <c r="H7">
        <v>0.75700000000000001</v>
      </c>
      <c r="I7">
        <v>2.0979999999999999</v>
      </c>
      <c r="W7" t="s">
        <v>377</v>
      </c>
      <c r="X7" t="s">
        <v>325</v>
      </c>
      <c r="AF7">
        <v>9</v>
      </c>
      <c r="AG7">
        <v>74.194764299700353</v>
      </c>
      <c r="AH7">
        <v>514.54</v>
      </c>
      <c r="AJ7">
        <v>7</v>
      </c>
      <c r="AK7">
        <v>7.0404040404040398</v>
      </c>
      <c r="AM7" s="188">
        <v>46161</v>
      </c>
      <c r="AN7">
        <v>74.194764299700353</v>
      </c>
      <c r="AP7">
        <v>0.79800000000000004</v>
      </c>
      <c r="AQ7">
        <v>6.7727272727272734</v>
      </c>
      <c r="BC7" s="188">
        <v>46154</v>
      </c>
      <c r="BD7">
        <v>7.04</v>
      </c>
    </row>
    <row r="8" spans="1:56" x14ac:dyDescent="0.25">
      <c r="G8" s="188">
        <v>46154</v>
      </c>
      <c r="H8">
        <v>0.83499999999999996</v>
      </c>
      <c r="I8">
        <v>2.0950000000000002</v>
      </c>
      <c r="AF8">
        <v>10</v>
      </c>
      <c r="AG8">
        <v>89.121433107739648</v>
      </c>
      <c r="AH8">
        <v>514.54</v>
      </c>
      <c r="AJ8">
        <v>8</v>
      </c>
      <c r="AK8">
        <v>6.5862068965517233</v>
      </c>
      <c r="AM8" s="188">
        <v>46164</v>
      </c>
      <c r="AN8">
        <v>89.121433107739648</v>
      </c>
      <c r="AP8">
        <v>0.79800000000000004</v>
      </c>
      <c r="AQ8">
        <v>6.9148936170212769</v>
      </c>
      <c r="BC8" s="188">
        <v>46157</v>
      </c>
      <c r="BD8">
        <v>6.59</v>
      </c>
    </row>
    <row r="9" spans="1:56" x14ac:dyDescent="0.25">
      <c r="G9" s="188">
        <v>46157</v>
      </c>
      <c r="H9">
        <v>0.71699999999999997</v>
      </c>
      <c r="I9">
        <v>2.0950000000000002</v>
      </c>
      <c r="AF9">
        <v>11</v>
      </c>
      <c r="AG9">
        <v>101.26441372819251</v>
      </c>
      <c r="AH9">
        <v>514.54</v>
      </c>
      <c r="AJ9">
        <v>9</v>
      </c>
      <c r="AK9">
        <v>6.7727272727272734</v>
      </c>
      <c r="AM9" s="188">
        <v>46170</v>
      </c>
      <c r="AN9">
        <v>101.26441372819251</v>
      </c>
      <c r="AP9">
        <v>0.84899999999999998</v>
      </c>
      <c r="AQ9">
        <v>6.3</v>
      </c>
      <c r="BC9" s="188">
        <v>46161</v>
      </c>
      <c r="BD9">
        <v>6.77</v>
      </c>
    </row>
    <row r="10" spans="1:56" x14ac:dyDescent="0.25">
      <c r="G10" s="188">
        <v>46161</v>
      </c>
      <c r="H10">
        <v>0.79800000000000004</v>
      </c>
      <c r="I10">
        <v>2.0910000000000002</v>
      </c>
      <c r="AJ10">
        <v>10</v>
      </c>
      <c r="AK10">
        <v>6.9148936170212769</v>
      </c>
      <c r="AM10" s="188">
        <v>46177</v>
      </c>
      <c r="AN10">
        <v>127.1850683019935</v>
      </c>
      <c r="AP10">
        <v>0.72899999999999998</v>
      </c>
      <c r="AQ10">
        <v>6.2614107883817427</v>
      </c>
      <c r="BC10" s="188">
        <v>46164</v>
      </c>
      <c r="BD10">
        <v>6.91</v>
      </c>
    </row>
    <row r="11" spans="1:56" x14ac:dyDescent="0.25">
      <c r="G11" s="188">
        <v>46164</v>
      </c>
      <c r="H11">
        <v>0.79800000000000004</v>
      </c>
      <c r="I11">
        <v>2.117</v>
      </c>
      <c r="AJ11">
        <v>11</v>
      </c>
      <c r="AK11">
        <v>6.3</v>
      </c>
      <c r="AM11" s="188">
        <v>46182.083333333336</v>
      </c>
      <c r="AN11">
        <v>138.36773006972007</v>
      </c>
      <c r="AP11">
        <v>0.79900000000000004</v>
      </c>
      <c r="AQ11">
        <v>8.2619047619047628</v>
      </c>
      <c r="BC11" s="188">
        <v>46170</v>
      </c>
      <c r="BD11">
        <v>6.3</v>
      </c>
    </row>
    <row r="12" spans="1:56" x14ac:dyDescent="0.25">
      <c r="G12" s="188">
        <v>46170</v>
      </c>
      <c r="H12">
        <v>0.84899999999999998</v>
      </c>
      <c r="I12">
        <v>2.1789999999999998</v>
      </c>
      <c r="J12">
        <v>2.0990000000000002</v>
      </c>
      <c r="AM12" s="188">
        <v>46185.083333333336</v>
      </c>
      <c r="AN12">
        <v>138.36773006972007</v>
      </c>
      <c r="AP12">
        <v>0.79900000000000004</v>
      </c>
      <c r="AQ12">
        <v>7.1234042553191479</v>
      </c>
      <c r="BC12" s="188">
        <v>46175</v>
      </c>
      <c r="BD12">
        <v>6.1</v>
      </c>
    </row>
    <row r="13" spans="1:56" x14ac:dyDescent="0.25">
      <c r="G13" s="188">
        <v>46175</v>
      </c>
      <c r="H13">
        <v>0.84199999999999997</v>
      </c>
      <c r="I13">
        <v>1.99</v>
      </c>
      <c r="J13">
        <v>2.1230000000000002</v>
      </c>
      <c r="BC13" s="188">
        <v>46177</v>
      </c>
      <c r="BD13">
        <v>6.26</v>
      </c>
    </row>
    <row r="14" spans="1:56" x14ac:dyDescent="0.25">
      <c r="G14" s="188">
        <v>46177</v>
      </c>
      <c r="H14">
        <v>0.77200000000000002</v>
      </c>
      <c r="I14">
        <v>1.9770000000000001</v>
      </c>
      <c r="J14">
        <v>1.9650000000000001</v>
      </c>
      <c r="BC14" s="188">
        <v>46182</v>
      </c>
      <c r="BD14">
        <v>8.26</v>
      </c>
    </row>
    <row r="15" spans="1:56" x14ac:dyDescent="0.25">
      <c r="G15" s="188">
        <v>46182</v>
      </c>
      <c r="H15">
        <v>0.79900000000000004</v>
      </c>
      <c r="I15">
        <v>1.9790000000000001</v>
      </c>
      <c r="J15">
        <v>1.9670000000000001</v>
      </c>
      <c r="BC15" s="188">
        <v>46185</v>
      </c>
      <c r="BD15">
        <v>7.12</v>
      </c>
    </row>
    <row r="16" spans="1:56" x14ac:dyDescent="0.25">
      <c r="G16" s="188">
        <v>46185</v>
      </c>
      <c r="H16">
        <v>0.79400000000000004</v>
      </c>
    </row>
    <row r="17" spans="7:10" x14ac:dyDescent="0.25">
      <c r="G17" s="188">
        <v>46189</v>
      </c>
      <c r="H17">
        <v>0.79900000000000004</v>
      </c>
      <c r="I17">
        <v>1.9750000000000001</v>
      </c>
      <c r="J17">
        <v>1.885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5"/>
  <sheetViews>
    <sheetView workbookViewId="0">
      <selection activeCell="C8" sqref="C8"/>
    </sheetView>
  </sheetViews>
  <sheetFormatPr baseColWidth="10" defaultRowHeight="15.75" x14ac:dyDescent="0.25"/>
  <cols>
    <col min="1" max="1" width="24.625" style="73" customWidth="1"/>
    <col min="2" max="2" width="14.75" style="73" customWidth="1"/>
    <col min="3" max="3" width="17.625" style="73" customWidth="1"/>
    <col min="4" max="4" width="16.25" style="73" customWidth="1"/>
    <col min="5" max="16384" width="11" style="73"/>
  </cols>
  <sheetData>
    <row r="1" spans="1:4" x14ac:dyDescent="0.25">
      <c r="A1" s="116" t="s">
        <v>275</v>
      </c>
      <c r="B1" s="116" t="s">
        <v>417</v>
      </c>
      <c r="C1" s="116" t="s">
        <v>418</v>
      </c>
      <c r="D1" s="116" t="s">
        <v>419</v>
      </c>
    </row>
    <row r="4" spans="1:4" x14ac:dyDescent="0.25">
      <c r="A4" s="73" t="s">
        <v>325</v>
      </c>
      <c r="B4" s="73">
        <v>50.512999999999998</v>
      </c>
      <c r="C4" s="73">
        <v>2.6890000000000001</v>
      </c>
      <c r="D4" s="73" t="s">
        <v>425</v>
      </c>
    </row>
    <row r="5" spans="1:4" x14ac:dyDescent="0.25">
      <c r="A5" s="73" t="s">
        <v>335</v>
      </c>
      <c r="B5" s="73">
        <v>50.4</v>
      </c>
      <c r="C5" s="73">
        <v>3.0430000000000001</v>
      </c>
      <c r="D5" s="73" t="s">
        <v>425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30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1" t="s">
        <v>292</v>
      </c>
      <c r="B1" s="101" t="s">
        <v>510</v>
      </c>
      <c r="C1" s="101" t="s">
        <v>511</v>
      </c>
      <c r="D1" s="101" t="s">
        <v>512</v>
      </c>
    </row>
    <row r="2" spans="1:4" x14ac:dyDescent="0.25">
      <c r="A2" s="98">
        <v>46181.153483796297</v>
      </c>
      <c r="B2">
        <v>0</v>
      </c>
      <c r="C2">
        <v>0</v>
      </c>
      <c r="D2">
        <v>31</v>
      </c>
    </row>
    <row r="3" spans="1:4" x14ac:dyDescent="0.25">
      <c r="A3" s="98">
        <v>46181.165208333332</v>
      </c>
      <c r="B3">
        <v>0</v>
      </c>
      <c r="C3">
        <v>0</v>
      </c>
      <c r="D3">
        <v>11</v>
      </c>
    </row>
    <row r="4" spans="1:4" x14ac:dyDescent="0.25">
      <c r="A4" s="98">
        <v>46181.225335648145</v>
      </c>
      <c r="B4">
        <v>0</v>
      </c>
      <c r="C4">
        <v>0</v>
      </c>
      <c r="D4">
        <v>15</v>
      </c>
    </row>
    <row r="5" spans="1:4" x14ac:dyDescent="0.25">
      <c r="A5" s="98">
        <v>46181.794120370374</v>
      </c>
      <c r="B5">
        <v>0</v>
      </c>
      <c r="C5">
        <v>0</v>
      </c>
      <c r="D5">
        <v>30</v>
      </c>
    </row>
    <row r="6" spans="1:4" x14ac:dyDescent="0.25">
      <c r="A6" s="98">
        <v>46181.895474537036</v>
      </c>
      <c r="B6">
        <v>0</v>
      </c>
      <c r="C6">
        <v>0</v>
      </c>
      <c r="D6">
        <v>14</v>
      </c>
    </row>
    <row r="7" spans="1:4" x14ac:dyDescent="0.25">
      <c r="A7" s="98">
        <v>46181.962881944448</v>
      </c>
      <c r="B7">
        <v>0</v>
      </c>
      <c r="C7">
        <v>0</v>
      </c>
      <c r="D7">
        <v>15</v>
      </c>
    </row>
    <row r="8" spans="1:4" x14ac:dyDescent="0.25">
      <c r="A8" s="98">
        <v>46182.009004629632</v>
      </c>
      <c r="B8">
        <v>0</v>
      </c>
      <c r="C8">
        <v>0</v>
      </c>
      <c r="D8">
        <v>15</v>
      </c>
    </row>
    <row r="9" spans="1:4" x14ac:dyDescent="0.25">
      <c r="A9" s="98">
        <v>46182.266111111108</v>
      </c>
      <c r="B9">
        <v>0</v>
      </c>
      <c r="C9">
        <v>0</v>
      </c>
      <c r="D9">
        <v>9</v>
      </c>
    </row>
    <row r="10" spans="1:4" x14ac:dyDescent="0.25">
      <c r="A10" s="98">
        <v>46182.27783564815</v>
      </c>
      <c r="B10">
        <v>0</v>
      </c>
      <c r="C10">
        <v>0</v>
      </c>
      <c r="D10">
        <v>16</v>
      </c>
    </row>
    <row r="11" spans="1:4" x14ac:dyDescent="0.25">
      <c r="A11" s="98">
        <v>46182.852361111109</v>
      </c>
      <c r="B11">
        <v>0</v>
      </c>
      <c r="C11">
        <v>0</v>
      </c>
      <c r="D11">
        <v>102</v>
      </c>
    </row>
    <row r="12" spans="1:4" x14ac:dyDescent="0.25">
      <c r="A12" s="98">
        <v>46184.318726851852</v>
      </c>
      <c r="B12">
        <v>1</v>
      </c>
      <c r="C12">
        <v>0</v>
      </c>
      <c r="D12">
        <v>53</v>
      </c>
    </row>
    <row r="13" spans="1:4" x14ac:dyDescent="0.25">
      <c r="A13" s="98">
        <v>46184.979722222219</v>
      </c>
      <c r="B13">
        <v>0</v>
      </c>
      <c r="C13">
        <v>0</v>
      </c>
      <c r="D13">
        <v>34</v>
      </c>
    </row>
    <row r="14" spans="1:4" x14ac:dyDescent="0.25">
      <c r="A14" s="98">
        <v>46186.196585648147</v>
      </c>
      <c r="B14">
        <v>0</v>
      </c>
      <c r="C14">
        <v>0</v>
      </c>
      <c r="D14">
        <v>63</v>
      </c>
    </row>
    <row r="15" spans="1:4" x14ac:dyDescent="0.25">
      <c r="A15" s="98">
        <v>46186.26599537037</v>
      </c>
      <c r="B15">
        <v>1</v>
      </c>
      <c r="C15">
        <v>0</v>
      </c>
      <c r="D15">
        <v>18</v>
      </c>
    </row>
    <row r="16" spans="1:4" x14ac:dyDescent="0.25">
      <c r="A16" s="98">
        <v>46186.776122685187</v>
      </c>
      <c r="B16">
        <v>0</v>
      </c>
      <c r="C16">
        <v>0</v>
      </c>
      <c r="D16">
        <v>31</v>
      </c>
    </row>
    <row r="17" spans="1:4" x14ac:dyDescent="0.25">
      <c r="A17" s="98">
        <v>46187.407858796294</v>
      </c>
      <c r="B17">
        <v>0</v>
      </c>
      <c r="C17">
        <v>1</v>
      </c>
      <c r="D17">
        <v>40</v>
      </c>
    </row>
    <row r="18" spans="1:4" x14ac:dyDescent="0.25">
      <c r="A18" s="98">
        <v>46187.479826388888</v>
      </c>
      <c r="B18">
        <v>0</v>
      </c>
      <c r="C18">
        <v>0</v>
      </c>
      <c r="D18">
        <v>51</v>
      </c>
    </row>
    <row r="19" spans="1:4" x14ac:dyDescent="0.25">
      <c r="A19" s="98">
        <v>46187.781030092592</v>
      </c>
      <c r="B19">
        <v>0</v>
      </c>
      <c r="C19">
        <v>0</v>
      </c>
      <c r="D19">
        <v>32</v>
      </c>
    </row>
    <row r="20" spans="1:4" x14ac:dyDescent="0.25">
      <c r="A20" s="98">
        <v>46187.795740740738</v>
      </c>
      <c r="B20">
        <v>0</v>
      </c>
      <c r="C20">
        <v>0</v>
      </c>
      <c r="D20">
        <v>22</v>
      </c>
    </row>
    <row r="21" spans="1:4" x14ac:dyDescent="0.25">
      <c r="A21" s="98">
        <v>46187.822175925925</v>
      </c>
      <c r="B21">
        <v>0</v>
      </c>
      <c r="C21">
        <v>0</v>
      </c>
      <c r="D21">
        <v>33</v>
      </c>
    </row>
    <row r="22" spans="1:4" x14ac:dyDescent="0.25">
      <c r="A22" s="98">
        <v>46187.837754629632</v>
      </c>
      <c r="B22">
        <v>0</v>
      </c>
      <c r="C22">
        <v>0</v>
      </c>
      <c r="D22">
        <v>20</v>
      </c>
    </row>
    <row r="23" spans="1:4" x14ac:dyDescent="0.25">
      <c r="A23" s="98">
        <v>46188.853402777779</v>
      </c>
      <c r="B23">
        <v>0</v>
      </c>
      <c r="C23">
        <v>0</v>
      </c>
      <c r="D23">
        <v>31</v>
      </c>
    </row>
    <row r="24" spans="1:4" x14ac:dyDescent="0.25">
      <c r="A24" s="98">
        <v>46189.829687500001</v>
      </c>
      <c r="B24">
        <v>1</v>
      </c>
      <c r="C24">
        <v>1</v>
      </c>
      <c r="D24">
        <v>27</v>
      </c>
    </row>
    <row r="25" spans="1:4" x14ac:dyDescent="0.25">
      <c r="A25" s="98">
        <v>46189.830150462964</v>
      </c>
      <c r="B25">
        <v>0</v>
      </c>
      <c r="C25">
        <v>1</v>
      </c>
      <c r="D25">
        <v>14</v>
      </c>
    </row>
    <row r="26" spans="1:4" x14ac:dyDescent="0.25">
      <c r="A26" s="98">
        <v>46189.860451388886</v>
      </c>
      <c r="B26">
        <v>0</v>
      </c>
      <c r="C26">
        <v>1</v>
      </c>
      <c r="D26">
        <v>295</v>
      </c>
    </row>
    <row r="27" spans="1:4" x14ac:dyDescent="0.25">
      <c r="A27" s="98">
        <v>46189.913738425923</v>
      </c>
      <c r="B27">
        <v>0</v>
      </c>
      <c r="C27">
        <v>1</v>
      </c>
      <c r="D27">
        <v>40</v>
      </c>
    </row>
    <row r="28" spans="1:4" x14ac:dyDescent="0.25">
      <c r="A28" s="98">
        <v>46190.194710648146</v>
      </c>
      <c r="B28">
        <v>0</v>
      </c>
      <c r="C28">
        <v>1</v>
      </c>
      <c r="D28">
        <v>51</v>
      </c>
    </row>
    <row r="29" spans="1:4" x14ac:dyDescent="0.25">
      <c r="A29" s="98">
        <v>46190.874641203707</v>
      </c>
      <c r="B29">
        <v>0</v>
      </c>
      <c r="C29">
        <v>1</v>
      </c>
      <c r="D29">
        <v>33</v>
      </c>
    </row>
    <row r="30" spans="1:4" x14ac:dyDescent="0.25">
      <c r="A30" s="98">
        <v>46190.986400462964</v>
      </c>
      <c r="B30">
        <v>0</v>
      </c>
      <c r="C30">
        <v>1</v>
      </c>
      <c r="D30">
        <v>78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1"/>
  <sheetViews>
    <sheetView workbookViewId="0">
      <selection activeCell="F1" sqref="F1"/>
    </sheetView>
  </sheetViews>
  <sheetFormatPr baseColWidth="10" defaultRowHeight="15.75" x14ac:dyDescent="0.25"/>
  <cols>
    <col min="1" max="1" width="11" style="188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88" t="s">
        <v>0</v>
      </c>
      <c r="B1" t="s">
        <v>302</v>
      </c>
      <c r="C1" t="s">
        <v>389</v>
      </c>
      <c r="F1" s="154" t="s">
        <v>515</v>
      </c>
      <c r="G1" t="s">
        <v>517</v>
      </c>
      <c r="H1" t="s">
        <v>520</v>
      </c>
    </row>
    <row r="2" spans="1:8" x14ac:dyDescent="0.25">
      <c r="A2" s="188">
        <v>46131</v>
      </c>
      <c r="B2" t="s">
        <v>309</v>
      </c>
      <c r="C2" t="s">
        <v>367</v>
      </c>
      <c r="F2" s="152" t="s">
        <v>309</v>
      </c>
      <c r="G2" s="97">
        <v>17</v>
      </c>
    </row>
    <row r="3" spans="1:8" x14ac:dyDescent="0.25">
      <c r="A3" s="188">
        <v>46135</v>
      </c>
      <c r="B3" t="s">
        <v>309</v>
      </c>
      <c r="C3" t="s">
        <v>367</v>
      </c>
      <c r="F3" s="152" t="s">
        <v>516</v>
      </c>
      <c r="G3" s="97">
        <v>17</v>
      </c>
      <c r="H3" t="s">
        <v>521</v>
      </c>
    </row>
    <row r="4" spans="1:8" x14ac:dyDescent="0.25">
      <c r="A4" s="188">
        <v>46140</v>
      </c>
      <c r="B4" t="s">
        <v>309</v>
      </c>
      <c r="C4" t="s">
        <v>367</v>
      </c>
      <c r="H4" t="s">
        <v>522</v>
      </c>
    </row>
    <row r="5" spans="1:8" x14ac:dyDescent="0.25">
      <c r="A5" s="188">
        <v>46146</v>
      </c>
      <c r="B5" t="s">
        <v>309</v>
      </c>
      <c r="C5" t="s">
        <v>366</v>
      </c>
    </row>
    <row r="6" spans="1:8" x14ac:dyDescent="0.25">
      <c r="A6" s="188">
        <v>46148</v>
      </c>
      <c r="B6" t="s">
        <v>309</v>
      </c>
      <c r="C6" t="s">
        <v>366</v>
      </c>
      <c r="H6" t="s">
        <v>523</v>
      </c>
    </row>
    <row r="7" spans="1:8" x14ac:dyDescent="0.25">
      <c r="A7" s="188">
        <v>46151</v>
      </c>
      <c r="B7" t="s">
        <v>309</v>
      </c>
      <c r="C7" t="s">
        <v>366</v>
      </c>
    </row>
    <row r="8" spans="1:8" x14ac:dyDescent="0.25">
      <c r="A8" s="188">
        <v>46154</v>
      </c>
      <c r="B8" t="s">
        <v>309</v>
      </c>
      <c r="C8" t="s">
        <v>366</v>
      </c>
    </row>
    <row r="9" spans="1:8" x14ac:dyDescent="0.25">
      <c r="A9" s="188">
        <v>46157</v>
      </c>
      <c r="B9" t="s">
        <v>309</v>
      </c>
      <c r="C9" t="s">
        <v>366</v>
      </c>
    </row>
    <row r="10" spans="1:8" x14ac:dyDescent="0.25">
      <c r="A10" s="188">
        <v>46161</v>
      </c>
      <c r="B10" t="s">
        <v>309</v>
      </c>
      <c r="C10" t="s">
        <v>366</v>
      </c>
    </row>
    <row r="11" spans="1:8" x14ac:dyDescent="0.25">
      <c r="A11" s="188">
        <v>46164</v>
      </c>
      <c r="B11" t="s">
        <v>309</v>
      </c>
      <c r="C11" t="s">
        <v>366</v>
      </c>
    </row>
    <row r="12" spans="1:8" x14ac:dyDescent="0.25">
      <c r="A12" s="188">
        <v>46170</v>
      </c>
      <c r="B12" t="s">
        <v>309</v>
      </c>
      <c r="C12" t="s">
        <v>366</v>
      </c>
    </row>
    <row r="13" spans="1:8" x14ac:dyDescent="0.25">
      <c r="A13" s="188">
        <v>46175</v>
      </c>
      <c r="B13" t="s">
        <v>309</v>
      </c>
      <c r="C13" t="s">
        <v>366</v>
      </c>
    </row>
    <row r="14" spans="1:8" x14ac:dyDescent="0.25">
      <c r="A14" s="188">
        <v>46177</v>
      </c>
      <c r="B14" t="s">
        <v>309</v>
      </c>
      <c r="C14" t="s">
        <v>366</v>
      </c>
    </row>
    <row r="15" spans="1:8" x14ac:dyDescent="0.25">
      <c r="A15" s="188">
        <v>46182.083333333336</v>
      </c>
      <c r="B15" t="s">
        <v>309</v>
      </c>
      <c r="C15" t="s">
        <v>366</v>
      </c>
    </row>
    <row r="16" spans="1:8" x14ac:dyDescent="0.25">
      <c r="A16" s="188">
        <v>46185.083333333336</v>
      </c>
      <c r="B16" t="s">
        <v>309</v>
      </c>
      <c r="C16" t="s">
        <v>366</v>
      </c>
    </row>
    <row r="17" spans="1:3" x14ac:dyDescent="0.25">
      <c r="A17" s="188">
        <v>46189.083333333336</v>
      </c>
      <c r="B17" t="s">
        <v>309</v>
      </c>
      <c r="C17" t="s">
        <v>366</v>
      </c>
    </row>
    <row r="18" spans="1:3" x14ac:dyDescent="0.25">
      <c r="A18" s="188">
        <v>46131</v>
      </c>
      <c r="B18" t="s">
        <v>309</v>
      </c>
      <c r="C18" t="s">
        <v>480</v>
      </c>
    </row>
    <row r="19" spans="1:3" x14ac:dyDescent="0.25">
      <c r="A19" s="188">
        <v>46131</v>
      </c>
      <c r="B19" t="s">
        <v>309</v>
      </c>
      <c r="C19" t="s">
        <v>490</v>
      </c>
    </row>
    <row r="20" spans="1:3" x14ac:dyDescent="0.25">
      <c r="A20" s="188">
        <v>46131</v>
      </c>
      <c r="B20" t="s">
        <v>309</v>
      </c>
      <c r="C20" t="s">
        <v>513</v>
      </c>
    </row>
    <row r="21" spans="1:3" x14ac:dyDescent="0.25">
      <c r="A21" s="188">
        <v>46131</v>
      </c>
      <c r="B21" t="s">
        <v>309</v>
      </c>
      <c r="C21" t="s">
        <v>518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27</vt:i4>
      </vt:variant>
    </vt:vector>
  </HeadingPairs>
  <TitlesOfParts>
    <vt:vector size="42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Carte_Fuel</vt:lpstr>
      <vt:lpstr>Carte_Position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2026-06-18T05:17:28Z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