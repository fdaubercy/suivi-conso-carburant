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4D75DD93-297D-4062-82B5-4AF0D5B5CD89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" i="2" l="1"/>
  <c r="O16" i="2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E26" i="2" s="1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H12" i="11" s="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10" i="11" l="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<sst xmlns="http://schemas.openxmlformats.org/spreadsheetml/2006/main" count="529" uniqueCount="397">
  <si>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</si>
  <si>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</si>
  <si>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</si>
  <si>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</si>
  <si>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</si>
  <si>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</si>
  <si>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</si>
  <si>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</si>
  <si>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</si>
  <si>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</si>
  <si>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</si>
  <si>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</si>
  <si>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</si>
  <si>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</si>
  <si>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</si>
  <si>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</si>
  <si>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</si>
  <si>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</si>
  <si>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</si>
  <si>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</si>
  <si>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</si>
  <si>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</si>
  <si>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</si>
  <si>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</si>
  <si>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</si>
  <si>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</si>
  <si>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</si>
  <si>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</si>
  <si>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</si>
  <si>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</si>
  <si>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</si>
  <si>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</si>
  <si>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</si>
  <si>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</si>
  <si>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</si>
  <si>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</si>
  <si>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</si>
  <si>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</si>
  <si>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</si>
  <si>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</si>
  <si>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</si>
  <si>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</si>
  <si>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</si>
  <si>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</si>
  <si>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</si>
  <si>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</si>
  <si>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</si>
  <si>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</si>
  <si>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</si>
  <si>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</si>
  <si>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</si>
  <si>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</si>
  <si>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</si>
  <si>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</si>
  <si>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</si>
  <si>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</si>
  <si>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</si>
  <si>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</si>
  <si>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</si>
  <si>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</si>
  <si>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</si>
  <si>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</si>
  <si>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</si>
  <si>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</si>
  <si>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</si>
  <si>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</si>
  <si>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</si>
  <si>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</si>
  <si>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</si>
  <si>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</si>
  <si>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</si>
  <si>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</si>
  <si>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</si>
  <si>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</si>
  <si>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</si>
  <si>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</si>
  <si>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</si>
  <si>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</si>
  <si>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</si>
  <si>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</si>
  <si>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</si>
  <si>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</si>
  <si>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</si>
  <si>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</si>
  <si>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</si>
  <si>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</si>
  <si>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</si>
  <si>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</si>
  <si>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</si>
  <si>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</si>
  <si>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</si>
  <si>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</si>
  <si>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</si>
  <si>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</si>
  <si>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</si>
  <si>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</si>
  <si>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</si>
  <si>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</si>
  <si>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</si>
  <si>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</si>
  <si>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</si>
  <si>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</si>
  <si>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</si>
  <si>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</si>
  <si>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</si>
  <si>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</si>
  <si>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</si>
  <si>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</si>
  <si>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</si>
  <si>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</si>
  <si>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</si>
  <si>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</si>
  <si>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</si>
  <si>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</si>
  <si>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</si>
  <si>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</si>
  <si>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</si>
  <si>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</si>
  <si>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</si>
  <si>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</si>
  <si>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</si>
  <si>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</si>
  <si>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</si>
  <si>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</si>
  <si>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</si>
  <si>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</si>
  <si>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</si>
  <si>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</si>
  <si>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</si>
  <si>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</si>
  <si>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</si>
  <si>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</si>
  <si>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</si>
  <si>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</si>
  <si>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</si>
  <si>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</si>
  <si>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</si>
  <si>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</si>
  <si>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</si>
  <si>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</si>
  <si>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</si>
  <si>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</si>
  <si>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</si>
  <si>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</si>
  <si>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</si>
  <si>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</si>
  <si>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</si>
  <si>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</si>
  <si>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</si>
  <si>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</si>
  <si>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</si>
  <si>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</si>
  <si>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</si>
  <si>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</si>
  <si>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</si>
  <si>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</si>
  <si>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</si>
  <si>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</si>
  <si>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</si>
  <si>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</si>
  <si>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</si>
  <si>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</si>
  <si>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</si>
  <si>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</si>
  <si>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</si>
  <si>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</si>
  <si>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</si>
  <si>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</si>
  <si>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</si>
  <si>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</si>
  <si>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</si>
  <si>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</si>
  <si>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</si>
  <si>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</si>
  <si>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</si>
  <si>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</si>
  <si>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</si>
  <si>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</si>
  <si>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</si>
  <si>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</si>
  <si>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</si>
  <si>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</si>
  <si>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</si>
  <si>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</si>
  <si>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</si>
  <si>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</si>
  <si>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</si>
  <si>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</si>
  <si>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</si>
  <si>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</si>
  <si>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</si>
  <si>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</si>
  <si>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</si>
  <si>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</si>
  <si>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</si>
  <si>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</si>
  <si>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</si>
  <si>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</si>
  <si>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</si>
  <si>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</si>
  <si>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</si>
  <si>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</si>
  <si>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</si>
  <si>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</si>
  <si>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</si>
  <si>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</si>
  <si>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</si>
  <si>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</si>
  <si>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</si>
  <si>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</si>
  <si>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</si>
  <si>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</si>
  <si>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</si>
  <si>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</si>
  <si>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</si>
  <si>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</si>
  <si>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</si>
  <si>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</si>
  <si>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</si>
  <si>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</si>
  <si>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</si>
  <si>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</si>
  <si>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</si>
  <si>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</si>
  <si>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</si>
  <si>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</si>
  <si>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</si>
  <si>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</si>
  <si>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</si>
  <si>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</si>
  <si>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</si>
  <si>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</si>
  <si>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</si>
  <si>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</si>
  <si>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</si>
  <si>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</si>
  <si>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</si>
  <si>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</si>
  <si>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</si>
  <si>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</si>
  <si>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</si>
  <si>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</si>
  <si>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</si>
  <si>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</si>
  <si>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</si>
  <si>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</si>
  <si>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</si>
  <si>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</si>
  <si>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</si>
  <si>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</si>
  <si>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</si>
  <si>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</si>
  <si>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</si>
  <si>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</si>
  <si>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</si>
  <si>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</si>
  <si>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</si>
  <si>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</si>
  <si>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</si>
  <si>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</si>
  <si>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</si>
  <si>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</si>
  <si>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</si>
  <si>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</si>
  <si>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</si>
  <si>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</si>
  <si>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</si>
  <si>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</si>
  <si>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</si>
  <si>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</si>
  <si>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</si>
  <si>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</si>
  <si>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</si>
  <si>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</si>
  <si>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</si>
  <si>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</si>
  <si>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</si>
  <si>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</si>
  <si>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</si>
  <si>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</si>
  <si>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</si>
  <si>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</si>
  <si>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</si>
  <si>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</si>
  <si>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</si>
  <si>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</si>
  <si>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</si>
  <si>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</si>
  <si>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</si>
  <si>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</si>
  <si>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</si>
  <si>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</si>
  <si>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</si>
  <si>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</si>
  <si>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</si>
  <si>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</si>
  <si>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</si>
  <si>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</si>
  <si>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</si>
  <si>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</si>
  <si>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</si>
  <si>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</si>
  <si>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</si>
  <si>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</si>
  <si>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</si>
  <si>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</si>
  <si>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</si>
  <si>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</si>
  <si>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</si>
  <si>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</si>
  <si>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</si>
  <si>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</si>
  <si>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</si>
  <si>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</si>
  <si>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</si>
  <si>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</si>
  <si>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</si>
  <si>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</si>
  <si>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</si>
  <si>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</si>
  <si>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</si>
  <si>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</si>
  <si>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</si>
  <si>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</si>
  <si>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</si>
  <si>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</si>
  <si>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</si>
  <si>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</si>
  <si>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</si>
  <si>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</si>
  <si>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</si>
  <si>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</si>
  <si>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</si>
  <si>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</si>
  <si>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</si>
  <si>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</si>
  <si>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</si>
  <si>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</si>
  <si>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</si>
  <si>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</si>
  <si>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</si>
  <si>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</si>
  <si>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</si>
  <si>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</si>
  <si>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</si>
  <si>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</si>
  <si>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</si>
  <si>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</si>
  <si>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</si>
  <si>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</si>
  <si>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</si>
  <si>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</si>
  <si>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</si>
  <si>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</si>
  <si>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</si>
  <si>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</si>
  <si>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</si>
  <si>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</si>
  <si>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</si>
  <si>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</si>
  <si>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</si>
  <si>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</si>
  <si>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</si>
  <si>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</si>
  <si>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</si>
  <si>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</si>
  <si>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</si>
  <si>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</si>
  <si>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</si>
  <si>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</si>
  <si>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</si>
  <si>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</si>
  <si>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</si>
  <si>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</si>
  <si>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</si>
  <si>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5/22/2026 2:00:00</t>
  </si>
  <si>
    <t>4/19/2026</t>
  </si>
  <si>
    <t>4/19/2026 2:00:00</t>
  </si>
  <si>
    <t>4/23/2026</t>
  </si>
  <si>
    <t>4/23/2026 2:00:00</t>
  </si>
  <si>
    <t>4/28/2026</t>
  </si>
  <si>
    <t>4/28/2026 2:00:00</t>
  </si>
  <si>
    <t>5/4/2026</t>
  </si>
  <si>
    <t>5/6/2026</t>
  </si>
  <si>
    <t>5/9/2026</t>
  </si>
  <si>
    <t>5/12/2026</t>
  </si>
  <si>
    <t>5/15/2026</t>
  </si>
  <si>
    <t>5/15/2026 2:00:00</t>
  </si>
  <si>
    <t>5/19/2026</t>
  </si>
  <si>
    <t>5/19/2026 2:00:00</t>
  </si>
  <si>
    <t>5/29/2026 3:54:38</t>
  </si>
  <si>
    <t>5/28/2026 2:00:00</t>
  </si>
  <si>
    <t/>
  </si>
  <si>
    <t>4/5/2026 2:00:00</t>
  </si>
  <si>
    <t>6/5/2026 2:00:00</t>
  </si>
  <si>
    <t>9/5/2026 2:00:00</t>
  </si>
  <si>
    <t>12/5/2026 1:00:00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</si>
</sst>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2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0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0" fillId="3" borderId="0" xfId="0" applyFont="1" applyFill="1" applyAlignment="1" applyProtection="1">
      <alignment horizontal="left" vertical="center"/>
    </xf>
    <xf numFmtId="0" fontId="30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0" fillId="22" borderId="0" xfId="0" applyFont="1" applyFill="1"/>
    <xf numFmtId="0" fontId="31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78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4.xml"/><Relationship Id="rId10" Type="http://schemas.openxmlformats.org/officeDocument/2006/relationships/externalLink" Target="externalLinks/externalLink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3E68DFA-1BA6-4A7A-A588-1C9675279F7F}" name="DonneesExternes_1" displayName="DonneesExternes_1" ref="A1:Y12" totalsRowShown="0">
  <autoFilter ref="A1:Y12" xr:uid="{93E68DFA-1BA6-4A7A-A588-1C9675279F7F}"/>
  <tableColumns count="25">
    <tableColumn id="1" xr3:uid="{0E7B5ADB-5131-49AB-B62E-4821884E7249}" name="Horodatage" dataDxfId="1"/>
    <tableColumn id="2" xr3:uid="{2E0FFCE8-26D5-44EE-A919-7776AAB9E791}" name="Date" dataDxfId="0"/>
    <tableColumn id="3" xr3:uid="{600A3B49-D155-4901-952D-E4149780F1FE}" name="Type"/>
    <tableColumn id="4" xr3:uid="{C45CA504-2FD8-4ECB-8519-37C7E7717E12}" name="Km compteur"/>
    <tableColumn id="5" xr3:uid="{AA040B70-AECB-44BE-ABEE-1FE25CD9B2CA}" name="Nb. Litres"/>
    <tableColumn id="6" xr3:uid="{5D8F99D4-03BB-42EF-83E9-D1B6C85D8DB2}" name="Prix €/L"/>
    <tableColumn id="7" xr3:uid="{72D569FE-F0A3-4C0A-861D-9A6AEA443862}" name="Station essence"/>
    <tableColumn id="8" xr3:uid="{77FD05D6-EECA-412E-B539-E8B886CA4309}" name="Véhicule"/>
    <tableColumn id="9" xr3:uid="{27B5C31A-6B00-44E1-A405-BFD0EBF3AD19}" name="E85 station (€/L)"/>
    <tableColumn id="10" xr3:uid="{F63BBCC0-7E3D-4A0F-A030-DCE0C23466AF}" name="SP98 station (€/L)"/>
    <tableColumn id="11" xr3:uid="{DBF122C9-1F72-4ABB-9CE8-E0A7D49A0B6A}" name="SP95 station (€/L)"/>
    <tableColumn id="12" xr3:uid="{F1C4D3C3-A77E-4352-91C4-A3C174133A81}" name="E10 station (€/L)"/>
    <tableColumn id="13" xr3:uid="{42E93E97-E689-4BE0-A570-30A4E0E8DA9E}" name="Gazole station (€/L)"/>
    <tableColumn id="14" xr3:uid="{CC459FC5-0BCA-4646-B442-DF927448DFCD}" name="GPLc station (€/L)"/>
    <tableColumn id="15" xr3:uid="{2D06894F-951F-4B4D-983A-DDD5654B2878}" name="sync_id"/>
    <tableColumn id="16" xr3:uid="{595055E5-3559-40E7-8B23-E3CB6060920E}" name="Photo ticket"/>
    <tableColumn id="17" xr3:uid="{BE922276-F2D9-4140-A9D5-308B10B7014A}" name="Colonne1"/>
    <tableColumn id="18" xr3:uid="{EF82A0E3-73AF-462B-A8BA-76EB397D4917}" name="Colonne2"/>
    <tableColumn id="19" xr3:uid="{EA9F8E3E-9A72-48AE-B177-8641F1189584}" name="Colonne3"/>
    <tableColumn id="20" xr3:uid="{D0FA4DA6-D604-4165-82D6-CA4ABEA7B171}" name="Colonne4"/>
    <tableColumn id="21" xr3:uid="{D8B58A90-62E6-4F10-A10C-3B65FADF7DE0}" name="Colonne5"/>
    <tableColumn id="22" xr3:uid="{931784F6-27B9-49CB-A6CB-2D23AF889A06}" name="Colonne6"/>
    <tableColumn id="23" xr3:uid="{67CCD86B-633D-44F3-BD04-FA1C98B3BC8B}" name="Colonne7"/>
    <tableColumn id="24" xr3:uid="{8704CDF4-3C07-4BDF-9B6C-AA5A97B620CB}" name="Colonne8"/>
    <tableColumn id="25" xr3:uid="{CB912A68-6680-437D-AD95-03C2EF0F1A03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>
      <calculatedColumnFormula>IFERROR(INDEX(GS_Pleins[Date],ROW()-15),"")</calculatedColumnFormula>
    </tableColumn>
    <tableColumn id="11" xr3:uid="{A77486BA-32D8-4661-BA23-1144AE2FD0EC}" name="Type" dataDxfId="25">
      <calculatedColumnFormula array="1">IFERROR(INDEX(GS_Pleins[Type],ROW()-ROW(Tableau2[#Headers])),"")</calculatedColumnFormula>
    </tableColumn>
    <tableColumn id="3" xr3:uid="{6C87F133-7224-4AAB-ACB2-666E8B7315B5}" name="Km compteur" dataDxfId="24">
      <calculatedColumnFormula>IFERROR(INDEX(GS_Pleins[Km],ROW()-15),"")</calculatedColumnFormula>
    </tableColumn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>
      <calculatedColumnFormula>IFERROR(INDEX(GS_Pleins[Litres],ROW()-15),"")</calculatedColumnFormula>
    </tableColumn>
    <tableColumn id="5" xr3:uid="{A61BA34E-E60B-4F70-A1D9-62090C37C449}" name="Prix €/L" dataDxfId="21">
      <calculatedColumnFormula>IFERROR(INDEX(GS_Pleins[PrixL],ROW()-15),"")</calculatedColumnFormula>
    </tableColumn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9" dataDxfId="8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 t="e">
        <f ca="1">SUMPRODUCT((YEAR(GS_Pleins[Date])=YEAR(TODAY()))*GS_Pleins[Litres]*GS_Pleins[PrixL])</f>
        <v>#VALUE!</v>
      </c>
    </row>
    <row r="8" spans="1:2" ht="26.1" customHeight="1" x14ac:dyDescent="0.3">
      <c r="A8" s="100" t="s">
        <v>354</v>
      </c>
      <c r="B8" s="103" t="e">
        <f ca="1">SUMPRODUCT((YEAR(GS_Pleins[Date])=YEAR(TODAY()))*1)</f>
        <v>#VALUE!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140.74416250000002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activeCell="B6" sqref="B6"/>
    </sheetView>
  </sheetViews>
  <sheetFormatPr baseColWidth="10" defaultRowHeight="15.75" x14ac:dyDescent="0.25"/>
  <cols>
    <col min="1" max="1" width="18.125" style="92" bestFit="1" customWidth="1"/>
    <col min="2" max="2" width="16.87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4" bestFit="1" customWidth="1"/>
    <col min="16" max="16" width="14.25" style="134" bestFit="1" customWidth="1"/>
    <col min="17" max="17" width="19" style="118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368</v>
      </c>
      <c r="Q1" s="149" t="s">
        <v>366</v>
      </c>
    </row>
    <row r="2" spans="1:17" x14ac:dyDescent="0.25">
      <c r="A2" s="95" t="s">
        <v>385</v>
      </c>
      <c r="B2" s="148" t="s">
        <v>396</v>
      </c>
      <c r="C2" s="93" t="s">
        <v>100</v>
      </c>
      <c r="D2" s="93">
        <v>11173</v>
      </c>
      <c r="E2" s="93">
        <v>13.94</v>
      </c>
      <c r="F2" s="93">
        <v>0.83499999999999996</v>
      </c>
      <c r="G2" s="93" t="s">
        <v>335</v>
      </c>
      <c r="H2" s="93" t="s">
        <v>315</v>
      </c>
      <c r="I2" s="93">
        <v>0.83499999999999996</v>
      </c>
      <c r="J2" s="93">
        <v>2.0950000000000002</v>
      </c>
      <c r="K2" s="93"/>
      <c r="L2" s="93"/>
      <c r="M2" s="93"/>
      <c r="N2" s="93"/>
      <c r="O2" s="135" t="s">
        <v>342</v>
      </c>
      <c r="P2" s="135" t="s">
        <v>392</v>
      </c>
      <c r="Q2" s="95"/>
    </row>
    <row r="3" spans="1:17" x14ac:dyDescent="0.25">
      <c r="A3" s="95" t="s">
        <v>376</v>
      </c>
      <c r="B3" s="148" t="s">
        <v>377</v>
      </c>
      <c r="C3" s="93" t="s">
        <v>81</v>
      </c>
      <c r="D3" s="93">
        <v>9812</v>
      </c>
      <c r="E3" s="93">
        <v>11.4</v>
      </c>
      <c r="F3" s="93">
        <v>1.9730000000000001</v>
      </c>
      <c r="G3" s="93" t="s">
        <v>345</v>
      </c>
      <c r="H3" s="93" t="s">
        <v>315</v>
      </c>
      <c r="I3" s="93"/>
      <c r="J3" s="93">
        <v>1.9730000000000001</v>
      </c>
      <c r="K3" s="93"/>
      <c r="L3" s="93"/>
      <c r="M3" s="93"/>
      <c r="N3" s="93"/>
      <c r="O3" s="135" t="s">
        <v>336</v>
      </c>
      <c r="P3" s="135" t="s">
        <v>392</v>
      </c>
      <c r="Q3" s="95"/>
    </row>
    <row r="4" spans="1:17" x14ac:dyDescent="0.25">
      <c r="A4" s="95" t="s">
        <v>378</v>
      </c>
      <c r="B4" s="148" t="s">
        <v>379</v>
      </c>
      <c r="C4" s="93" t="s">
        <v>81</v>
      </c>
      <c r="D4" s="93">
        <v>10094</v>
      </c>
      <c r="E4" s="93">
        <v>15.22</v>
      </c>
      <c r="F4" s="93">
        <v>1.9259999999999999</v>
      </c>
      <c r="G4" s="93" t="s">
        <v>345</v>
      </c>
      <c r="H4" s="93" t="s">
        <v>315</v>
      </c>
      <c r="I4" s="93"/>
      <c r="J4" s="93">
        <v>1.9259999999999999</v>
      </c>
      <c r="K4" s="93"/>
      <c r="L4" s="93"/>
      <c r="M4" s="93"/>
      <c r="N4" s="93"/>
      <c r="O4" s="135" t="s">
        <v>337</v>
      </c>
      <c r="P4" s="135" t="s">
        <v>392</v>
      </c>
      <c r="Q4" s="95"/>
    </row>
    <row r="5" spans="1:17" x14ac:dyDescent="0.25">
      <c r="A5" s="95" t="s">
        <v>380</v>
      </c>
      <c r="B5" s="148" t="s">
        <v>381</v>
      </c>
      <c r="C5" s="93" t="s">
        <v>81</v>
      </c>
      <c r="D5" s="93">
        <v>10349</v>
      </c>
      <c r="E5" s="93">
        <v>13.75</v>
      </c>
      <c r="F5" s="93">
        <v>2.0310000000000001</v>
      </c>
      <c r="G5" s="93" t="s">
        <v>346</v>
      </c>
      <c r="H5" s="93" t="s">
        <v>315</v>
      </c>
      <c r="I5" s="93"/>
      <c r="J5" s="93">
        <v>2.0310000000000001</v>
      </c>
      <c r="K5" s="93"/>
      <c r="L5" s="93"/>
      <c r="M5" s="93"/>
      <c r="N5" s="93"/>
      <c r="O5" s="135" t="s">
        <v>338</v>
      </c>
      <c r="P5" s="135" t="s">
        <v>392</v>
      </c>
      <c r="Q5" s="95"/>
    </row>
    <row r="6" spans="1:17" x14ac:dyDescent="0.25">
      <c r="A6" s="95" t="s">
        <v>382</v>
      </c>
      <c r="B6" s="148" t="s">
        <v>393</v>
      </c>
      <c r="C6" s="93" t="s">
        <v>100</v>
      </c>
      <c r="D6" s="93">
        <v>10553</v>
      </c>
      <c r="E6" s="93">
        <v>11.47</v>
      </c>
      <c r="F6" s="93">
        <v>0.80900000000000005</v>
      </c>
      <c r="G6" s="93" t="s">
        <v>335</v>
      </c>
      <c r="H6" s="93" t="s">
        <v>315</v>
      </c>
      <c r="I6" s="93">
        <v>0.80900000000000005</v>
      </c>
      <c r="J6" s="93">
        <v>2.0790000000000002</v>
      </c>
      <c r="K6" s="93"/>
      <c r="L6" s="93"/>
      <c r="M6" s="93"/>
      <c r="N6" s="93"/>
      <c r="O6" s="135" t="s">
        <v>339</v>
      </c>
      <c r="P6" s="135" t="s">
        <v>392</v>
      </c>
      <c r="Q6" s="95"/>
    </row>
    <row r="7" spans="1:17" x14ac:dyDescent="0.25">
      <c r="A7" s="95" t="s">
        <v>386</v>
      </c>
      <c r="B7" s="148" t="s">
        <v>387</v>
      </c>
      <c r="C7" s="93" t="s">
        <v>100</v>
      </c>
      <c r="D7" s="93">
        <v>11376</v>
      </c>
      <c r="E7" s="93">
        <v>13.37</v>
      </c>
      <c r="F7" s="93">
        <v>0.71699999999999997</v>
      </c>
      <c r="G7" s="93" t="s">
        <v>335</v>
      </c>
      <c r="H7" s="93" t="s">
        <v>315</v>
      </c>
      <c r="I7" s="93">
        <v>0.71699999999999997</v>
      </c>
      <c r="J7" s="93">
        <v>2.0950000000000002</v>
      </c>
      <c r="K7" s="93"/>
      <c r="L7" s="93"/>
      <c r="M7" s="93"/>
      <c r="N7" s="93"/>
      <c r="O7" s="135" t="s">
        <v>343</v>
      </c>
      <c r="P7" s="135" t="s">
        <v>392</v>
      </c>
      <c r="Q7" s="95"/>
    </row>
    <row r="8" spans="1:17" x14ac:dyDescent="0.25">
      <c r="A8" s="95" t="s">
        <v>388</v>
      </c>
      <c r="B8" s="148" t="s">
        <v>389</v>
      </c>
      <c r="C8" s="93" t="s">
        <v>100</v>
      </c>
      <c r="D8" s="93">
        <v>11596</v>
      </c>
      <c r="E8" s="93">
        <v>14.9</v>
      </c>
      <c r="F8" s="93">
        <v>0.79800000000000004</v>
      </c>
      <c r="G8" s="93" t="s">
        <v>335</v>
      </c>
      <c r="H8" s="93" t="s">
        <v>315</v>
      </c>
      <c r="I8" s="93">
        <v>0.79800000000000004</v>
      </c>
      <c r="J8" s="93">
        <v>2.0910000000000002</v>
      </c>
      <c r="K8" s="93"/>
      <c r="L8" s="93"/>
      <c r="M8" s="93"/>
      <c r="N8" s="93"/>
      <c r="O8" s="135" t="s">
        <v>344</v>
      </c>
      <c r="P8" s="135" t="s">
        <v>392</v>
      </c>
      <c r="Q8" s="95"/>
    </row>
    <row r="9" spans="1:17" x14ac:dyDescent="0.25">
      <c r="A9" s="95" t="s">
        <v>374</v>
      </c>
      <c r="B9" s="148" t="s">
        <v>375</v>
      </c>
      <c r="C9" s="93" t="s">
        <v>100</v>
      </c>
      <c r="D9" s="93">
        <v>11831</v>
      </c>
      <c r="E9" s="93">
        <v>16.25</v>
      </c>
      <c r="F9" s="93">
        <v>0.79800000000000004</v>
      </c>
      <c r="G9" s="93" t="s">
        <v>335</v>
      </c>
      <c r="H9" s="93" t="s">
        <v>315</v>
      </c>
      <c r="I9" s="93">
        <v>0.79800000000000004</v>
      </c>
      <c r="J9" s="93"/>
      <c r="K9" s="93"/>
      <c r="L9" s="93"/>
      <c r="M9" s="93"/>
      <c r="N9" s="93"/>
      <c r="O9" s="135" t="s">
        <v>334</v>
      </c>
      <c r="P9" s="135" t="s">
        <v>392</v>
      </c>
      <c r="Q9" s="95"/>
    </row>
    <row r="10" spans="1:17" x14ac:dyDescent="0.25">
      <c r="A10" s="95" t="s">
        <v>390</v>
      </c>
      <c r="B10" s="148" t="s">
        <v>391</v>
      </c>
      <c r="C10" s="93" t="s">
        <v>100</v>
      </c>
      <c r="D10" s="93">
        <v>12041</v>
      </c>
      <c r="E10" s="93">
        <v>13.23</v>
      </c>
      <c r="F10" s="93">
        <v>0.84899999999999998</v>
      </c>
      <c r="G10" s="93" t="s">
        <v>345</v>
      </c>
      <c r="H10" s="93" t="s">
        <v>315</v>
      </c>
      <c r="I10" s="93">
        <v>0.84899999999999998</v>
      </c>
      <c r="J10" s="93">
        <v>2.1789999999999998</v>
      </c>
      <c r="K10" s="93">
        <v>2.089</v>
      </c>
      <c r="L10" s="93">
        <v>2.0390000000000001</v>
      </c>
      <c r="M10" s="93">
        <v>2.0990000000000002</v>
      </c>
      <c r="N10" s="93">
        <v>0.96899999999999997</v>
      </c>
      <c r="O10" s="135" t="s">
        <v>367</v>
      </c>
      <c r="P10" s="135" t="s">
        <v>392</v>
      </c>
      <c r="Q10" s="95"/>
    </row>
    <row r="11" spans="1:17" x14ac:dyDescent="0.25">
      <c r="A11" s="95" t="s">
        <v>383</v>
      </c>
      <c r="B11" s="148" t="s">
        <v>394</v>
      </c>
      <c r="C11" s="93" t="s">
        <v>100</v>
      </c>
      <c r="D11" s="93">
        <v>10749</v>
      </c>
      <c r="E11" s="93">
        <v>11.71</v>
      </c>
      <c r="F11" s="93">
        <v>0.747</v>
      </c>
      <c r="G11" s="93" t="s">
        <v>335</v>
      </c>
      <c r="H11" s="93" t="s">
        <v>315</v>
      </c>
      <c r="I11" s="93">
        <v>0.747</v>
      </c>
      <c r="J11" s="93">
        <v>2.0979999999999999</v>
      </c>
      <c r="K11" s="93"/>
      <c r="L11" s="93"/>
      <c r="M11" s="93"/>
      <c r="N11" s="93"/>
      <c r="O11" s="135" t="s">
        <v>340</v>
      </c>
      <c r="P11" s="135" t="s">
        <v>392</v>
      </c>
      <c r="Q11" s="95"/>
    </row>
    <row r="12" spans="1:17" x14ac:dyDescent="0.25">
      <c r="A12" s="95" t="s">
        <v>384</v>
      </c>
      <c r="B12" s="148" t="s">
        <v>395</v>
      </c>
      <c r="C12" s="93" t="s">
        <v>100</v>
      </c>
      <c r="D12" s="93">
        <v>10975</v>
      </c>
      <c r="E12" s="93">
        <v>15.28</v>
      </c>
      <c r="F12" s="93">
        <v>0.75700000000000001</v>
      </c>
      <c r="G12" s="93" t="s">
        <v>335</v>
      </c>
      <c r="H12" s="93" t="s">
        <v>315</v>
      </c>
      <c r="I12" s="93">
        <v>0.75700000000000001</v>
      </c>
      <c r="J12" s="93">
        <v>2.0979999999999999</v>
      </c>
      <c r="K12" s="93"/>
      <c r="L12" s="93"/>
      <c r="M12" s="93"/>
      <c r="N12" s="93"/>
      <c r="O12" s="135" t="s">
        <v>341</v>
      </c>
      <c r="P12" s="135" t="s">
        <v>392</v>
      </c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370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371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19" t="s">
        <v>1</v>
      </c>
      <c r="B4" s="119" t="s">
        <v>55</v>
      </c>
      <c r="C4" s="119" t="s">
        <v>308</v>
      </c>
      <c r="D4" s="119" t="s">
        <v>12</v>
      </c>
      <c r="E4" s="119" t="s">
        <v>372</v>
      </c>
      <c r="F4" s="119" t="s">
        <v>56</v>
      </c>
      <c r="G4" s="119" t="s">
        <v>57</v>
      </c>
      <c r="H4" s="119" t="s">
        <v>373</v>
      </c>
      <c r="I4" s="119" t="s">
        <v>365</v>
      </c>
      <c r="J4" s="119" t="s">
        <v>271</v>
      </c>
    </row>
    <row r="5" spans="1:10" x14ac:dyDescent="0.25">
      <c r="A5" s="125" t="str">
        <f>IFERROR(INDEX(GS_Pleins[Date],1),"")</f>
        <v>12/5/2026 1:00:00</v>
      </c>
      <c r="B5" s="120" t="str">
        <f>IFERROR(INDEX(GS_Pleins[Type],1),"")</f>
        <v>SuperEthanol E85</v>
      </c>
      <c r="C5" s="120" t="str">
        <f>IFERROR(INDEX(GS_Pleins[Vehicule],1),"")</f>
        <v>Z900</v>
      </c>
      <c r="D5" s="121">
        <f>IFERROR(INDEX(GS_Pleins[Km],1),"")</f>
        <v>11173</v>
      </c>
      <c r="E5" s="121"/>
      <c r="F5" s="122">
        <f>IFERROR(INDEX(GS_Pleins[Litres],1),"")</f>
        <v>13.94</v>
      </c>
      <c r="G5" s="123">
        <f>IFERROR(INDEX(GS_Pleins[PrixL],1),"")</f>
        <v>0.83499999999999996</v>
      </c>
      <c r="H5" s="122">
        <f t="shared" ref="H5:H15" si="0">IFERROR($F5*$G5,"")</f>
        <v>11.639899999999999</v>
      </c>
      <c r="I5" s="122" t="str">
        <f t="shared" ref="I5:I15" si="1">IFERROR(IF(AND(ISNUMBER($E5),$E5&gt;0),$F5/$E5*100,""),"")</f>
        <v/>
      </c>
      <c r="J5" s="120" t="str">
        <f>IFERROR(INDEX(GS_Pleins[Station essence],1),"")</f>
        <v>E.Leclerc - Beuvry</v>
      </c>
    </row>
    <row r="6" spans="1:10" x14ac:dyDescent="0.25">
      <c r="A6" s="125" t="str">
        <f>IFERROR(INDEX(GS_Pleins[Date],2),"")</f>
        <v>4/19/2026 2:00:00</v>
      </c>
      <c r="B6" s="120" t="str">
        <f>IFERROR(INDEX(GS_Pleins[Type],2),"")</f>
        <v>Super 98</v>
      </c>
      <c r="C6" s="120" t="str">
        <f>IFERROR(INDEX(GS_Pleins[Vehicule],2),"")</f>
        <v>Z900</v>
      </c>
      <c r="D6" s="121">
        <f>IFERROR(INDEX(GS_Pleins[Km],2),"")</f>
        <v>9812</v>
      </c>
      <c r="E6" s="121">
        <f t="shared" ref="E6:E15" si="2">IFERROR(IF($C6=$C5,$D6-$D5,""),"")</f>
        <v>-1361</v>
      </c>
      <c r="F6" s="122">
        <f>IFERROR(INDEX(GS_Pleins[Litres],2),"")</f>
        <v>11.4</v>
      </c>
      <c r="G6" s="123">
        <f>IFERROR(INDEX(GS_Pleins[PrixL],2),"")</f>
        <v>1.9730000000000001</v>
      </c>
      <c r="H6" s="122">
        <f t="shared" si="0"/>
        <v>22.4922</v>
      </c>
      <c r="I6" s="122" t="str">
        <f t="shared" si="1"/>
        <v/>
      </c>
      <c r="J6" s="120" t="str">
        <f>IFERROR(INDEX(GS_Pleins[Station essence],2),"")</f>
        <v>Carrefour - Flers</v>
      </c>
    </row>
    <row r="7" spans="1:10" x14ac:dyDescent="0.25">
      <c r="A7" s="125" t="str">
        <f>IFERROR(INDEX(GS_Pleins[Date],3),"")</f>
        <v>4/23/2026 2:00:00</v>
      </c>
      <c r="B7" s="120" t="str">
        <f>IFERROR(INDEX(GS_Pleins[Type],3),"")</f>
        <v>Super 98</v>
      </c>
      <c r="C7" s="120" t="str">
        <f>IFERROR(INDEX(GS_Pleins[Vehicule],3),"")</f>
        <v>Z900</v>
      </c>
      <c r="D7" s="121">
        <f>IFERROR(INDEX(GS_Pleins[Km],3),"")</f>
        <v>10094</v>
      </c>
      <c r="E7" s="121">
        <f t="shared" si="2"/>
        <v>282</v>
      </c>
      <c r="F7" s="122">
        <f>IFERROR(INDEX(GS_Pleins[Litres],3),"")</f>
        <v>15.22</v>
      </c>
      <c r="G7" s="123">
        <f>IFERROR(INDEX(GS_Pleins[PrixL],3),"")</f>
        <v>1.9259999999999999</v>
      </c>
      <c r="H7" s="122">
        <f t="shared" si="0"/>
        <v>29.31372</v>
      </c>
      <c r="I7" s="122">
        <f t="shared" si="1"/>
        <v>5.3971631205673765</v>
      </c>
      <c r="J7" s="120" t="str">
        <f>IFERROR(INDEX(GS_Pleins[Station essence],3),"")</f>
        <v>Carrefour - Flers</v>
      </c>
    </row>
    <row r="8" spans="1:10" x14ac:dyDescent="0.25">
      <c r="A8" s="125" t="str">
        <f>IFERROR(INDEX(GS_Pleins[Date],4),"")</f>
        <v>4/28/2026 2:00:00</v>
      </c>
      <c r="B8" s="120" t="str">
        <f>IFERROR(INDEX(GS_Pleins[Type],4),"")</f>
        <v>Super 98</v>
      </c>
      <c r="C8" s="120" t="str">
        <f>IFERROR(INDEX(GS_Pleins[Vehicule],4),"")</f>
        <v>Z900</v>
      </c>
      <c r="D8" s="121">
        <f>IFERROR(INDEX(GS_Pleins[Km],4),"")</f>
        <v>10349</v>
      </c>
      <c r="E8" s="121">
        <f t="shared" si="2"/>
        <v>255</v>
      </c>
      <c r="F8" s="122">
        <f>IFERROR(INDEX(GS_Pleins[Litres],4),"")</f>
        <v>13.75</v>
      </c>
      <c r="G8" s="123">
        <f>IFERROR(INDEX(GS_Pleins[PrixL],4),"")</f>
        <v>2.0310000000000001</v>
      </c>
      <c r="H8" s="122">
        <f t="shared" si="0"/>
        <v>27.926250000000003</v>
      </c>
      <c r="I8" s="122">
        <f t="shared" si="1"/>
        <v>5.3921568627450984</v>
      </c>
      <c r="J8" s="120" t="str">
        <f>IFERROR(INDEX(GS_Pleins[Station essence],4),"")</f>
        <v>Leclerc - Douai</v>
      </c>
    </row>
    <row r="9" spans="1:10" x14ac:dyDescent="0.25">
      <c r="A9" s="125" t="str">
        <f>IFERROR(INDEX(GS_Pleins[Date],5),"")</f>
        <v>4/5/2026 2:00:00</v>
      </c>
      <c r="B9" s="120" t="str">
        <f>IFERROR(INDEX(GS_Pleins[Type],5),"")</f>
        <v>SuperEthanol E85</v>
      </c>
      <c r="C9" s="120" t="str">
        <f>IFERROR(INDEX(GS_Pleins[Vehicule],5),"")</f>
        <v>Z900</v>
      </c>
      <c r="D9" s="121">
        <f>IFERROR(INDEX(GS_Pleins[Km],5),"")</f>
        <v>10553</v>
      </c>
      <c r="E9" s="121">
        <f t="shared" si="2"/>
        <v>204</v>
      </c>
      <c r="F9" s="122">
        <f>IFERROR(INDEX(GS_Pleins[Litres],5),"")</f>
        <v>11.47</v>
      </c>
      <c r="G9" s="123">
        <f>IFERROR(INDEX(GS_Pleins[PrixL],5),"")</f>
        <v>0.80900000000000005</v>
      </c>
      <c r="H9" s="122">
        <f t="shared" si="0"/>
        <v>9.2792300000000019</v>
      </c>
      <c r="I9" s="122">
        <f t="shared" si="1"/>
        <v>5.6225490196078436</v>
      </c>
      <c r="J9" s="120" t="str">
        <f>IFERROR(INDEX(GS_Pleins[Station essence],5),"")</f>
        <v>E.Leclerc - Beuvry</v>
      </c>
    </row>
    <row r="10" spans="1:10" x14ac:dyDescent="0.25">
      <c r="A10" s="125" t="str">
        <f>IFERROR(INDEX(GS_Pleins[Date],6),"")</f>
        <v>5/15/2026 2:00:00</v>
      </c>
      <c r="B10" s="120" t="str">
        <f>IFERROR(INDEX(GS_Pleins[Type],6),"")</f>
        <v>SuperEthanol E85</v>
      </c>
      <c r="C10" s="120" t="str">
        <f>IFERROR(INDEX(GS_Pleins[Vehicule],6),"")</f>
        <v>Z900</v>
      </c>
      <c r="D10" s="121">
        <f>IFERROR(INDEX(GS_Pleins[Km],6),"")</f>
        <v>11376</v>
      </c>
      <c r="E10" s="121">
        <f t="shared" si="2"/>
        <v>823</v>
      </c>
      <c r="F10" s="122">
        <f>IFERROR(INDEX(GS_Pleins[Litres],6),"")</f>
        <v>13.37</v>
      </c>
      <c r="G10" s="123">
        <f>IFERROR(INDEX(GS_Pleins[PrixL],6),"")</f>
        <v>0.71699999999999997</v>
      </c>
      <c r="H10" s="122">
        <f t="shared" si="0"/>
        <v>9.5862899999999982</v>
      </c>
      <c r="I10" s="122">
        <f t="shared" si="1"/>
        <v>1.6245443499392467</v>
      </c>
      <c r="J10" s="120" t="str">
        <f>IFERROR(INDEX(GS_Pleins[Station essence],6),"")</f>
        <v>E.Leclerc - Beuvry</v>
      </c>
    </row>
    <row r="11" spans="1:10" x14ac:dyDescent="0.25">
      <c r="A11" s="125" t="str">
        <f>IFERROR(INDEX(GS_Pleins[Date],7),"")</f>
        <v>5/19/2026 2:00:00</v>
      </c>
      <c r="B11" s="120" t="str">
        <f>IFERROR(INDEX(GS_Pleins[Type],7),"")</f>
        <v>SuperEthanol E85</v>
      </c>
      <c r="C11" s="120" t="str">
        <f>IFERROR(INDEX(GS_Pleins[Vehicule],7),"")</f>
        <v>Z900</v>
      </c>
      <c r="D11" s="121">
        <f>IFERROR(INDEX(GS_Pleins[Km],7),"")</f>
        <v>11596</v>
      </c>
      <c r="E11" s="121">
        <f t="shared" si="2"/>
        <v>220</v>
      </c>
      <c r="F11" s="122">
        <f>IFERROR(INDEX(GS_Pleins[Litres],7),"")</f>
        <v>14.9</v>
      </c>
      <c r="G11" s="123">
        <f>IFERROR(INDEX(GS_Pleins[PrixL],7),"")</f>
        <v>0.79800000000000004</v>
      </c>
      <c r="H11" s="122">
        <f t="shared" si="0"/>
        <v>11.8902</v>
      </c>
      <c r="I11" s="122">
        <f t="shared" si="1"/>
        <v>6.7727272727272734</v>
      </c>
      <c r="J11" s="120" t="str">
        <f>IFERROR(INDEX(GS_Pleins[Station essence],7),"")</f>
        <v>E.Leclerc - Beuvry</v>
      </c>
    </row>
    <row r="12" spans="1:10" x14ac:dyDescent="0.25">
      <c r="A12" s="125" t="str">
        <f>IFERROR(INDEX(GS_Pleins[Date],8),"")</f>
        <v>5/22/2026 2:00:00</v>
      </c>
      <c r="B12" s="120" t="str">
        <f>IFERROR(INDEX(GS_Pleins[Type],8),"")</f>
        <v>SuperEthanol E85</v>
      </c>
      <c r="C12" s="120" t="str">
        <f>IFERROR(INDEX(GS_Pleins[Vehicule],8),"")</f>
        <v>Z900</v>
      </c>
      <c r="D12" s="121">
        <f>IFERROR(INDEX(GS_Pleins[Km],8),"")</f>
        <v>11831</v>
      </c>
      <c r="E12" s="121">
        <f t="shared" si="2"/>
        <v>235</v>
      </c>
      <c r="F12" s="122">
        <f>IFERROR(INDEX(GS_Pleins[Litres],8),"")</f>
        <v>16.25</v>
      </c>
      <c r="G12" s="123">
        <f>IFERROR(INDEX(GS_Pleins[PrixL],8),"")</f>
        <v>0.79800000000000004</v>
      </c>
      <c r="H12" s="122">
        <f t="shared" si="0"/>
        <v>12.967500000000001</v>
      </c>
      <c r="I12" s="122">
        <f t="shared" si="1"/>
        <v>6.9148936170212769</v>
      </c>
      <c r="J12" s="120" t="str">
        <f>IFERROR(INDEX(GS_Pleins[Station essence],8),"")</f>
        <v>E.Leclerc - Beuvry</v>
      </c>
    </row>
    <row r="13" spans="1:10" x14ac:dyDescent="0.25">
      <c r="A13" s="125" t="str">
        <f>IFERROR(INDEX(GS_Pleins[Date],9),"")</f>
        <v>5/28/2026 2:00:00</v>
      </c>
      <c r="B13" s="120" t="str">
        <f>IFERROR(INDEX(GS_Pleins[Type],9),"")</f>
        <v>SuperEthanol E85</v>
      </c>
      <c r="C13" s="120" t="str">
        <f>IFERROR(INDEX(GS_Pleins[Vehicule],9),"")</f>
        <v>Z900</v>
      </c>
      <c r="D13" s="121">
        <f>IFERROR(INDEX(GS_Pleins[Km],9),"")</f>
        <v>12041</v>
      </c>
      <c r="E13" s="121">
        <f t="shared" si="2"/>
        <v>210</v>
      </c>
      <c r="F13" s="122">
        <f>IFERROR(INDEX(GS_Pleins[Litres],9),"")</f>
        <v>13.23</v>
      </c>
      <c r="G13" s="123">
        <f>IFERROR(INDEX(GS_Pleins[PrixL],9),"")</f>
        <v>0.84899999999999998</v>
      </c>
      <c r="H13" s="122">
        <f t="shared" si="0"/>
        <v>11.23227</v>
      </c>
      <c r="I13" s="122">
        <f t="shared" si="1"/>
        <v>6.3</v>
      </c>
      <c r="J13" s="120" t="str">
        <f>IFERROR(INDEX(GS_Pleins[Station essence],9),"")</f>
        <v>Carrefour - Flers</v>
      </c>
    </row>
    <row r="14" spans="1:10" x14ac:dyDescent="0.25">
      <c r="A14" s="125" t="str">
        <f>IFERROR(INDEX(GS_Pleins[Date],10),"")</f>
        <v>6/5/2026 2:00:00</v>
      </c>
      <c r="B14" s="120" t="str">
        <f>IFERROR(INDEX(GS_Pleins[Type],10),"")</f>
        <v>SuperEthanol E85</v>
      </c>
      <c r="C14" s="120" t="str">
        <f>IFERROR(INDEX(GS_Pleins[Vehicule],10),"")</f>
        <v>Z900</v>
      </c>
      <c r="D14" s="121">
        <f>IFERROR(INDEX(GS_Pleins[Km],10),"")</f>
        <v>10749</v>
      </c>
      <c r="E14" s="121">
        <f t="shared" si="2"/>
        <v>-1292</v>
      </c>
      <c r="F14" s="122">
        <f>IFERROR(INDEX(GS_Pleins[Litres],10),"")</f>
        <v>11.71</v>
      </c>
      <c r="G14" s="123">
        <f>IFERROR(INDEX(GS_Pleins[PrixL],10),"")</f>
        <v>0.747</v>
      </c>
      <c r="H14" s="122">
        <f t="shared" si="0"/>
        <v>8.7473700000000001</v>
      </c>
      <c r="I14" s="122" t="str">
        <f t="shared" si="1"/>
        <v/>
      </c>
      <c r="J14" s="120" t="str">
        <f>IFERROR(INDEX(GS_Pleins[Station essence],10),"")</f>
        <v>E.Leclerc - Beuvry</v>
      </c>
    </row>
    <row r="15" spans="1:10" x14ac:dyDescent="0.25">
      <c r="A15" s="125" t="str">
        <f>IFERROR(INDEX(GS_Pleins[Date],11),"")</f>
        <v>9/5/2026 2:00:00</v>
      </c>
      <c r="B15" s="120" t="str">
        <f>IFERROR(INDEX(GS_Pleins[Type],11),"")</f>
        <v>SuperEthanol E85</v>
      </c>
      <c r="C15" s="120" t="str">
        <f>IFERROR(INDEX(GS_Pleins[Vehicule],11),"")</f>
        <v>Z900</v>
      </c>
      <c r="D15" s="121">
        <f>IFERROR(INDEX(GS_Pleins[Km],11),"")</f>
        <v>10975</v>
      </c>
      <c r="E15" s="121">
        <f t="shared" si="2"/>
        <v>226</v>
      </c>
      <c r="F15" s="122">
        <f>IFERROR(INDEX(GS_Pleins[Litres],11),"")</f>
        <v>15.28</v>
      </c>
      <c r="G15" s="123">
        <f>IFERROR(INDEX(GS_Pleins[PrixL],11),"")</f>
        <v>0.75700000000000001</v>
      </c>
      <c r="H15" s="122">
        <f t="shared" si="0"/>
        <v>11.56696</v>
      </c>
      <c r="I15" s="122">
        <f t="shared" si="1"/>
        <v>6.7610619469026547</v>
      </c>
      <c r="J15" s="120" t="str">
        <f>IFERROR(INDEX(GS_Pleins[Station essence],11),"")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B15" sqref="B15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3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4.7270613509960411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3.3172335286035461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4.1283473533819022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-27.437419355740122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0.42500107702275325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2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67.27231086237316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 t="str">
        <f ca="1"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447.2676891376268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 t="str">
        <f ca="1">IFERROR(IF(B11=0,LOOKUP(9.99999999999999E+307,Tableau2[Km compteur]),IF(OR(B12="-",B12=0),"En attente d'un plein E85",LOOKUP(9.99999999999999E+307,Tableau2[Km compteur])+B11/B12)),"En attente d'un plein E85")</f>
        <v>En attente d'un plein E85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t="e" cm="1" vm="1">
        <f t="array" aca="1" ref="B12" ca="1">IFERROR(IF(COUNTIF(Tableau2[Type],"SuperEthanol E85")=0,"-",B10/(LOOKUP(9.99999999999999E+307,IF(Tableau2[Type]="SuperEthanol E85",Tableau2[Km compteur]))-INDEX(Tableau2[Km compteur],MATCH("SuperEthanol E85",Tableau2[Type],0)-1))),"-")</f>
        <v>#VALUE!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0.13074262615612617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2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6" t="str">
        <f>IFERROR(INDEX(GS_Pleins[Date],ROW()-15),"")</f>
        <v>12/5/2026 1:00:00</v>
      </c>
      <c r="C16" s="127" t="str" cm="1">
        <f t="array" ref="C16">IFERROR(INDEX(GS_Pleins[Type],ROW()-ROW(Tableau2[#Headers])),"")</f>
        <v>SuperEthanol E85</v>
      </c>
      <c r="D16" s="46">
        <f>IFERROR(INDEX(GS_Pleins[Km],ROW()-15),"")</f>
        <v>11173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13.94</v>
      </c>
      <c r="G16" s="48">
        <f>IFERROR(INDEX(GS_Pleins[PrixL],ROW()-15),"")</f>
        <v>0.83499999999999996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11.639899999999999</v>
      </c>
      <c r="J16" s="51" t="str">
        <f t="shared" ref="J16:J23" si="2">IF(OR(D16="",D15="",F16="",ISTEXT(D15)),"",F16/(D16-D15)*100)</f>
        <v/>
      </c>
      <c r="K16" s="52" t="str">
        <f>IF(Tableau2[[#This Row],[Type]]="Super 98",Tableau2[[#This Row],[Prix €/L]],"")</f>
        <v/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e">
        <f>IF(Tableau2[[#This Row],[Type]]&lt;&gt;"SuperEthanol E85","",IF(Tableau2[[#This Row],[Coût Plein (€)]]="","",IF(N15&lt;&gt;"",N15+(L16-Tableau2[[#This Row],[Coût Plein (€)]]),L16-Tableau2[[#This Row],[Coût Plein (€)]])))</f>
        <v>#VALUE!</v>
      </c>
      <c r="O16" s="129" t="str" cm="1">
        <f t="array" ref="O16">IFERROR(INDEX(GS_Pleins[Station essence],ROW()-15),"")</f>
        <v>E.Leclerc - Beuvry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6" t="str">
        <f>IFERROR(INDEX(GS_Pleins[Date],ROW()-15),"")</f>
        <v>4/19/2026 2:00:00</v>
      </c>
      <c r="C17" s="127" t="str" cm="1">
        <f t="array" ref="C17">IFERROR(INDEX(GS_Pleins[Type],ROW()-ROW(Tableau2[#Headers])),"")</f>
        <v>Super 98</v>
      </c>
      <c r="D17" s="46">
        <f>IFERROR(INDEX(GS_Pleins[Km],ROW()-15),"")</f>
        <v>9812</v>
      </c>
      <c r="E17" s="60">
        <f>IF(AND(ISNUMBER(D16),Tableau2[[#This Row],[Km compteur]]&lt;&gt;""),Tableau2[[#This Row],[Km compteur]]-D16,"")</f>
        <v>-1361</v>
      </c>
      <c r="F17" s="47">
        <f>IFERROR(INDEX(GS_Pleins[Litres],ROW()-15),"")</f>
        <v>11.4</v>
      </c>
      <c r="G17" s="48">
        <f>IFERROR(INDEX(GS_Pleins[PrixL],ROW()-15),"")</f>
        <v>1.9730000000000001</v>
      </c>
      <c r="H17" s="49">
        <f t="shared" si="0"/>
        <v>-0.83761939750183689</v>
      </c>
      <c r="I17" s="50">
        <f>IF(F17="","",F17*G17)</f>
        <v>22.4922</v>
      </c>
      <c r="J17" s="51">
        <f t="shared" si="2"/>
        <v>-0.83761939750183689</v>
      </c>
      <c r="K17" s="52">
        <f>IF(Tableau2[[#This Row],[Type]]="Super 98",Tableau2[[#This Row],[Prix €/L]],"")</f>
        <v>1.9730000000000001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0" t="str" cm="1">
        <f t="array" ref="O17">IFERROR(INDEX(GS_Pleins[Station essence],ROW()-15),"")</f>
        <v>Carrefour - Flers</v>
      </c>
      <c r="Q17" s="3" t="e" cm="1">
        <f t="array" ref="Q17">IFERROR(IF(SMALL(IF((Tableau2[Type]="SuperEthanol E85")*(Tableau2[Économie cumulée (€)]&lt;&gt;""),ROW(Tableau2[Type])),1)&gt;0,1,NA()),NA())</f>
        <v>#N/A</v>
      </c>
      <c r="R17" s="3" t="e" cm="1">
        <f t="array" ref="R17">IFERROR(INDEX(Tableau2[Économie cumulée (€)],SMALL(IF((Tableau2[Type]="SuperEthanol E85")*(Tableau2[Économie cumulée (€)]&lt;&gt;""),ROW(Tableau2[Type])-ROW(Tableau2[#Headers])),1)),NA())</f>
        <v>#N/A</v>
      </c>
      <c r="S17" s="3" t="e">
        <f t="shared" ref="R17:S32" si="4">IF(ISNA(Q17),NA(),$B$5)</f>
        <v>#N/A</v>
      </c>
    </row>
    <row r="18" spans="1:19" x14ac:dyDescent="0.25">
      <c r="A18" s="45">
        <f t="shared" si="3"/>
        <v>3</v>
      </c>
      <c r="B18" s="126" t="str">
        <f>IFERROR(INDEX(GS_Pleins[Date],ROW()-15),"")</f>
        <v>4/23/2026 2:00:00</v>
      </c>
      <c r="C18" s="127" t="str" cm="1">
        <f t="array" ref="C18">IFERROR(INDEX(GS_Pleins[Type],ROW()-ROW(Tableau2[#Headers])),"")</f>
        <v>Super 98</v>
      </c>
      <c r="D18" s="46">
        <f>IFERROR(INDEX(GS_Pleins[Km],ROW()-15),"")</f>
        <v>10094</v>
      </c>
      <c r="E18" s="60">
        <f>IF(AND(ISNUMBER(D17),Tableau2[[#This Row],[Km compteur]]&lt;&gt;""),Tableau2[[#This Row],[Km compteur]]-D17,"")</f>
        <v>282</v>
      </c>
      <c r="F18" s="47">
        <f>IFERROR(INDEX(GS_Pleins[Litres],ROW()-15),"")</f>
        <v>15.22</v>
      </c>
      <c r="G18" s="48">
        <f>IFERROR(INDEX(GS_Pleins[PrixL],ROW()-15),"")</f>
        <v>1.9259999999999999</v>
      </c>
      <c r="H18" s="49">
        <f t="shared" si="0"/>
        <v>5.3971631205673765</v>
      </c>
      <c r="I18" s="50">
        <f t="shared" si="1"/>
        <v>29.31372</v>
      </c>
      <c r="J18" s="51">
        <f t="shared" si="2"/>
        <v>5.3971631205673765</v>
      </c>
      <c r="K18" s="52">
        <f>IF(Tableau2[[#This Row],[Type]]="Super 98",Tableau2[[#This Row],[Prix €/L]],"")</f>
        <v>1.9259999999999999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9" t="str" cm="1">
        <f t="array" ref="O18">IFERROR(INDEX(GS_Pleins[Station essence],ROW()-15),"")</f>
        <v>Carrefour - Flers</v>
      </c>
      <c r="Q18" s="3" t="e" cm="1">
        <f t="array" ref="Q18">IFERROR(IF(SMALL(IF((Tableau2[Type]="SuperEthanol E85")*(Tableau2[Économie cumulée (€)]&lt;&gt;""),ROW(Tableau2[Type])),2)&gt;0,2,NA()),NA())</f>
        <v>#N/A</v>
      </c>
      <c r="R18" s="3" t="e" cm="1">
        <f t="array" ref="R18">IFERROR(INDEX(Tableau2[Économie cumulée (€)],SMALL(IF((Tableau2[Type]="SuperEthanol E85")*(Tableau2[Économie cumulée (€)]&lt;&gt;""),ROW(Tableau2[Type])-ROW(Tableau2[#Headers])),2)),NA())</f>
        <v>#N/A</v>
      </c>
      <c r="S18" s="3" t="e">
        <f t="shared" si="4"/>
        <v>#N/A</v>
      </c>
    </row>
    <row r="19" spans="1:19" x14ac:dyDescent="0.25">
      <c r="A19" s="45">
        <f t="shared" si="3"/>
        <v>4</v>
      </c>
      <c r="B19" s="126" t="str">
        <f>IFERROR(INDEX(GS_Pleins[Date],ROW()-15),"")</f>
        <v>4/28/2026 2:00:00</v>
      </c>
      <c r="C19" s="127" t="str" cm="1">
        <f t="array" ref="C19">IFERROR(INDEX(GS_Pleins[Type],ROW()-ROW(Tableau2[#Headers])),"")</f>
        <v>Super 98</v>
      </c>
      <c r="D19" s="46">
        <f>IFERROR(INDEX(GS_Pleins[Km],ROW()-15),"")</f>
        <v>10349</v>
      </c>
      <c r="E19" s="60">
        <f>IF(AND(ISNUMBER(D18),Tableau2[[#This Row],[Km compteur]]&lt;&gt;""),Tableau2[[#This Row],[Km compteur]]-D18,"")</f>
        <v>255</v>
      </c>
      <c r="F19" s="47">
        <f>IFERROR(INDEX(GS_Pleins[Litres],ROW()-15),"")</f>
        <v>13.75</v>
      </c>
      <c r="G19" s="48">
        <f>IFERROR(INDEX(GS_Pleins[PrixL],ROW()-15),"")</f>
        <v>2.0310000000000001</v>
      </c>
      <c r="H19" s="49">
        <f t="shared" si="0"/>
        <v>5.3921568627450984</v>
      </c>
      <c r="I19" s="50">
        <f t="shared" si="1"/>
        <v>27.926250000000003</v>
      </c>
      <c r="J19" s="51">
        <f t="shared" si="2"/>
        <v>5.3921568627450984</v>
      </c>
      <c r="K19" s="52">
        <v>2.0790000000000002</v>
      </c>
      <c r="L19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9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9" s="54" t="str">
        <f>IF(Tableau2[[#This Row],[Type]]&lt;&gt;"SuperEthanol E85","",IF(Tableau2[[#This Row],[Coût Plein (€)]]="","",IF(N18&lt;&gt;"",N18+(L19-Tableau2[[#This Row],[Coût Plein (€)]]),L19-Tableau2[[#This Row],[Coût Plein (€)]])))</f>
        <v/>
      </c>
      <c r="O19" s="129" t="str" cm="1">
        <f t="array" ref="O19">IFERROR(INDEX(GS_Pleins[Station essence],ROW()-15),"")</f>
        <v>Leclerc - Douai</v>
      </c>
      <c r="Q19" s="3" t="e" cm="1">
        <f t="array" ref="Q19">IFERROR(IF(SMALL(IF((Tableau2[Type]="SuperEthanol E85")*(Tableau2[Économie cumulée (€)]&lt;&gt;""),ROW(Tableau2[Type])),3)&gt;0,3,NA()),NA())</f>
        <v>#N/A</v>
      </c>
      <c r="R19" s="3" t="e" cm="1">
        <f t="array" ref="R19">IFERROR(INDEX(Tableau2[Économie cumulée (€)],SMALL(IF((Tableau2[Type]="SuperEthanol E85")*(Tableau2[Économie cumulée (€)]&lt;&gt;""),ROW(Tableau2[Type])-ROW(Tableau2[#Headers])),3)),NA())</f>
        <v>#N/A</v>
      </c>
      <c r="S19" s="3" t="e">
        <f t="shared" si="4"/>
        <v>#N/A</v>
      </c>
    </row>
    <row r="20" spans="1:19" x14ac:dyDescent="0.25">
      <c r="A20" s="45">
        <f t="shared" si="3"/>
        <v>5</v>
      </c>
      <c r="B20" s="126" t="str">
        <f>IFERROR(INDEX(GS_Pleins[Date],ROW()-15),"")</f>
        <v>4/5/2026 2:00:00</v>
      </c>
      <c r="C20" s="127" t="str" cm="1">
        <f t="array" ref="C20">IFERROR(INDEX(GS_Pleins[Type],ROW()-ROW(Tableau2[#Headers])),"")</f>
        <v>SuperEthanol E85</v>
      </c>
      <c r="D20" s="46">
        <f>IFERROR(INDEX(GS_Pleins[Km],ROW()-15),"")</f>
        <v>10553</v>
      </c>
      <c r="E20" s="60">
        <f>IF(AND(ISNUMBER(D19),Tableau2[[#This Row],[Km compteur]]&lt;&gt;""),Tableau2[[#This Row],[Km compteur]]-D19,"")</f>
        <v>204</v>
      </c>
      <c r="F20" s="47">
        <f>IFERROR(INDEX(GS_Pleins[Litres],ROW()-15),"")</f>
        <v>11.47</v>
      </c>
      <c r="G20" s="48">
        <f>IFERROR(INDEX(GS_Pleins[PrixL],ROW()-15),"")</f>
        <v>0.80900000000000005</v>
      </c>
      <c r="H20" s="49">
        <f t="shared" si="0"/>
        <v>5.6225490196078436</v>
      </c>
      <c r="I20" s="50">
        <f t="shared" si="1"/>
        <v>9.2792300000000019</v>
      </c>
      <c r="J20" s="51">
        <f t="shared" si="2"/>
        <v>5.6225490196078436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16.887046885800892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0.45051197744928145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7.6078168858008901</v>
      </c>
      <c r="O20" s="129" t="str" cm="1">
        <f t="array" ref="O20">IFERROR(INDEX(GS_Pleins[Station essence],ROW()-15),"")</f>
        <v>E.Leclerc - Beuvry</v>
      </c>
      <c r="Q20" s="3" t="e" cm="1">
        <f t="array" ref="Q20">IFERROR(IF(SMALL(IF((Tableau2[Type]="SuperEthanol E85")*(Tableau2[Économie cumulée (€)]&lt;&gt;""),ROW(Tableau2[Type])),4)&gt;0,4,NA()),NA())</f>
        <v>#N/A</v>
      </c>
      <c r="R20" s="3" t="e" cm="1">
        <f t="array" ref="R20">IFERROR(INDEX(Tableau2[Économie cumulée (€)],SMALL(IF((Tableau2[Type]="SuperEthanol E85")*(Tableau2[Économie cumulée (€)]&lt;&gt;""),ROW(Tableau2[Type])-ROW(Tableau2[#Headers])),4)),NA())</f>
        <v>#N/A</v>
      </c>
      <c r="S20" s="3" t="e">
        <f t="shared" si="4"/>
        <v>#N/A</v>
      </c>
    </row>
    <row r="21" spans="1:19" x14ac:dyDescent="0.25">
      <c r="A21" s="45">
        <f t="shared" si="3"/>
        <v>6</v>
      </c>
      <c r="B21" s="126" t="str">
        <f>IFERROR(INDEX(GS_Pleins[Date],ROW()-15),"")</f>
        <v>5/15/2026 2:00:00</v>
      </c>
      <c r="C21" s="127" t="str" cm="1">
        <f t="array" ref="C21">IFERROR(INDEX(GS_Pleins[Type],ROW()-ROW(Tableau2[#Headers])),"")</f>
        <v>SuperEthanol E85</v>
      </c>
      <c r="D21" s="46">
        <f>IFERROR(INDEX(GS_Pleins[Km],ROW()-15),"")</f>
        <v>11376</v>
      </c>
      <c r="E21" s="60">
        <f>IF(AND(ISNUMBER(D20),Tableau2[[#This Row],[Km compteur]]&lt;&gt;""),Tableau2[[#This Row],[Km compteur]]-D20,"")</f>
        <v>823</v>
      </c>
      <c r="F21" s="47">
        <f>IFERROR(INDEX(GS_Pleins[Litres],ROW()-15),"")</f>
        <v>13.37</v>
      </c>
      <c r="G21" s="48">
        <f>IFERROR(INDEX(GS_Pleins[PrixL],ROW()-15),"")</f>
        <v>0.71699999999999997</v>
      </c>
      <c r="H21" s="49">
        <f>IF(OR(D21="",D20="",I21="",ISTEXT(D20)),"",F21/(D21-D20)*100)</f>
        <v>1.6245443499392467</v>
      </c>
      <c r="I21" s="50">
        <f t="shared" si="1"/>
        <v>9.5862899999999982</v>
      </c>
      <c r="J21" s="51">
        <f t="shared" si="2"/>
        <v>1.6245443499392467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19.684378104896066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0.51300010856753386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17.705904990696958</v>
      </c>
      <c r="O21" s="129" t="str" cm="1">
        <f t="array" ref="O21">IFERROR(INDEX(GS_Pleins[Station essence],ROW()-15),"")</f>
        <v>E.Leclerc - Beuvry</v>
      </c>
      <c r="Q21" s="3" t="e" cm="1">
        <f t="array" ref="Q21">IFERROR(IF(SMALL(IF((Tableau2[Type]="SuperEthanol E85")*(Tableau2[Économie cumulée (€)]&lt;&gt;""),ROW(Tableau2[Type])),5)&gt;0,5,NA()),NA())</f>
        <v>#N/A</v>
      </c>
      <c r="R21" s="3" t="e" cm="1">
        <f t="array" ref="R21">IFERROR(INDEX(Tableau2[Économie cumulée (€)],SMALL(IF((Tableau2[Type]="SuperEthanol E85")*(Tableau2[Économie cumulée (€)]&lt;&gt;""),ROW(Tableau2[Type])-ROW(Tableau2[#Headers])),5)),NA())</f>
        <v>#N/A</v>
      </c>
      <c r="S21" s="3" t="e">
        <f t="shared" si="4"/>
        <v>#N/A</v>
      </c>
    </row>
    <row r="22" spans="1:19" x14ac:dyDescent="0.25">
      <c r="A22" s="45">
        <f t="shared" si="3"/>
        <v>7</v>
      </c>
      <c r="B22" s="126" t="str">
        <f>IFERROR(INDEX(GS_Pleins[Date],ROW()-15),"")</f>
        <v>5/19/2026 2:00:00</v>
      </c>
      <c r="C22" s="128" t="str" cm="1">
        <f t="array" ref="C22">IFERROR(INDEX(GS_Pleins[Type],ROW()-ROW(Tableau2[#Headers])),"")</f>
        <v>SuperEthanol E85</v>
      </c>
      <c r="D22" s="60">
        <f>IFERROR(INDEX(GS_Pleins[Km],ROW()-15),"")</f>
        <v>11596</v>
      </c>
      <c r="E22" s="60">
        <f>IF(AND(ISNUMBER(D21),Tableau2[[#This Row],[Km compteur]]&lt;&gt;""),Tableau2[[#This Row],[Km compteur]]-D21,"")</f>
        <v>220</v>
      </c>
      <c r="F22" s="61">
        <f>IFERROR(INDEX(GS_Pleins[Litres],ROW()-15),"")</f>
        <v>14.9</v>
      </c>
      <c r="G22" s="62">
        <f>IFERROR(INDEX(GS_Pleins[PrixL],ROW()-15),"")</f>
        <v>0.79800000000000004</v>
      </c>
      <c r="H22" s="49">
        <f t="shared" si="0"/>
        <v>6.7727272727272734</v>
      </c>
      <c r="I22" s="50">
        <f>IF(F22="","",F22*G22)</f>
        <v>11.8902</v>
      </c>
      <c r="J22" s="51">
        <f t="shared" si="2"/>
        <v>6.7727272727272734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21.905597478717965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0.45720722698608268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27.721302469414923</v>
      </c>
      <c r="O22" s="129" t="str" cm="1">
        <f t="array" ref="O22">IFERROR(INDEX(GS_Pleins[Station essence],ROW()-15),"")</f>
        <v>E.Leclerc - Beuvry</v>
      </c>
      <c r="Q22" s="3" t="e" cm="1">
        <f t="array" ref="Q22">IFERROR(IF(SMALL(IF((Tableau2[Type]="SuperEthanol E85")*(Tableau2[Économie cumulée (€)]&lt;&gt;""),ROW(Tableau2[Type])),6)&gt;0,6,NA()),NA())</f>
        <v>#N/A</v>
      </c>
      <c r="R22" s="3" t="e" cm="1">
        <f t="array" ref="R22">IFERROR(INDEX(Tableau2[Économie cumulée (€)],SMALL(IF((Tableau2[Type]="SuperEthanol E85")*(Tableau2[Économie cumulée (€)]&lt;&gt;""),ROW(Tableau2[Type])-ROW(Tableau2[#Headers])),6)),NA())</f>
        <v>#N/A</v>
      </c>
      <c r="S22" s="3" t="e">
        <f t="shared" si="4"/>
        <v>#N/A</v>
      </c>
    </row>
    <row r="23" spans="1:19" x14ac:dyDescent="0.25">
      <c r="A23" s="45">
        <f t="shared" si="3"/>
        <v>8</v>
      </c>
      <c r="B23" s="126" t="str">
        <f>IFERROR(INDEX(GS_Pleins[Date],ROW()-15),"")</f>
        <v>5/22/2026 2:00:00</v>
      </c>
      <c r="C23" s="127" t="str" cm="1">
        <f t="array" ref="C23">IFERROR(INDEX(GS_Pleins[Type],ROW()-ROW(Tableau2[#Headers])),"")</f>
        <v>SuperEthanol E85</v>
      </c>
      <c r="D23" s="46">
        <f>IFERROR(INDEX(GS_Pleins[Km],ROW()-15),"")</f>
        <v>11831</v>
      </c>
      <c r="E23" s="60">
        <f>IF(AND(ISNUMBER(D22),Tableau2[[#This Row],[Km compteur]]&lt;&gt;""),Tableau2[[#This Row],[Km compteur]]-D22,"")</f>
        <v>235</v>
      </c>
      <c r="F23" s="47">
        <f>IFERROR(INDEX(GS_Pleins[Litres],ROW()-15),"")</f>
        <v>16.25</v>
      </c>
      <c r="G23" s="48">
        <f>IFERROR(INDEX(GS_Pleins[PrixL],ROW()-15),"")</f>
        <v>0.79800000000000004</v>
      </c>
      <c r="H23" s="49">
        <f t="shared" si="0"/>
        <v>6.9148936170212769</v>
      </c>
      <c r="I23" s="50">
        <f t="shared" si="1"/>
        <v>12.967500000000001</v>
      </c>
      <c r="J23" s="51">
        <f t="shared" si="2"/>
        <v>6.9148936170212769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23.890332820749453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0.45720722698608252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38.644135290164371</v>
      </c>
      <c r="O23" s="129" t="str" cm="1">
        <f t="array" ref="O23">IFERROR(INDEX(GS_Pleins[Station essence],ROW()-15),"")</f>
        <v>E.Leclerc - Beuvry</v>
      </c>
      <c r="Q23" s="3" t="e" cm="1">
        <f t="array" ref="Q23">IFERROR(IF(SMALL(IF((Tableau2[Type]="SuperEthanol E85")*(Tableau2[Économie cumulée (€)]&lt;&gt;""),ROW(Tableau2[Type])),7)&gt;0,7,NA()),NA())</f>
        <v>#N/A</v>
      </c>
      <c r="R23" s="3" t="e" cm="1">
        <f t="array" ref="R23">IFERROR(INDEX(Tableau2[Économie cumulée (€)],SMALL(IF((Tableau2[Type]="SuperEthanol E85")*(Tableau2[Économie cumulée (€)]&lt;&gt;""),ROW(Tableau2[Type])-ROW(Tableau2[#Headers])),7)),NA())</f>
        <v>#N/A</v>
      </c>
      <c r="S23" s="3" t="e">
        <f t="shared" si="4"/>
        <v>#N/A</v>
      </c>
    </row>
    <row r="24" spans="1:19" x14ac:dyDescent="0.25">
      <c r="A24" s="74">
        <f>IF(B24="","",A23+1)</f>
        <v>9</v>
      </c>
      <c r="B24" s="126" t="str">
        <f>IFERROR(INDEX(GS_Pleins[Date],ROW()-15),"")</f>
        <v>5/28/2026 2:00:00</v>
      </c>
      <c r="C24" s="128" t="str" cm="1">
        <f t="array" ref="C24">IFERROR(INDEX(GS_Pleins[Type],ROW()-ROW(Tableau2[#Headers])),"")</f>
        <v>SuperEthanol E85</v>
      </c>
      <c r="D24" s="60">
        <f>IFERROR(INDEX(GS_Pleins[Km],ROW()-15),"")</f>
        <v>12041</v>
      </c>
      <c r="E24" s="60">
        <f>IF(AND(ISNUMBER(D23),Tableau2[[#This Row],[Km compteur]]&lt;&gt;""),Tableau2[[#This Row],[Km compteur]]-D23,"")</f>
        <v>210</v>
      </c>
      <c r="F24" s="61">
        <f>IFERROR(INDEX(GS_Pleins[Litres],ROW()-15),"")</f>
        <v>13.23</v>
      </c>
      <c r="G24" s="62">
        <f>IFERROR(INDEX(GS_Pleins[PrixL],ROW()-15),"")</f>
        <v>0.84899999999999998</v>
      </c>
      <c r="H24" s="73">
        <f>IF(OR(D24="",D23="",I24="",ISTEXT(D23)),"",F24/(D24-D23)*100)</f>
        <v>6.3</v>
      </c>
      <c r="I24" s="50">
        <f>IF(F24="","",F24*G24)</f>
        <v>11.23227</v>
      </c>
      <c r="J24" s="51">
        <f>IF(OR(D24="",D23="",F24="",ISTEXT(D23)),"",F24/(D24-D23)*100)</f>
        <v>6.3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19.413269537871574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0.42141276212706003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46.825134828035942</v>
      </c>
      <c r="O24" s="129" t="str" cm="1">
        <f t="array" ref="O24">IFERROR(INDEX(GS_Pleins[Station essence],ROW()-15),"")</f>
        <v>Carrefour - Flers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6" t="str">
        <f>IFERROR(INDEX(GS_Pleins[Date],ROW()-15),"")</f>
        <v>6/5/2026 2:00:00</v>
      </c>
      <c r="C25" s="128" t="str" cm="1">
        <f t="array" ref="C25">IFERROR(INDEX(GS_Pleins[Type],ROW()-ROW(Tableau2[#Headers])),"")</f>
        <v>SuperEthanol E85</v>
      </c>
      <c r="D25" s="60">
        <f>IFERROR(INDEX(GS_Pleins[Km],ROW()-15),"")</f>
        <v>10749</v>
      </c>
      <c r="E25" s="60">
        <f>IF(AND(ISNUMBER(D24),Tableau2[[#This Row],[Km compteur]]&lt;&gt;""),Tableau2[[#This Row],[Km compteur]]-D24,"")</f>
        <v>-1292</v>
      </c>
      <c r="F25" s="61">
        <f>IFERROR(INDEX(GS_Pleins[Litres],ROW()-15),"")</f>
        <v>11.71</v>
      </c>
      <c r="G25" s="62">
        <f>IFERROR(INDEX(GS_Pleins[PrixL],ROW()-15),"")</f>
        <v>0.747</v>
      </c>
      <c r="H25" s="73">
        <f>IF(OR(D25="",D24="",I25="",ISTEXT(D24)),"",F25/(D25-D24)*100)</f>
        <v>-0.90634674922600633</v>
      </c>
      <c r="I25" s="50">
        <f>IF(F25="","",F25*G25)</f>
        <v>8.7473700000000001</v>
      </c>
      <c r="J25" s="51">
        <f>IF(OR(D25="",D24="",F25="",ISTEXT(D24)),"",F25/(D25-D24)*100)</f>
        <v>-0.90634674922600633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17.396527202487281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0.4971772297893261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55.474292030523223</v>
      </c>
      <c r="O25" s="129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6" t="str">
        <f>IFERROR(INDEX(GS_Pleins[Date],ROW()-15),"")</f>
        <v>9/5/2026 2:00:00</v>
      </c>
      <c r="C26" s="128" t="str" cm="1">
        <f t="array" ref="C26">IFERROR(INDEX(GS_Pleins[Type],ROW()-ROW(Tableau2[#Headers])),"")</f>
        <v>SuperEthanol E85</v>
      </c>
      <c r="D26" s="60">
        <f>IFERROR(INDEX(GS_Pleins[Km],ROW()-15),"")</f>
        <v>10975</v>
      </c>
      <c r="E26" s="60">
        <f>IF(AND(ISNUMBER(D25),Tableau2[[#This Row],[Km compteur]]&lt;&gt;""),Tableau2[[#This Row],[Km compteur]]-D25,"")</f>
        <v>226</v>
      </c>
      <c r="F26" s="61">
        <f>IFERROR(INDEX(GS_Pleins[Litres],ROW()-15),"")</f>
        <v>15.28</v>
      </c>
      <c r="G26" s="62">
        <f>IFERROR(INDEX(GS_Pleins[PrixL],ROW()-15),"")</f>
        <v>0.75700000000000001</v>
      </c>
      <c r="H26" s="73">
        <f>IF(OR(D26="",D25="",I26="",ISTEXT(D25)),"",F26/(D26-D25)*100)</f>
        <v>6.7610619469026547</v>
      </c>
      <c r="I26" s="50">
        <f>IF(F26="","",F26*G26)</f>
        <v>11.56696</v>
      </c>
      <c r="J26" s="51">
        <f>IF(OR(D26="",D25="",F26="",ISTEXT(D25)),"",F26/(D26-D25)*100)</f>
        <v>6.7610619469026547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23.364978831849939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0.50494455470113608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67.27231086237316</v>
      </c>
      <c r="O26" s="129" t="str" cm="1">
        <f t="array" ref="O26">IFERROR(INDEX(GS_Pleins[Station essence],ROW()-15),"")</f>
        <v>E.Leclerc - Beuvry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3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142.54213086237314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55.632410862373135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-458.90758913762681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 t="str">
        <f>IFERROR((LOOKUP(9.99999999999999E+307,Tableau2[Km compteur])-INDEX(Tableau2[Km compteur],1))/(LOOKUP(9.99999999999999E+307,Tableau2[Date])-INDEX(Tableau2[Date],1))*7,"-")</f>
        <v>-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0.1081206725665121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 t="str">
        <f>IFERROR((LOOKUP(9.99999999999999E+307,Tableau2[Km compteur])-INDEX(Tableau2[Km compteur],1))/(LOOKUP(9.99999999999999E+307,Tableau2[Date])-INDEX(Tableau2[Date],1))*30.4375,"-")</f>
        <v>-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458,91 €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86.909720000000007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2.4958461580248152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4.7270613509960411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18387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3.3172335286035461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5" priority="2">
      <formula>AND($C16="SuperEthanol E85",$K16="")</formula>
    </cfRule>
  </conditionalFormatting>
  <conditionalFormatting sqref="G16:G26">
    <cfRule type="expression" dxfId="34" priority="3">
      <formula>AND($G16&lt;&gt;"",ISNUMBER($G16),$G16&lt;AVERAGEIFS(G:G,C:C,$C16,G:G,"&gt;="&amp;$G16-30,G:G," &lt;="&amp;$G16))</formula>
    </cfRule>
    <cfRule type="expression" dxfId="3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2.0926666666666662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1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2026-05-31T00:18:45Z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