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69C34F67-6733-435E-A200-96AE778D8DDA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GS_Pleins!$A$1:$P$12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E26" i="2" s="1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H12" i="11" s="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K16" i="2" l="1"/>
  <c r="H10" i="11"/>
  <c r="H15" i="11"/>
  <c r="H6" i="11"/>
  <c r="H9" i="11"/>
  <c r="H14" i="11"/>
  <c r="H5" i="1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L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<sst xmlns="http://schemas.openxmlformats.org/spreadsheetml/2006/main" count="529" uniqueCount="397">
  <si>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</si>
  <si>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</si>
  <si>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</si>
  <si>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</si>
  <si>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</si>
  <si>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</si>
  <si>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</si>
  <si>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</si>
  <si>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</si>
  <si>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</si>
  <si>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</si>
  <si>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</si>
  <si>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</si>
  <si>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</si>
  <si>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</si>
  <si>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</si>
  <si>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</si>
  <si>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</si>
  <si>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</si>
  <si>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</si>
  <si>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</si>
  <si>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</si>
  <si>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</si>
  <si>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</si>
  <si>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</si>
  <si>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</si>
  <si>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</si>
  <si>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</si>
  <si>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</si>
  <si>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</si>
  <si>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</si>
  <si>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</si>
  <si>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</si>
  <si>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</si>
  <si>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</si>
  <si>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</si>
  <si>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</si>
  <si>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</si>
  <si>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</si>
  <si>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</si>
  <si>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</si>
  <si>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</si>
  <si>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</si>
  <si>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</si>
  <si>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</si>
  <si>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</si>
  <si>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</si>
  <si>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</si>
  <si>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</si>
  <si>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</si>
  <si>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</si>
  <si>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</si>
  <si>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</si>
  <si>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</si>
  <si>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</si>
  <si>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</si>
  <si>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</si>
  <si>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</si>
  <si>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</si>
  <si>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</si>
  <si>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</si>
  <si>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</si>
  <si>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</si>
  <si>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</si>
  <si>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</si>
  <si>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</si>
  <si>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</si>
  <si>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</si>
  <si>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</si>
  <si>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</si>
  <si>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</si>
  <si>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</si>
  <si>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</si>
  <si>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</si>
  <si>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</si>
  <si>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</si>
  <si>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</si>
  <si>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</si>
  <si>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</si>
  <si>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</si>
  <si>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</si>
  <si>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</si>
  <si>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</si>
  <si>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</si>
  <si>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</si>
  <si>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</si>
  <si>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</si>
  <si>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</si>
  <si>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</si>
  <si>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</si>
  <si>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</si>
  <si>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</si>
  <si>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</si>
  <si>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</si>
  <si>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</si>
  <si>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</si>
  <si>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</si>
  <si>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</si>
  <si>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</si>
  <si>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</si>
  <si>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</si>
  <si>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</si>
  <si>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</si>
  <si>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</si>
  <si>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</si>
  <si>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</si>
  <si>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</si>
  <si>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</si>
  <si>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</si>
  <si>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</si>
  <si>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</si>
  <si>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</si>
  <si>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</si>
  <si>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</si>
  <si>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</si>
  <si>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</si>
  <si>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</si>
  <si>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</si>
  <si>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</si>
  <si>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</si>
  <si>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</si>
  <si>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</si>
  <si>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</si>
  <si>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</si>
  <si>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</si>
  <si>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</si>
  <si>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</si>
  <si>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</si>
  <si>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</si>
  <si>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</si>
  <si>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</si>
  <si>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</si>
  <si>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</si>
  <si>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</si>
  <si>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</si>
  <si>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</si>
  <si>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</si>
  <si>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</si>
  <si>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</si>
  <si>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</si>
  <si>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</si>
  <si>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</si>
  <si>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</si>
  <si>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</si>
  <si>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</si>
  <si>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</si>
  <si>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</si>
  <si>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</si>
  <si>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</si>
  <si>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</si>
  <si>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</si>
  <si>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</si>
  <si>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</si>
  <si>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</si>
  <si>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</si>
  <si>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</si>
  <si>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</si>
  <si>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</si>
  <si>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</si>
  <si>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</si>
  <si>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</si>
  <si>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</si>
  <si>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</si>
  <si>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</si>
  <si>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</si>
  <si>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</si>
  <si>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</si>
  <si>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</si>
  <si>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</si>
  <si>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</si>
  <si>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</si>
  <si>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</si>
  <si>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</si>
  <si>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</si>
  <si>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</si>
  <si>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</si>
  <si>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</si>
  <si>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</si>
  <si>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</si>
  <si>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</si>
  <si>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</si>
  <si>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</si>
  <si>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</si>
  <si>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</si>
  <si>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</si>
  <si>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</si>
  <si>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</si>
  <si>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</si>
  <si>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</si>
  <si>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</si>
  <si>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</si>
  <si>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</si>
  <si>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</si>
  <si>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</si>
  <si>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</si>
  <si>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</si>
  <si>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</si>
  <si>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</si>
  <si>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</si>
  <si>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</si>
  <si>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</si>
  <si>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</si>
  <si>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</si>
  <si>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</si>
  <si>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</si>
  <si>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</si>
  <si>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</si>
  <si>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</si>
  <si>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</si>
  <si>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</si>
  <si>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</si>
  <si>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</si>
  <si>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</si>
  <si>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</si>
  <si>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</si>
  <si>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</si>
  <si>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</si>
  <si>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</si>
  <si>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</si>
  <si>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</si>
  <si>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</si>
  <si>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</si>
  <si>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</si>
  <si>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</si>
  <si>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</si>
  <si>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</si>
  <si>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</si>
  <si>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</si>
  <si>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</si>
  <si>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</si>
  <si>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</si>
  <si>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</si>
  <si>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</si>
  <si>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</si>
  <si>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</si>
  <si>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</si>
  <si>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</si>
  <si>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</si>
  <si>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</si>
  <si>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</si>
  <si>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</si>
  <si>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</si>
  <si>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</si>
  <si>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</si>
  <si>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</si>
  <si>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</si>
  <si>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</si>
  <si>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</si>
  <si>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</si>
  <si>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</si>
  <si>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</si>
  <si>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</si>
  <si>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</si>
  <si>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</si>
  <si>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</si>
  <si>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</si>
  <si>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</si>
  <si>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</si>
  <si>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</si>
  <si>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</si>
  <si>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</si>
  <si>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</si>
  <si>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</si>
  <si>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</si>
  <si>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</si>
  <si>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</si>
  <si>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</si>
  <si>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</si>
  <si>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</si>
  <si>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</si>
  <si>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</si>
  <si>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</si>
  <si>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</si>
  <si>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</si>
  <si>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</si>
  <si>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</si>
  <si>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</si>
  <si>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</si>
  <si>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</si>
  <si>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</si>
  <si>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</si>
  <si>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</si>
  <si>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</si>
  <si>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</si>
  <si>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</si>
  <si>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</si>
  <si>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</si>
  <si>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</si>
  <si>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</si>
  <si>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</si>
  <si>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</si>
  <si>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</si>
  <si>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</si>
  <si>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</si>
  <si>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</si>
  <si>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</si>
  <si>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</si>
  <si>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</si>
  <si>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</si>
  <si>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</si>
  <si>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</si>
  <si>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</si>
  <si>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</si>
  <si>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</si>
  <si>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</si>
  <si>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</si>
  <si>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</si>
  <si>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</si>
  <si>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</si>
  <si>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</si>
  <si>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</si>
  <si>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</si>
  <si>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</si>
  <si>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</si>
  <si>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</si>
  <si>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</si>
  <si>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</si>
  <si>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</si>
  <si>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</si>
  <si>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</si>
  <si>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</si>
  <si>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</si>
  <si>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</si>
  <si>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</si>
  <si>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</si>
  <si>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</si>
  <si>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</si>
  <si>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</si>
  <si>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</si>
  <si>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</si>
  <si>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</si>
  <si>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</si>
  <si>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</si>
  <si>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</si>
  <si>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</si>
  <si>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</si>
  <si>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</si>
  <si>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</si>
  <si>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</si>
  <si>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</si>
  <si>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</si>
  <si>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</si>
  <si>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</si>
  <si>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</si>
  <si>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</si>
  <si>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</si>
  <si>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</si>
  <si>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</si>
  <si>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</si>
  <si>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</si>
  <si>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</si>
  <si>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</si>
  <si>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</si>
  <si>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</si>
  <si>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</si>
  <si>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</si>
  <si>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</si>
  <si>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</si>
  <si>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</si>
  <si>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</si>
  <si>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</si>
  <si>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</si>
  <si>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</si>
  <si>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</si>
  <si>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</si>
  <si>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</si>
  <si>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</si>
  <si>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</si>
  <si>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</si>
  <si>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</si>
  <si>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</si>
  <si>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</si>
  <si>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</si>
  <si>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</si>
  <si>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</si>
  <si>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5/22/2026 2:00:00</t>
  </si>
  <si>
    <t>4/19/2026</t>
  </si>
  <si>
    <t>4/19/2026 2:00:00</t>
  </si>
  <si>
    <t>4/23/2026</t>
  </si>
  <si>
    <t>4/23/2026 2:00:00</t>
  </si>
  <si>
    <t>4/28/2026</t>
  </si>
  <si>
    <t>4/28/2026 2:00:00</t>
  </si>
  <si>
    <t>5/4/2026</t>
  </si>
  <si>
    <t>5/6/2026</t>
  </si>
  <si>
    <t>5/9/2026</t>
  </si>
  <si>
    <t>5/12/2026</t>
  </si>
  <si>
    <t>5/15/2026</t>
  </si>
  <si>
    <t>5/15/2026 2:00:00</t>
  </si>
  <si>
    <t>5/19/2026</t>
  </si>
  <si>
    <t>5/19/2026 2:00:00</t>
  </si>
  <si>
    <t>5/29/2026 3:54:38</t>
  </si>
  <si>
    <t>5/28/2026 2:00:00</t>
  </si>
  <si>
    <t/>
  </si>
  <si>
    <t>5/4/2026 2:00:00</t>
  </si>
  <si>
    <t>5/6/2026 2:00:00</t>
  </si>
  <si>
    <t>5/9/2026 2:00:00</t>
  </si>
  <si>
    <t>5/12/2026 2:00:00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</si>
</sst>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2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50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0" fillId="3" borderId="0" xfId="0" applyFont="1" applyFill="1" applyAlignment="1" applyProtection="1">
      <alignment horizontal="left" vertical="center"/>
    </xf>
    <xf numFmtId="0" fontId="30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0" fillId="22" borderId="0" xfId="0" applyFont="1" applyFill="1"/>
    <xf numFmtId="0" fontId="31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178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18"/>
    <tableColumn id="2" xr3:uid="{6AFDA1AD-8B7E-4056-B820-4B105507BC22}" uniqueName="2" name="Date" queryTableFieldId="2" dataDxfId="17"/>
    <tableColumn id="3" xr3:uid="{0E3159AD-DEC3-4CB0-8263-673EE4364DE4}" uniqueName="3" name="Type" queryTableFieldId="3" dataDxfId="16"/>
    <tableColumn id="4" xr3:uid="{9CA1100B-4402-4A99-881C-A70EA8E0EBA0}" uniqueName="4" name="Km" queryTableFieldId="4" dataDxfId="15"/>
    <tableColumn id="5" xr3:uid="{3DC79D37-A57D-45A6-B68B-28F91AE90D1B}" uniqueName="5" name="Litres" queryTableFieldId="5" dataDxfId="14"/>
    <tableColumn id="6" xr3:uid="{E20F9B47-933F-4695-AC5B-7BFCB43AA70B}" uniqueName="6" name="PrixL" queryTableFieldId="6" dataDxfId="13"/>
    <tableColumn id="8" xr3:uid="{1810D7F1-75C0-4692-B633-9344880F4391}" uniqueName="8" name="Station essence" queryTableFieldId="8" dataDxfId="12"/>
    <tableColumn id="9" xr3:uid="{B958E2B1-5DEB-4CEF-B30E-3537BD55A8E8}" uniqueName="9" name="Vehicule" queryTableFieldId="9" dataDxfId="11"/>
    <tableColumn id="10" xr3:uid="{7955E5A1-C834-43AD-B7C1-739EA1C9FB0B}" uniqueName="10" name="E85 station" queryTableFieldId="10" dataDxfId="10"/>
    <tableColumn id="11" xr3:uid="{168A26EB-A626-4924-B067-7D0EE30B248F}" uniqueName="11" name="SP98 station" queryTableFieldId="11" dataDxfId="9"/>
    <tableColumn id="12" xr3:uid="{18AADF40-972E-454B-9FD3-FD2D10CCF4B9}" uniqueName="12" name="SP95 station" queryTableFieldId="12" dataDxfId="8"/>
    <tableColumn id="13" xr3:uid="{A1195D38-1809-462B-9D20-AE18F43CBC4B}" uniqueName="13" name="E10 station" queryTableFieldId="13" dataDxfId="7"/>
    <tableColumn id="14" xr3:uid="{9F059A0B-5171-4FB9-8BF4-0CBD57021E52}" uniqueName="14" name="Gazole station" queryTableFieldId="14" dataDxfId="6"/>
    <tableColumn id="15" xr3:uid="{BE30AC6F-80E2-4B6C-B72A-506C9FC60853}" uniqueName="15" name="GPLc station" queryTableFieldId="15" dataDxfId="5"/>
    <tableColumn id="17" xr3:uid="{0EA69162-CC6C-4F87-9EDF-5B650CD8B3F0}" uniqueName="17" name="sync_id" queryTableFieldId="19" dataDxfId="4"/>
    <tableColumn id="18" xr3:uid="{EAE1A852-D627-49A1-8934-4DE35E1D3155}" uniqueName="18" name="Photo ticket" queryTableFieldId="20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E42349-0DC6-42C7-A4E5-6FA3EC2BD748}" name="DonneesExternes_1" displayName="DonneesExternes_1" ref="A1:Y12" totalsRowShown="0">
  <autoFilter ref="A1:Y12" xr:uid="{5BE42349-0DC6-42C7-A4E5-6FA3EC2BD748}"/>
  <tableColumns count="25">
    <tableColumn id="1" xr3:uid="{D03CEBF1-0950-4F3C-B281-4DF07F33BE67}" name="Horodatage" dataDxfId="1"/>
    <tableColumn id="2" xr3:uid="{4B7AFA01-55EA-4DF5-A292-2B7D793BB629}" name="Date" dataDxfId="0"/>
    <tableColumn id="3" xr3:uid="{84A87EF5-1F6C-4B1E-8C35-AAEFF6D73F33}" name="Type"/>
    <tableColumn id="4" xr3:uid="{6C18364C-5EC9-4415-92EE-EC4240E325B7}" name="Km compteur"/>
    <tableColumn id="5" xr3:uid="{B2E540B8-A5CC-4C00-B5D0-0D8629432370}" name="Nb. Litres"/>
    <tableColumn id="6" xr3:uid="{03117B54-F552-42E6-AD20-59BE37B2E351}" name="Prix €/L"/>
    <tableColumn id="7" xr3:uid="{70BE0242-FEEC-42F1-9ABE-46B798F43AC3}" name="Station essence"/>
    <tableColumn id="8" xr3:uid="{866322E6-6A1E-409A-9CAF-1AFDA7673081}" name="Véhicule"/>
    <tableColumn id="9" xr3:uid="{8B909E01-C863-49A4-8D85-311592429689}" name="E85 station (€/L)"/>
    <tableColumn id="10" xr3:uid="{6B013B89-5B4A-4BCF-9434-BD17C886B767}" name="SP98 station (€/L)"/>
    <tableColumn id="11" xr3:uid="{4A6AC35E-AC82-4065-9B1B-974AD0ACA565}" name="SP95 station (€/L)"/>
    <tableColumn id="12" xr3:uid="{C11782DE-D76E-4150-9B83-35ACA7F2AED4}" name="E10 station (€/L)"/>
    <tableColumn id="13" xr3:uid="{424F7E56-FCBF-404D-85CE-847641EDD5AB}" name="Gazole station (€/L)"/>
    <tableColumn id="14" xr3:uid="{6E0D290B-9753-4AC7-80F2-243DFB1EAEA6}" name="GPLc station (€/L)"/>
    <tableColumn id="15" xr3:uid="{D208114A-1FC9-4A09-BB94-62871497E443}" name="sync_id"/>
    <tableColumn id="16" xr3:uid="{884C0B72-EFE3-4BE9-8BBD-BC551A6646FB}" name="Photo ticket"/>
    <tableColumn id="17" xr3:uid="{3167D02B-B2BA-42B2-85E1-D201B0E11A8B}" name="Colonne1"/>
    <tableColumn id="18" xr3:uid="{D17047AD-EA11-4788-8F11-424AF4C046C5}" name="Colonne2"/>
    <tableColumn id="19" xr3:uid="{A8DCB7F9-2C19-4604-86AE-205951B3BB59}" name="Colonne3"/>
    <tableColumn id="20" xr3:uid="{64C8EDEA-3C25-49F7-BB52-C5531C58453A}" name="Colonne4"/>
    <tableColumn id="21" xr3:uid="{DDDE80BC-A69D-4390-A458-4D4493765CD2}" name="Colonne5"/>
    <tableColumn id="22" xr3:uid="{BFD9F367-D11F-4CFD-A3F4-774D939C5F1C}" name="Colonne6"/>
    <tableColumn id="23" xr3:uid="{B5BA8917-1785-461F-8676-9BA264280C14}" name="Colonne7"/>
    <tableColumn id="24" xr3:uid="{90EA0139-FE06-4A50-BC45-CA2F2C34915C}" name="Colonne8"/>
    <tableColumn id="25" xr3:uid="{1F314342-C176-4773-B22C-9625B3C40836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44" dataDxfId="42" headerRowBorderDxfId="43" tableBorderDxfId="41" totalsRowBorderDxfId="40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39">
      <calculatedColumnFormula>IF(B16="","",A15+1)</calculatedColumnFormula>
    </tableColumn>
    <tableColumn id="2" xr3:uid="{D9E9EBFF-BC9D-4E59-9822-91D7DEC1E7CE}" name="Date" dataDxfId="38">
      <calculatedColumnFormula>IFERROR(INDEX(GS_Pleins[Date],ROW()-15),"")</calculatedColumnFormula>
    </tableColumn>
    <tableColumn id="11" xr3:uid="{A77486BA-32D8-4661-BA23-1144AE2FD0EC}" name="Type" dataDxfId="37">
      <calculatedColumnFormula array="1">IFERROR(INDEX(GS_Pleins[Type],ROW()-ROW(Tableau2[#Headers])),"")</calculatedColumnFormula>
    </tableColumn>
    <tableColumn id="3" xr3:uid="{6C87F133-7224-4AAB-ACB2-666E8B7315B5}" name="Km compteur" dataDxfId="36">
      <calculatedColumnFormula>IFERROR(INDEX(GS_Pleins[Km],ROW()-15),"")</calculatedColumnFormula>
    </tableColumn>
    <tableColumn id="15" xr3:uid="{E9E70181-907F-4D1A-BD9D-156B992A2880}" name="Nb. km" dataDxfId="35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34">
      <calculatedColumnFormula>IFERROR(INDEX(GS_Pleins[Litres],ROW()-15),"")</calculatedColumnFormula>
    </tableColumn>
    <tableColumn id="5" xr3:uid="{A61BA34E-E60B-4F70-A1D9-62090C37C449}" name="Prix €/L" dataDxfId="33">
      <calculatedColumnFormula>IFERROR(INDEX(GS_Pleins[PrixL],ROW()-15),"")</calculatedColumnFormula>
    </tableColumn>
    <tableColumn id="13" xr3:uid="{C796B9E8-7AC6-4345-B44F-194876D2515D}" name="Coût c€/km" dataDxfId="32">
      <calculatedColumnFormula>IF(OR(D16="",D15="",I16="",ISTEXT(D15)),"",F16/(D16-D15)*100)</calculatedColumnFormula>
    </tableColumn>
    <tableColumn id="6" xr3:uid="{7A10B093-08A0-4955-A678-47B342940366}" name="Coût Plein (€)" dataDxfId="31">
      <calculatedColumnFormula>IF(F16="","",F16*G16)</calculatedColumnFormula>
    </tableColumn>
    <tableColumn id="7" xr3:uid="{0D4F331E-E5DE-4D78-8EE4-6B964BF0DB88}" name="Conso. (L/100km)" dataDxfId="30">
      <calculatedColumnFormula>IF(OR(D16="",D15="",F16="",ISTEXT(D15)),"",F16/(D16-D15)*100)</calculatedColumnFormula>
    </tableColumn>
    <tableColumn id="8" xr3:uid="{8C4BCB7E-42BC-494E-A304-19A9848326C2}" name="Prix S98 jour (€/L)" dataDxfId="29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28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27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26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25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24" dataDxfId="23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21" dataDxfId="20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6" t="s">
        <v>347</v>
      </c>
      <c r="B1" s="137"/>
    </row>
    <row r="2" spans="1:2" x14ac:dyDescent="0.25">
      <c r="A2" s="138" t="s">
        <v>348</v>
      </c>
      <c r="B2" s="137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 t="e">
        <f ca="1">SUMPRODUCT((YEAR(GS_Pleins[Date])=YEAR(TODAY()))*GS_Pleins[Litres]*GS_Pleins[PrixL])</f>
        <v>#VALUE!</v>
      </c>
    </row>
    <row r="8" spans="1:2" ht="26.1" customHeight="1" x14ac:dyDescent="0.3">
      <c r="A8" s="100" t="s">
        <v>354</v>
      </c>
      <c r="B8" s="103" t="e">
        <f ca="1">SUMPRODUCT((YEAR(GS_Pleins[Date])=YEAR(TODAY()))*1)</f>
        <v>#VALUE!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140.74416250000002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sqref="A1:Q12"/>
    </sheetView>
  </sheetViews>
  <sheetFormatPr baseColWidth="10" defaultRowHeight="15.75" x14ac:dyDescent="0.25"/>
  <cols>
    <col min="1" max="1" width="18.125" style="92" bestFit="1" customWidth="1"/>
    <col min="2" max="2" width="16.87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4" bestFit="1" customWidth="1"/>
    <col min="16" max="16" width="14.25" style="134" bestFit="1" customWidth="1"/>
    <col min="17" max="17" width="15.5" style="118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t="s">
        <v>368</v>
      </c>
      <c r="Q1" s="149" t="s">
        <v>366</v>
      </c>
    </row>
    <row r="2" spans="1:17" x14ac:dyDescent="0.25">
      <c r="A2" s="95" t="s">
        <v>376</v>
      </c>
      <c r="B2" s="148" t="s">
        <v>377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5" t="s">
        <v>336</v>
      </c>
      <c r="P2" s="135" t="s">
        <v>392</v>
      </c>
      <c r="Q2" s="95">
        <v>46173.098819444444</v>
      </c>
    </row>
    <row r="3" spans="1:17" x14ac:dyDescent="0.25">
      <c r="A3" s="95" t="s">
        <v>378</v>
      </c>
      <c r="B3" s="148" t="s">
        <v>379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5" t="s">
        <v>337</v>
      </c>
      <c r="P3" s="135" t="s">
        <v>392</v>
      </c>
      <c r="Q3" s="95">
        <v>46173.098819444444</v>
      </c>
    </row>
    <row r="4" spans="1:17" x14ac:dyDescent="0.25">
      <c r="A4" s="95" t="s">
        <v>380</v>
      </c>
      <c r="B4" s="148" t="s">
        <v>381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5" t="s">
        <v>338</v>
      </c>
      <c r="P4" s="135" t="s">
        <v>392</v>
      </c>
      <c r="Q4" s="95">
        <v>46173.098819444444</v>
      </c>
    </row>
    <row r="5" spans="1:17" x14ac:dyDescent="0.25">
      <c r="A5" s="95" t="s">
        <v>385</v>
      </c>
      <c r="B5" s="148" t="s">
        <v>396</v>
      </c>
      <c r="C5" s="93" t="s">
        <v>100</v>
      </c>
      <c r="D5" s="93">
        <v>11173</v>
      </c>
      <c r="E5" s="93">
        <v>13.94</v>
      </c>
      <c r="F5" s="93">
        <v>0.83499999999999996</v>
      </c>
      <c r="G5" s="93" t="s">
        <v>335</v>
      </c>
      <c r="H5" s="93" t="s">
        <v>315</v>
      </c>
      <c r="I5" s="93">
        <v>0.83499999999999996</v>
      </c>
      <c r="J5" s="93">
        <v>2.0950000000000002</v>
      </c>
      <c r="K5" s="93"/>
      <c r="L5" s="93"/>
      <c r="M5" s="93"/>
      <c r="N5" s="93"/>
      <c r="O5" s="135" t="s">
        <v>342</v>
      </c>
      <c r="P5" s="135" t="s">
        <v>392</v>
      </c>
      <c r="Q5" s="95">
        <v>46173.098819444444</v>
      </c>
    </row>
    <row r="6" spans="1:17" x14ac:dyDescent="0.25">
      <c r="A6" s="95" t="s">
        <v>386</v>
      </c>
      <c r="B6" s="148" t="s">
        <v>387</v>
      </c>
      <c r="C6" s="93" t="s">
        <v>100</v>
      </c>
      <c r="D6" s="93">
        <v>11376</v>
      </c>
      <c r="E6" s="93">
        <v>13.37</v>
      </c>
      <c r="F6" s="93">
        <v>0.71699999999999997</v>
      </c>
      <c r="G6" s="93" t="s">
        <v>335</v>
      </c>
      <c r="H6" s="93" t="s">
        <v>315</v>
      </c>
      <c r="I6" s="93">
        <v>0.71699999999999997</v>
      </c>
      <c r="J6" s="93">
        <v>2.0950000000000002</v>
      </c>
      <c r="K6" s="93"/>
      <c r="L6" s="93"/>
      <c r="M6" s="93"/>
      <c r="N6" s="93"/>
      <c r="O6" s="135" t="s">
        <v>343</v>
      </c>
      <c r="P6" s="135" t="s">
        <v>392</v>
      </c>
      <c r="Q6" s="95">
        <v>46173.098819444444</v>
      </c>
    </row>
    <row r="7" spans="1:17" x14ac:dyDescent="0.25">
      <c r="A7" s="95" t="s">
        <v>388</v>
      </c>
      <c r="B7" s="148" t="s">
        <v>389</v>
      </c>
      <c r="C7" s="93" t="s">
        <v>100</v>
      </c>
      <c r="D7" s="93">
        <v>11596</v>
      </c>
      <c r="E7" s="93">
        <v>14.9</v>
      </c>
      <c r="F7" s="93">
        <v>0.79800000000000004</v>
      </c>
      <c r="G7" s="93" t="s">
        <v>335</v>
      </c>
      <c r="H7" s="93" t="s">
        <v>315</v>
      </c>
      <c r="I7" s="93">
        <v>0.79800000000000004</v>
      </c>
      <c r="J7" s="93">
        <v>2.0910000000000002</v>
      </c>
      <c r="K7" s="93"/>
      <c r="L7" s="93"/>
      <c r="M7" s="93"/>
      <c r="N7" s="93"/>
      <c r="O7" s="135" t="s">
        <v>344</v>
      </c>
      <c r="P7" s="135" t="s">
        <v>392</v>
      </c>
      <c r="Q7" s="95">
        <v>46173.098819444444</v>
      </c>
    </row>
    <row r="8" spans="1:17" x14ac:dyDescent="0.25">
      <c r="A8" s="95" t="s">
        <v>374</v>
      </c>
      <c r="B8" s="148" t="s">
        <v>375</v>
      </c>
      <c r="C8" s="93" t="s">
        <v>100</v>
      </c>
      <c r="D8" s="93">
        <v>11831</v>
      </c>
      <c r="E8" s="93">
        <v>16.25</v>
      </c>
      <c r="F8" s="93">
        <v>0.79800000000000004</v>
      </c>
      <c r="G8" s="93" t="s">
        <v>335</v>
      </c>
      <c r="H8" s="93" t="s">
        <v>315</v>
      </c>
      <c r="I8" s="93">
        <v>0.79800000000000004</v>
      </c>
      <c r="J8" s="93"/>
      <c r="K8" s="93"/>
      <c r="L8" s="93"/>
      <c r="M8" s="93"/>
      <c r="N8" s="93"/>
      <c r="O8" s="135" t="s">
        <v>334</v>
      </c>
      <c r="P8" s="135" t="s">
        <v>392</v>
      </c>
      <c r="Q8" s="95">
        <v>46173.098819444444</v>
      </c>
    </row>
    <row r="9" spans="1:17" x14ac:dyDescent="0.25">
      <c r="A9" s="95" t="s">
        <v>390</v>
      </c>
      <c r="B9" s="148" t="s">
        <v>391</v>
      </c>
      <c r="C9" s="93" t="s">
        <v>100</v>
      </c>
      <c r="D9" s="93">
        <v>12041</v>
      </c>
      <c r="E9" s="93">
        <v>13.23</v>
      </c>
      <c r="F9" s="93">
        <v>0.84899999999999998</v>
      </c>
      <c r="G9" s="93" t="s">
        <v>345</v>
      </c>
      <c r="H9" s="93" t="s">
        <v>315</v>
      </c>
      <c r="I9" s="93">
        <v>0.84899999999999998</v>
      </c>
      <c r="J9" s="93">
        <v>2.1789999999999998</v>
      </c>
      <c r="K9" s="93">
        <v>2.089</v>
      </c>
      <c r="L9" s="93">
        <v>2.0390000000000001</v>
      </c>
      <c r="M9" s="93">
        <v>2.0990000000000002</v>
      </c>
      <c r="N9" s="93">
        <v>0.96899999999999997</v>
      </c>
      <c r="O9" s="135" t="s">
        <v>367</v>
      </c>
      <c r="P9" s="135" t="s">
        <v>392</v>
      </c>
      <c r="Q9" s="95">
        <v>46173.098819444444</v>
      </c>
    </row>
    <row r="10" spans="1:17" x14ac:dyDescent="0.25">
      <c r="A10" s="95" t="s">
        <v>382</v>
      </c>
      <c r="B10" s="148" t="s">
        <v>393</v>
      </c>
      <c r="C10" s="93" t="s">
        <v>100</v>
      </c>
      <c r="D10" s="93">
        <v>10553</v>
      </c>
      <c r="E10" s="93">
        <v>11.47</v>
      </c>
      <c r="F10" s="93">
        <v>0.80900000000000005</v>
      </c>
      <c r="G10" s="93" t="s">
        <v>335</v>
      </c>
      <c r="H10" s="93" t="s">
        <v>315</v>
      </c>
      <c r="I10" s="93">
        <v>0.80900000000000005</v>
      </c>
      <c r="J10" s="93">
        <v>2.0790000000000002</v>
      </c>
      <c r="K10" s="93"/>
      <c r="L10" s="93"/>
      <c r="M10" s="93"/>
      <c r="N10" s="93"/>
      <c r="O10" s="135" t="s">
        <v>339</v>
      </c>
      <c r="P10" s="135" t="s">
        <v>392</v>
      </c>
      <c r="Q10" s="95">
        <v>46173.098819444444</v>
      </c>
    </row>
    <row r="11" spans="1:17" x14ac:dyDescent="0.25">
      <c r="A11" s="95" t="s">
        <v>383</v>
      </c>
      <c r="B11" s="148" t="s">
        <v>394</v>
      </c>
      <c r="C11" s="93" t="s">
        <v>100</v>
      </c>
      <c r="D11" s="93">
        <v>10749</v>
      </c>
      <c r="E11" s="93">
        <v>11.71</v>
      </c>
      <c r="F11" s="93">
        <v>0.747</v>
      </c>
      <c r="G11" s="93" t="s">
        <v>335</v>
      </c>
      <c r="H11" s="93" t="s">
        <v>315</v>
      </c>
      <c r="I11" s="93">
        <v>0.747</v>
      </c>
      <c r="J11" s="93">
        <v>2.0979999999999999</v>
      </c>
      <c r="K11" s="93"/>
      <c r="L11" s="93"/>
      <c r="M11" s="93"/>
      <c r="N11" s="93"/>
      <c r="O11" s="135" t="s">
        <v>340</v>
      </c>
      <c r="P11" s="135" t="s">
        <v>392</v>
      </c>
      <c r="Q11" s="95">
        <v>46173.098819444444</v>
      </c>
    </row>
    <row r="12" spans="1:17" x14ac:dyDescent="0.25">
      <c r="A12" s="95" t="s">
        <v>384</v>
      </c>
      <c r="B12" s="148" t="s">
        <v>395</v>
      </c>
      <c r="C12" s="93" t="s">
        <v>100</v>
      </c>
      <c r="D12" s="93">
        <v>10975</v>
      </c>
      <c r="E12" s="93">
        <v>15.28</v>
      </c>
      <c r="F12" s="93">
        <v>0.75700000000000001</v>
      </c>
      <c r="G12" s="93" t="s">
        <v>335</v>
      </c>
      <c r="H12" s="93" t="s">
        <v>315</v>
      </c>
      <c r="I12" s="93">
        <v>0.75700000000000001</v>
      </c>
      <c r="J12" s="93">
        <v>2.0979999999999999</v>
      </c>
      <c r="K12" s="93"/>
      <c r="L12" s="93"/>
      <c r="M12" s="93"/>
      <c r="N12" s="93"/>
      <c r="O12" s="135" t="s">
        <v>341</v>
      </c>
      <c r="P12" s="135" t="s">
        <v>392</v>
      </c>
      <c r="Q12" s="95">
        <v>46173.098819444444</v>
      </c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9" t="s">
        <v>370</v>
      </c>
      <c r="B1" s="139"/>
      <c r="C1" s="139"/>
      <c r="D1" s="139"/>
      <c r="E1" s="139"/>
      <c r="F1" s="139"/>
      <c r="G1" s="139"/>
      <c r="H1" s="139"/>
      <c r="I1" s="139"/>
      <c r="J1" s="139"/>
    </row>
    <row r="2" spans="1:10" ht="16.5" customHeight="1" x14ac:dyDescent="0.25">
      <c r="A2" s="140" t="s">
        <v>371</v>
      </c>
      <c r="B2" s="140"/>
      <c r="C2" s="140"/>
      <c r="D2" s="140"/>
      <c r="E2" s="140"/>
      <c r="F2" s="140"/>
      <c r="G2" s="140"/>
      <c r="H2" s="140"/>
      <c r="I2" s="140"/>
      <c r="J2" s="140"/>
    </row>
    <row r="3" spans="1:10" ht="6" customHeight="1" x14ac:dyDescent="0.25"/>
    <row r="4" spans="1:10" ht="24" customHeight="1" x14ac:dyDescent="0.25">
      <c r="A4" s="119" t="s">
        <v>1</v>
      </c>
      <c r="B4" s="119" t="s">
        <v>55</v>
      </c>
      <c r="C4" s="119" t="s">
        <v>308</v>
      </c>
      <c r="D4" s="119" t="s">
        <v>12</v>
      </c>
      <c r="E4" s="119" t="s">
        <v>372</v>
      </c>
      <c r="F4" s="119" t="s">
        <v>56</v>
      </c>
      <c r="G4" s="119" t="s">
        <v>57</v>
      </c>
      <c r="H4" s="119" t="s">
        <v>373</v>
      </c>
      <c r="I4" s="119" t="s">
        <v>365</v>
      </c>
      <c r="J4" s="119" t="s">
        <v>271</v>
      </c>
    </row>
    <row r="5" spans="1:10" x14ac:dyDescent="0.25">
      <c r="A5" s="125" t="str">
        <f>IFERROR(INDEX(GS_Pleins[Date],1),"")</f>
        <v>4/19/2026 2:00:00</v>
      </c>
      <c r="B5" s="120" t="str">
        <f>IFERROR(INDEX(GS_Pleins[Type],1),"")</f>
        <v>Super 98</v>
      </c>
      <c r="C5" s="120" t="str">
        <f>IFERROR(INDEX(GS_Pleins[Vehicule],1),"")</f>
        <v>Z900</v>
      </c>
      <c r="D5" s="121">
        <f>IFERROR(INDEX(GS_Pleins[Km],1),"")</f>
        <v>9812</v>
      </c>
      <c r="E5" s="121"/>
      <c r="F5" s="122">
        <f>IFERROR(INDEX(GS_Pleins[Litres],1),"")</f>
        <v>11.4</v>
      </c>
      <c r="G5" s="123">
        <f>IFERROR(INDEX(GS_Pleins[PrixL],1),"")</f>
        <v>1.9730000000000001</v>
      </c>
      <c r="H5" s="122">
        <f t="shared" ref="H5:H15" si="0">IFERROR($F5*$G5,"")</f>
        <v>22.4922</v>
      </c>
      <c r="I5" s="122" t="str">
        <f t="shared" ref="I5:I15" si="1">IFERROR(IF(AND(ISNUMBER($E5),$E5&gt;0),$F5/$E5*100,""),"")</f>
        <v/>
      </c>
      <c r="J5" s="120" t="str">
        <f>IFERROR(INDEX(GS_Pleins[Station essence],1),"")</f>
        <v>Carrefour - Flers</v>
      </c>
    </row>
    <row r="6" spans="1:10" x14ac:dyDescent="0.25">
      <c r="A6" s="125" t="str">
        <f>IFERROR(INDEX(GS_Pleins[Date],2),"")</f>
        <v>4/23/2026 2:00:00</v>
      </c>
      <c r="B6" s="120" t="str">
        <f>IFERROR(INDEX(GS_Pleins[Type],2),"")</f>
        <v>Super 98</v>
      </c>
      <c r="C6" s="120" t="str">
        <f>IFERROR(INDEX(GS_Pleins[Vehicule],2),"")</f>
        <v>Z900</v>
      </c>
      <c r="D6" s="121">
        <f>IFERROR(INDEX(GS_Pleins[Km],2),"")</f>
        <v>10094</v>
      </c>
      <c r="E6" s="121">
        <f t="shared" ref="E6:E15" si="2">IFERROR(IF($C6=$C5,$D6-$D5,""),"")</f>
        <v>282</v>
      </c>
      <c r="F6" s="122">
        <f>IFERROR(INDEX(GS_Pleins[Litres],2),"")</f>
        <v>15.22</v>
      </c>
      <c r="G6" s="123">
        <f>IFERROR(INDEX(GS_Pleins[PrixL],2),"")</f>
        <v>1.9259999999999999</v>
      </c>
      <c r="H6" s="122">
        <f t="shared" si="0"/>
        <v>29.31372</v>
      </c>
      <c r="I6" s="122">
        <f t="shared" si="1"/>
        <v>5.3971631205673765</v>
      </c>
      <c r="J6" s="120" t="str">
        <f>IFERROR(INDEX(GS_Pleins[Station essence],2),"")</f>
        <v>Carrefour - Flers</v>
      </c>
    </row>
    <row r="7" spans="1:10" x14ac:dyDescent="0.25">
      <c r="A7" s="125" t="str">
        <f>IFERROR(INDEX(GS_Pleins[Date],3),"")</f>
        <v>4/28/2026 2:00:00</v>
      </c>
      <c r="B7" s="120" t="str">
        <f>IFERROR(INDEX(GS_Pleins[Type],3),"")</f>
        <v>Super 98</v>
      </c>
      <c r="C7" s="120" t="str">
        <f>IFERROR(INDEX(GS_Pleins[Vehicule],3),"")</f>
        <v>Z900</v>
      </c>
      <c r="D7" s="121">
        <f>IFERROR(INDEX(GS_Pleins[Km],3),"")</f>
        <v>10349</v>
      </c>
      <c r="E7" s="121">
        <f t="shared" si="2"/>
        <v>255</v>
      </c>
      <c r="F7" s="122">
        <f>IFERROR(INDEX(GS_Pleins[Litres],3),"")</f>
        <v>13.75</v>
      </c>
      <c r="G7" s="123">
        <f>IFERROR(INDEX(GS_Pleins[PrixL],3),"")</f>
        <v>2.0310000000000001</v>
      </c>
      <c r="H7" s="122">
        <f t="shared" si="0"/>
        <v>27.926250000000003</v>
      </c>
      <c r="I7" s="122">
        <f t="shared" si="1"/>
        <v>5.3921568627450984</v>
      </c>
      <c r="J7" s="120" t="str">
        <f>IFERROR(INDEX(GS_Pleins[Station essence],3),"")</f>
        <v>Leclerc - Douai</v>
      </c>
    </row>
    <row r="8" spans="1:10" x14ac:dyDescent="0.25">
      <c r="A8" s="125" t="str">
        <f>IFERROR(INDEX(GS_Pleins[Date],4),"")</f>
        <v>5/12/2026 2:00:00</v>
      </c>
      <c r="B8" s="120" t="str">
        <f>IFERROR(INDEX(GS_Pleins[Type],4),"")</f>
        <v>SuperEthanol E85</v>
      </c>
      <c r="C8" s="120" t="str">
        <f>IFERROR(INDEX(GS_Pleins[Vehicule],4),"")</f>
        <v>Z900</v>
      </c>
      <c r="D8" s="121">
        <f>IFERROR(INDEX(GS_Pleins[Km],4),"")</f>
        <v>11173</v>
      </c>
      <c r="E8" s="121">
        <f t="shared" si="2"/>
        <v>824</v>
      </c>
      <c r="F8" s="122">
        <f>IFERROR(INDEX(GS_Pleins[Litres],4),"")</f>
        <v>13.94</v>
      </c>
      <c r="G8" s="123">
        <f>IFERROR(INDEX(GS_Pleins[PrixL],4),"")</f>
        <v>0.83499999999999996</v>
      </c>
      <c r="H8" s="122">
        <f t="shared" si="0"/>
        <v>11.639899999999999</v>
      </c>
      <c r="I8" s="122">
        <f t="shared" si="1"/>
        <v>1.691747572815534</v>
      </c>
      <c r="J8" s="120" t="str">
        <f>IFERROR(INDEX(GS_Pleins[Station essence],4),"")</f>
        <v>E.Leclerc - Beuvry</v>
      </c>
    </row>
    <row r="9" spans="1:10" x14ac:dyDescent="0.25">
      <c r="A9" s="125" t="str">
        <f>IFERROR(INDEX(GS_Pleins[Date],5),"")</f>
        <v>5/15/2026 2:00:00</v>
      </c>
      <c r="B9" s="120" t="str">
        <f>IFERROR(INDEX(GS_Pleins[Type],5),"")</f>
        <v>SuperEthanol E85</v>
      </c>
      <c r="C9" s="120" t="str">
        <f>IFERROR(INDEX(GS_Pleins[Vehicule],5),"")</f>
        <v>Z900</v>
      </c>
      <c r="D9" s="121">
        <f>IFERROR(INDEX(GS_Pleins[Km],5),"")</f>
        <v>11376</v>
      </c>
      <c r="E9" s="121">
        <f t="shared" si="2"/>
        <v>203</v>
      </c>
      <c r="F9" s="122">
        <f>IFERROR(INDEX(GS_Pleins[Litres],5),"")</f>
        <v>13.37</v>
      </c>
      <c r="G9" s="123">
        <f>IFERROR(INDEX(GS_Pleins[PrixL],5),"")</f>
        <v>0.71699999999999997</v>
      </c>
      <c r="H9" s="122">
        <f t="shared" si="0"/>
        <v>9.5862899999999982</v>
      </c>
      <c r="I9" s="122">
        <f t="shared" si="1"/>
        <v>6.5862068965517233</v>
      </c>
      <c r="J9" s="120" t="str">
        <f>IFERROR(INDEX(GS_Pleins[Station essence],5),"")</f>
        <v>E.Leclerc - Beuvry</v>
      </c>
    </row>
    <row r="10" spans="1:10" x14ac:dyDescent="0.25">
      <c r="A10" s="125" t="str">
        <f>IFERROR(INDEX(GS_Pleins[Date],6),"")</f>
        <v>5/19/2026 2:00:00</v>
      </c>
      <c r="B10" s="120" t="str">
        <f>IFERROR(INDEX(GS_Pleins[Type],6),"")</f>
        <v>SuperEthanol E85</v>
      </c>
      <c r="C10" s="120" t="str">
        <f>IFERROR(INDEX(GS_Pleins[Vehicule],6),"")</f>
        <v>Z900</v>
      </c>
      <c r="D10" s="121">
        <f>IFERROR(INDEX(GS_Pleins[Km],6),"")</f>
        <v>11596</v>
      </c>
      <c r="E10" s="121">
        <f t="shared" si="2"/>
        <v>220</v>
      </c>
      <c r="F10" s="122">
        <f>IFERROR(INDEX(GS_Pleins[Litres],6),"")</f>
        <v>14.9</v>
      </c>
      <c r="G10" s="123">
        <f>IFERROR(INDEX(GS_Pleins[PrixL],6),"")</f>
        <v>0.79800000000000004</v>
      </c>
      <c r="H10" s="122">
        <f t="shared" si="0"/>
        <v>11.8902</v>
      </c>
      <c r="I10" s="122">
        <f t="shared" si="1"/>
        <v>6.7727272727272734</v>
      </c>
      <c r="J10" s="120" t="str">
        <f>IFERROR(INDEX(GS_Pleins[Station essence],6),"")</f>
        <v>E.Leclerc - Beuvry</v>
      </c>
    </row>
    <row r="11" spans="1:10" x14ac:dyDescent="0.25">
      <c r="A11" s="125" t="str">
        <f>IFERROR(INDEX(GS_Pleins[Date],7),"")</f>
        <v>5/22/2026 2:00:00</v>
      </c>
      <c r="B11" s="120" t="str">
        <f>IFERROR(INDEX(GS_Pleins[Type],7),"")</f>
        <v>SuperEthanol E85</v>
      </c>
      <c r="C11" s="120" t="str">
        <f>IFERROR(INDEX(GS_Pleins[Vehicule],7),"")</f>
        <v>Z900</v>
      </c>
      <c r="D11" s="121">
        <f>IFERROR(INDEX(GS_Pleins[Km],7),"")</f>
        <v>11831</v>
      </c>
      <c r="E11" s="121">
        <f t="shared" si="2"/>
        <v>235</v>
      </c>
      <c r="F11" s="122">
        <f>IFERROR(INDEX(GS_Pleins[Litres],7),"")</f>
        <v>16.25</v>
      </c>
      <c r="G11" s="123">
        <f>IFERROR(INDEX(GS_Pleins[PrixL],7),"")</f>
        <v>0.79800000000000004</v>
      </c>
      <c r="H11" s="122">
        <f t="shared" si="0"/>
        <v>12.967500000000001</v>
      </c>
      <c r="I11" s="122">
        <f t="shared" si="1"/>
        <v>6.9148936170212769</v>
      </c>
      <c r="J11" s="120" t="str">
        <f>IFERROR(INDEX(GS_Pleins[Station essence],7),"")</f>
        <v>E.Leclerc - Beuvry</v>
      </c>
    </row>
    <row r="12" spans="1:10" x14ac:dyDescent="0.25">
      <c r="A12" s="125" t="str">
        <f>IFERROR(INDEX(GS_Pleins[Date],8),"")</f>
        <v>5/28/2026 2:00:00</v>
      </c>
      <c r="B12" s="120" t="str">
        <f>IFERROR(INDEX(GS_Pleins[Type],8),"")</f>
        <v>SuperEthanol E85</v>
      </c>
      <c r="C12" s="120" t="str">
        <f>IFERROR(INDEX(GS_Pleins[Vehicule],8),"")</f>
        <v>Z900</v>
      </c>
      <c r="D12" s="121">
        <f>IFERROR(INDEX(GS_Pleins[Km],8),"")</f>
        <v>12041</v>
      </c>
      <c r="E12" s="121">
        <f t="shared" si="2"/>
        <v>210</v>
      </c>
      <c r="F12" s="122">
        <f>IFERROR(INDEX(GS_Pleins[Litres],8),"")</f>
        <v>13.23</v>
      </c>
      <c r="G12" s="123">
        <f>IFERROR(INDEX(GS_Pleins[PrixL],8),"")</f>
        <v>0.84899999999999998</v>
      </c>
      <c r="H12" s="122">
        <f t="shared" si="0"/>
        <v>11.23227</v>
      </c>
      <c r="I12" s="122">
        <f t="shared" si="1"/>
        <v>6.3</v>
      </c>
      <c r="J12" s="120" t="str">
        <f>IFERROR(INDEX(GS_Pleins[Station essence],8),"")</f>
        <v>Carrefour - Flers</v>
      </c>
    </row>
    <row r="13" spans="1:10" x14ac:dyDescent="0.25">
      <c r="A13" s="125" t="str">
        <f>IFERROR(INDEX(GS_Pleins[Date],9),"")</f>
        <v>5/4/2026 2:00:00</v>
      </c>
      <c r="B13" s="120" t="str">
        <f>IFERROR(INDEX(GS_Pleins[Type],9),"")</f>
        <v>SuperEthanol E85</v>
      </c>
      <c r="C13" s="120" t="str">
        <f>IFERROR(INDEX(GS_Pleins[Vehicule],9),"")</f>
        <v>Z900</v>
      </c>
      <c r="D13" s="121">
        <f>IFERROR(INDEX(GS_Pleins[Km],9),"")</f>
        <v>10553</v>
      </c>
      <c r="E13" s="121">
        <f t="shared" si="2"/>
        <v>-1488</v>
      </c>
      <c r="F13" s="122">
        <f>IFERROR(INDEX(GS_Pleins[Litres],9),"")</f>
        <v>11.47</v>
      </c>
      <c r="G13" s="123">
        <f>IFERROR(INDEX(GS_Pleins[PrixL],9),"")</f>
        <v>0.80900000000000005</v>
      </c>
      <c r="H13" s="122">
        <f t="shared" si="0"/>
        <v>9.2792300000000019</v>
      </c>
      <c r="I13" s="122" t="str">
        <f t="shared" si="1"/>
        <v/>
      </c>
      <c r="J13" s="120" t="str">
        <f>IFERROR(INDEX(GS_Pleins[Station essence],9),"")</f>
        <v>E.Leclerc - Beuvry</v>
      </c>
    </row>
    <row r="14" spans="1:10" x14ac:dyDescent="0.25">
      <c r="A14" s="125" t="str">
        <f>IFERROR(INDEX(GS_Pleins[Date],10),"")</f>
        <v>5/6/2026 2:00:00</v>
      </c>
      <c r="B14" s="120" t="str">
        <f>IFERROR(INDEX(GS_Pleins[Type],10),"")</f>
        <v>SuperEthanol E85</v>
      </c>
      <c r="C14" s="120" t="str">
        <f>IFERROR(INDEX(GS_Pleins[Vehicule],10),"")</f>
        <v>Z900</v>
      </c>
      <c r="D14" s="121">
        <f>IFERROR(INDEX(GS_Pleins[Km],10),"")</f>
        <v>10749</v>
      </c>
      <c r="E14" s="121">
        <f t="shared" si="2"/>
        <v>196</v>
      </c>
      <c r="F14" s="122">
        <f>IFERROR(INDEX(GS_Pleins[Litres],10),"")</f>
        <v>11.71</v>
      </c>
      <c r="G14" s="123">
        <f>IFERROR(INDEX(GS_Pleins[PrixL],10),"")</f>
        <v>0.747</v>
      </c>
      <c r="H14" s="122">
        <f t="shared" si="0"/>
        <v>8.7473700000000001</v>
      </c>
      <c r="I14" s="122">
        <f t="shared" si="1"/>
        <v>5.9744897959183678</v>
      </c>
      <c r="J14" s="120" t="str">
        <f>IFERROR(INDEX(GS_Pleins[Station essence],10),"")</f>
        <v>E.Leclerc - Beuvry</v>
      </c>
    </row>
    <row r="15" spans="1:10" x14ac:dyDescent="0.25">
      <c r="A15" s="125" t="str">
        <f>IFERROR(INDEX(GS_Pleins[Date],11),"")</f>
        <v>5/9/2026 2:00:00</v>
      </c>
      <c r="B15" s="120" t="str">
        <f>IFERROR(INDEX(GS_Pleins[Type],11),"")</f>
        <v>SuperEthanol E85</v>
      </c>
      <c r="C15" s="120" t="str">
        <f>IFERROR(INDEX(GS_Pleins[Vehicule],11),"")</f>
        <v>Z900</v>
      </c>
      <c r="D15" s="121">
        <f>IFERROR(INDEX(GS_Pleins[Km],11),"")</f>
        <v>10975</v>
      </c>
      <c r="E15" s="121">
        <f t="shared" si="2"/>
        <v>226</v>
      </c>
      <c r="F15" s="122">
        <f>IFERROR(INDEX(GS_Pleins[Litres],11),"")</f>
        <v>15.28</v>
      </c>
      <c r="G15" s="123">
        <f>IFERROR(INDEX(GS_Pleins[PrixL],11),"")</f>
        <v>0.75700000000000001</v>
      </c>
      <c r="H15" s="122">
        <f t="shared" si="0"/>
        <v>11.56696</v>
      </c>
      <c r="I15" s="122">
        <f t="shared" si="1"/>
        <v>6.7610619469026547</v>
      </c>
      <c r="J15" s="120" t="str">
        <f>IFERROR(INDEX(GS_Pleins[Station essence],11),"")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B15" sqref="B15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2" t="s">
        <v>72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3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5.0287867210754378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2.6490064546148817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-6.7821377278027617E-2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2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162.09972340710493</v>
      </c>
      <c r="C10" s="7" t="s">
        <v>104</v>
      </c>
      <c r="D10" s="4"/>
      <c r="E10" s="4"/>
      <c r="F10" s="4"/>
      <c r="G10" s="141" t="s">
        <v>107</v>
      </c>
      <c r="H10" s="141"/>
      <c r="I10" s="41"/>
      <c r="J10" s="37" t="str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En attente de plus de pleins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352.44027659289503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12336.061009296467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0.25894524505927308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0.31503813776791884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2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6" t="str">
        <f>IFERROR(INDEX(GS_Pleins[Date],ROW()-15),"")</f>
        <v>4/19/2026 2:00:00</v>
      </c>
      <c r="C16" s="127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29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6" t="str">
        <f>IFERROR(INDEX(GS_Pleins[Date],ROW()-15),"")</f>
        <v>4/23/2026 2:00:00</v>
      </c>
      <c r="C17" s="127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30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19.449914005146766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6" t="str">
        <f>IFERROR(INDEX(GS_Pleins[Date],ROW()-15),"")</f>
        <v>4/28/2026 2:00:00</v>
      </c>
      <c r="C18" s="127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29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39.954702384623985</v>
      </c>
      <c r="S18" s="3">
        <f t="shared" si="4"/>
        <v>514.54</v>
      </c>
    </row>
    <row r="19" spans="1:19" x14ac:dyDescent="0.25">
      <c r="A19" s="45">
        <f t="shared" si="3"/>
        <v>4</v>
      </c>
      <c r="B19" s="126" t="str">
        <f>IFERROR(INDEX(GS_Pleins[Date],ROW()-15),"")</f>
        <v>5/12/2026 2:00:00</v>
      </c>
      <c r="C19" s="127" t="str" cm="1">
        <f t="array" ref="C19">IFERROR(INDEX(GS_Pleins[Type],ROW()-ROW(Tableau2[#Headers])),"")</f>
        <v>SuperEthanol E85</v>
      </c>
      <c r="D19" s="46">
        <f>IFERROR(INDEX(GS_Pleins[Km],ROW()-15),"")</f>
        <v>11173</v>
      </c>
      <c r="E19" s="60">
        <f>IF(AND(ISNUMBER(D18),Tableau2[[#This Row],[Km compteur]]&lt;&gt;""),Tableau2[[#This Row],[Km compteur]]-D18,"")</f>
        <v>824</v>
      </c>
      <c r="F19" s="47">
        <f>IFERROR(INDEX(GS_Pleins[Litres],ROW()-15),"")</f>
        <v>13.94</v>
      </c>
      <c r="G19" s="48">
        <f>IFERROR(INDEX(GS_Pleins[PrixL],ROW()-15),"")</f>
        <v>0.83499999999999996</v>
      </c>
      <c r="H19" s="49">
        <f t="shared" si="0"/>
        <v>1.691747572815534</v>
      </c>
      <c r="I19" s="50">
        <f t="shared" si="1"/>
        <v>11.639899999999999</v>
      </c>
      <c r="J19" s="51">
        <f t="shared" si="2"/>
        <v>1.691747572815534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31.089814005146767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0.62560406446712513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19.449914005146766</v>
      </c>
      <c r="O19" s="129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61.599062433555218</v>
      </c>
      <c r="S19" s="3">
        <f t="shared" si="4"/>
        <v>514.54</v>
      </c>
    </row>
    <row r="20" spans="1:19" x14ac:dyDescent="0.25">
      <c r="A20" s="45">
        <f t="shared" si="3"/>
        <v>5</v>
      </c>
      <c r="B20" s="126" t="str">
        <f>IFERROR(INDEX(GS_Pleins[Date],ROW()-15),"")</f>
        <v>5/15/2026 2:00:00</v>
      </c>
      <c r="C20" s="127" t="str" cm="1">
        <f t="array" ref="C20">IFERROR(INDEX(GS_Pleins[Type],ROW()-ROW(Tableau2[#Headers])),"")</f>
        <v>SuperEthanol E85</v>
      </c>
      <c r="D20" s="46">
        <f>IFERROR(INDEX(GS_Pleins[Km],ROW()-15),"")</f>
        <v>11376</v>
      </c>
      <c r="E20" s="60">
        <f>IF(AND(ISNUMBER(D19),Tableau2[[#This Row],[Km compteur]]&lt;&gt;""),Tableau2[[#This Row],[Km compteur]]-D19,"")</f>
        <v>203</v>
      </c>
      <c r="F20" s="47">
        <f>IFERROR(INDEX(GS_Pleins[Litres],ROW()-15),"")</f>
        <v>13.37</v>
      </c>
      <c r="G20" s="48">
        <f>IFERROR(INDEX(GS_Pleins[PrixL],ROW()-15),"")</f>
        <v>0.71699999999999997</v>
      </c>
      <c r="H20" s="49">
        <f t="shared" si="0"/>
        <v>6.5862068965517233</v>
      </c>
      <c r="I20" s="50">
        <f t="shared" si="1"/>
        <v>9.5862899999999982</v>
      </c>
      <c r="J20" s="51">
        <f t="shared" si="2"/>
        <v>6.5862068965517233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30.091078379477221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0.68142417898395891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39.954702384623985</v>
      </c>
      <c r="O20" s="129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85.152191817430008</v>
      </c>
      <c r="S20" s="3">
        <f t="shared" si="4"/>
        <v>514.54</v>
      </c>
    </row>
    <row r="21" spans="1:19" x14ac:dyDescent="0.25">
      <c r="A21" s="45">
        <f t="shared" si="3"/>
        <v>6</v>
      </c>
      <c r="B21" s="126" t="str">
        <f>IFERROR(INDEX(GS_Pleins[Date],ROW()-15),"")</f>
        <v>5/19/2026 2:00:00</v>
      </c>
      <c r="C21" s="127" t="str" cm="1">
        <f t="array" ref="C21">IFERROR(INDEX(GS_Pleins[Type],ROW()-ROW(Tableau2[#Headers])),"")</f>
        <v>SuperEthanol E85</v>
      </c>
      <c r="D21" s="46">
        <f>IFERROR(INDEX(GS_Pleins[Km],ROW()-15),"")</f>
        <v>11596</v>
      </c>
      <c r="E21" s="60">
        <f>IF(AND(ISNUMBER(D20),Tableau2[[#This Row],[Km compteur]]&lt;&gt;""),Tableau2[[#This Row],[Km compteur]]-D20,"")</f>
        <v>220</v>
      </c>
      <c r="F21" s="47">
        <f>IFERROR(INDEX(GS_Pleins[Litres],ROW()-15),"")</f>
        <v>14.9</v>
      </c>
      <c r="G21" s="48">
        <f>IFERROR(INDEX(GS_Pleins[PrixL],ROW()-15),"")</f>
        <v>0.79800000000000004</v>
      </c>
      <c r="H21" s="49">
        <f>IF(OR(D21="",D20="",I21="",ISTEXT(D20)),"",F21/(D21-D20)*100)</f>
        <v>6.7727272727272734</v>
      </c>
      <c r="I21" s="50">
        <f t="shared" si="1"/>
        <v>11.8902</v>
      </c>
      <c r="J21" s="51">
        <f t="shared" si="2"/>
        <v>6.7727272727272734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33.534560048931233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0.64543444188172827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61.599062433555218</v>
      </c>
      <c r="O21" s="129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103.65333269427084</v>
      </c>
      <c r="S21" s="3">
        <f t="shared" si="4"/>
        <v>514.54</v>
      </c>
    </row>
    <row r="22" spans="1:19" x14ac:dyDescent="0.25">
      <c r="A22" s="45">
        <f t="shared" si="3"/>
        <v>7</v>
      </c>
      <c r="B22" s="126" t="str">
        <f>IFERROR(INDEX(GS_Pleins[Date],ROW()-15),"")</f>
        <v>5/22/2026 2:00:00</v>
      </c>
      <c r="C22" s="128" t="str" cm="1">
        <f t="array" ref="C22">IFERROR(INDEX(GS_Pleins[Type],ROW()-ROW(Tableau2[#Headers])),"")</f>
        <v>SuperEthanol E85</v>
      </c>
      <c r="D22" s="60">
        <f>IFERROR(INDEX(GS_Pleins[Km],ROW()-15),"")</f>
        <v>11831</v>
      </c>
      <c r="E22" s="60">
        <f>IF(AND(ISNUMBER(D21),Tableau2[[#This Row],[Km compteur]]&lt;&gt;""),Tableau2[[#This Row],[Km compteur]]-D21,"")</f>
        <v>235</v>
      </c>
      <c r="F22" s="61">
        <f>IFERROR(INDEX(GS_Pleins[Litres],ROW()-15),"")</f>
        <v>16.25</v>
      </c>
      <c r="G22" s="62">
        <f>IFERROR(INDEX(GS_Pleins[PrixL],ROW()-15),"")</f>
        <v>0.79800000000000004</v>
      </c>
      <c r="H22" s="49">
        <f t="shared" si="0"/>
        <v>6.9148936170212769</v>
      </c>
      <c r="I22" s="50">
        <f>IF(F22="","",F22*G22)</f>
        <v>12.967500000000001</v>
      </c>
      <c r="J22" s="51">
        <f t="shared" si="2"/>
        <v>6.9148936170212769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36.520629383874798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0.64492671077225106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85.152191817430008</v>
      </c>
      <c r="O22" s="129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120.10283044600486</v>
      </c>
      <c r="S22" s="3">
        <f t="shared" si="4"/>
        <v>514.54</v>
      </c>
    </row>
    <row r="23" spans="1:19" x14ac:dyDescent="0.25">
      <c r="A23" s="45">
        <f t="shared" si="3"/>
        <v>8</v>
      </c>
      <c r="B23" s="126" t="str">
        <f>IFERROR(INDEX(GS_Pleins[Date],ROW()-15),"")</f>
        <v>5/28/2026 2:00:00</v>
      </c>
      <c r="C23" s="127" t="str" cm="1">
        <f t="array" ref="C23">IFERROR(INDEX(GS_Pleins[Type],ROW()-ROW(Tableau2[#Headers])),"")</f>
        <v>SuperEthanol E85</v>
      </c>
      <c r="D23" s="46">
        <f>IFERROR(INDEX(GS_Pleins[Km],ROW()-15),"")</f>
        <v>12041</v>
      </c>
      <c r="E23" s="60">
        <f>IF(AND(ISNUMBER(D22),Tableau2[[#This Row],[Km compteur]]&lt;&gt;""),Tableau2[[#This Row],[Km compteur]]-D22,"")</f>
        <v>210</v>
      </c>
      <c r="F23" s="47">
        <f>IFERROR(INDEX(GS_Pleins[Litres],ROW()-15),"")</f>
        <v>13.23</v>
      </c>
      <c r="G23" s="48">
        <f>IFERROR(INDEX(GS_Pleins[PrixL],ROW()-15),"")</f>
        <v>0.84899999999999998</v>
      </c>
      <c r="H23" s="49">
        <f t="shared" si="0"/>
        <v>6.3</v>
      </c>
      <c r="I23" s="50">
        <f t="shared" si="1"/>
        <v>11.23227</v>
      </c>
      <c r="J23" s="51">
        <f t="shared" si="2"/>
        <v>6.3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29.733410876840836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0.62223405694942513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103.65333269427084</v>
      </c>
      <c r="O23" s="129" t="str" cm="1">
        <f t="array" ref="O23">IFERROR(INDEX(GS_Pleins[Station essence],ROW()-15),"")</f>
        <v>Carrefour - Flers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137.9491511783805</v>
      </c>
      <c r="S23" s="3">
        <f t="shared" si="4"/>
        <v>514.54</v>
      </c>
    </row>
    <row r="24" spans="1:19" x14ac:dyDescent="0.25">
      <c r="A24" s="74">
        <f>IF(B24="","",A23+1)</f>
        <v>9</v>
      </c>
      <c r="B24" s="126" t="str">
        <f>IFERROR(INDEX(GS_Pleins[Date],ROW()-15),"")</f>
        <v>5/4/2026 2:00:00</v>
      </c>
      <c r="C24" s="128" t="str" cm="1">
        <f t="array" ref="C24">IFERROR(INDEX(GS_Pleins[Type],ROW()-ROW(Tableau2[#Headers])),"")</f>
        <v>SuperEthanol E85</v>
      </c>
      <c r="D24" s="60">
        <f>IFERROR(INDEX(GS_Pleins[Km],ROW()-15),"")</f>
        <v>10553</v>
      </c>
      <c r="E24" s="60">
        <f>IF(AND(ISNUMBER(D23),Tableau2[[#This Row],[Km compteur]]&lt;&gt;""),Tableau2[[#This Row],[Km compteur]]-D23,"")</f>
        <v>-1488</v>
      </c>
      <c r="F24" s="61">
        <f>IFERROR(INDEX(GS_Pleins[Litres],ROW()-15),"")</f>
        <v>11.47</v>
      </c>
      <c r="G24" s="62">
        <f>IFERROR(INDEX(GS_Pleins[PrixL],ROW()-15),"")</f>
        <v>0.80900000000000005</v>
      </c>
      <c r="H24" s="73">
        <f>IF(OR(D24="",D23="",I24="",ISTEXT(D23)),"",F24/(D24-D23)*100)</f>
        <v>-0.77083333333333337</v>
      </c>
      <c r="I24" s="50">
        <f>IF(F24="","",F24*G24)</f>
        <v>9.2792300000000019</v>
      </c>
      <c r="J24" s="51">
        <f>IF(OR(D24="",D23="",F24="",ISTEXT(D23)),"",F24/(D24-D23)*100)</f>
        <v>-0.77083333333333337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25.728727751734016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0.63934361272975815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120.10283044600486</v>
      </c>
      <c r="O24" s="129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6" t="str">
        <f>IFERROR(INDEX(GS_Pleins[Date],ROW()-15),"")</f>
        <v>5/6/2026 2:00:00</v>
      </c>
      <c r="C25" s="128" t="str" cm="1">
        <f t="array" ref="C25">IFERROR(INDEX(GS_Pleins[Type],ROW()-ROW(Tableau2[#Headers])),"")</f>
        <v>SuperEthanol E85</v>
      </c>
      <c r="D25" s="60">
        <f>IFERROR(INDEX(GS_Pleins[Km],ROW()-15),"")</f>
        <v>10749</v>
      </c>
      <c r="E25" s="60">
        <f>IF(AND(ISNUMBER(D24),Tableau2[[#This Row],[Km compteur]]&lt;&gt;""),Tableau2[[#This Row],[Km compteur]]-D24,"")</f>
        <v>196</v>
      </c>
      <c r="F25" s="61">
        <f>IFERROR(INDEX(GS_Pleins[Litres],ROW()-15),"")</f>
        <v>11.71</v>
      </c>
      <c r="G25" s="62">
        <f>IFERROR(INDEX(GS_Pleins[PrixL],ROW()-15),"")</f>
        <v>0.747</v>
      </c>
      <c r="H25" s="73">
        <f>IF(OR(D25="",D24="",I25="",ISTEXT(D24)),"",F25/(D25-D24)*100)</f>
        <v>5.9744897959183678</v>
      </c>
      <c r="I25" s="50">
        <f>IF(F25="","",F25*G25)</f>
        <v>8.7473700000000001</v>
      </c>
      <c r="J25" s="51">
        <f>IF(OR(D25="",D24="",F25="",ISTEXT(D24)),"",F25/(D25-D24)*100)</f>
        <v>5.9744897959183678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26.593690732375634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0.67107348551095258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137.9491511783805</v>
      </c>
      <c r="O25" s="129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6" t="str">
        <f>IFERROR(INDEX(GS_Pleins[Date],ROW()-15),"")</f>
        <v>5/9/2026 2:00:00</v>
      </c>
      <c r="C26" s="128" t="str" cm="1">
        <f t="array" ref="C26">IFERROR(INDEX(GS_Pleins[Type],ROW()-ROW(Tableau2[#Headers])),"")</f>
        <v>SuperEthanol E85</v>
      </c>
      <c r="D26" s="60">
        <f>IFERROR(INDEX(GS_Pleins[Km],ROW()-15),"")</f>
        <v>10975</v>
      </c>
      <c r="E26" s="60">
        <f>IF(AND(ISNUMBER(D25),Tableau2[[#This Row],[Km compteur]]&lt;&gt;""),Tableau2[[#This Row],[Km compteur]]-D25,"")</f>
        <v>226</v>
      </c>
      <c r="F26" s="61">
        <f>IFERROR(INDEX(GS_Pleins[Litres],ROW()-15),"")</f>
        <v>15.28</v>
      </c>
      <c r="G26" s="62">
        <f>IFERROR(INDEX(GS_Pleins[PrixL],ROW()-15),"")</f>
        <v>0.75700000000000001</v>
      </c>
      <c r="H26" s="73">
        <f>IF(OR(D26="",D25="",I26="",ISTEXT(D25)),"",F26/(D26-D25)*100)</f>
        <v>6.7610619469026547</v>
      </c>
      <c r="I26" s="50">
        <f>IF(F26="","",F26*G26)</f>
        <v>11.56696</v>
      </c>
      <c r="J26" s="51">
        <f>IF(OR(D26="",D25="",F26="",ISTEXT(D25)),"",F26/(D26-D25)*100)</f>
        <v>6.7610619469026547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35.717532228724423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0.67615455832926419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162.09972340710493</v>
      </c>
      <c r="O26" s="129" t="str" cm="1">
        <f t="array" ref="O26">IFERROR(INDEX(GS_Pleins[Station essence],ROW()-15),"")</f>
        <v>E.Leclerc - Beuvry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3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249.00944340710495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162.09972340710496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-352.44027659289497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 t="str">
        <f>IFERROR((LOOKUP(9.99999999999999E+307,Tableau2[Km compteur])-INDEX(Tableau2[Km compteur],1))/(LOOKUP(9.99999999999999E+307,Tableau2[Date])-INDEX(Tableau2[Date],1))*7,"-")</f>
        <v>-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0.31503813776791884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 t="str">
        <f>IFERROR((LOOKUP(9.99999999999999E+307,Tableau2[Km compteur])-INDEX(Tableau2[Km compteur],1))/(LOOKUP(9.99999999999999E+307,Tableau2[Date])-INDEX(Tableau2[Date],1))*30.4375,"-")</f>
        <v>-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352,44 €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7.2723070169181225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5.0287867210754378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4847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47" priority="2">
      <formula>AND($C16="SuperEthanol E85",$K16="")</formula>
    </cfRule>
  </conditionalFormatting>
  <conditionalFormatting sqref="G16:G26">
    <cfRule type="expression" dxfId="46" priority="3">
      <formula>AND($G16&lt;&gt;"",ISNUMBER($G16),$G16&lt;AVERAGEIFS(G:G,C:C,$C16,G:G,"&gt;="&amp;$G16-30,G:G," &lt;="&amp;$G16))</formula>
    </cfRule>
    <cfRule type="expression" dxfId="45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3" t="s">
        <v>296</v>
      </c>
      <c r="C2" s="144"/>
      <c r="D2" s="144"/>
      <c r="E2" s="144"/>
      <c r="F2" s="144"/>
      <c r="G2" s="144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5" t="s">
        <v>316</v>
      </c>
      <c r="C4" s="144"/>
      <c r="D4" s="144"/>
      <c r="E4" s="144"/>
      <c r="F4" s="144"/>
      <c r="G4" s="144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6" t="s">
        <v>304</v>
      </c>
      <c r="C19" s="147"/>
      <c r="D19" s="147"/>
      <c r="E19" s="147"/>
      <c r="F19" s="147"/>
      <c r="G19" s="147"/>
    </row>
    <row r="20" spans="2:9" ht="18" customHeight="1" x14ac:dyDescent="0.25">
      <c r="B20" s="146"/>
      <c r="C20" s="147"/>
      <c r="D20" s="147"/>
      <c r="E20" s="147"/>
      <c r="F20" s="147"/>
      <c r="G20" s="14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31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2026-05-31T00:24:51Z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