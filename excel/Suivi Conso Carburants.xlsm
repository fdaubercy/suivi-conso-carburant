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1AF16085-B3E3-4BF1-BAE6-BA1D6BED5CA7}" xr6:coauthVersionLast="47" xr6:coauthVersionMax="47" xr10:uidLastSave="{00000000-0000-0000-0000-000000000000}"/>
  <bookViews>
    <workbookView xWindow="-120" yWindow="-120" windowWidth="24240" windowHeight="1302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  <sheet name="_GraphData" sheetId="12" state="veryHidden" r:id="rId10"/>
  </sheets>
  <functionGroups builtInGroupCount="19">
    <functionGroup name="ChatGPT for Excel"/>
  </functionGroups>
  <externalReferences>
    <externalReference r:id="rId11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12" i="11" l="1"/>
  <c r="E26" i="2"/>
  <c r="K16" i="2"/>
  <c r="H10" i="1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<sst xmlns="http://schemas.openxmlformats.org/spreadsheetml/2006/main" count="553" uniqueCount="410">
  <si>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</si>
  <si>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</si>
  <si>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</si>
  <si>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</si>
  <si>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</si>
  <si>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</si>
  <si>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</si>
  <si>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</si>
  <si>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</si>
  <si>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</si>
  <si>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</si>
  <si>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</si>
  <si>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</si>
  <si>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</si>
  <si>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</si>
  <si>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</si>
  <si>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</si>
  <si>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</si>
  <si>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</si>
  <si>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</si>
  <si>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</si>
  <si>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</si>
  <si>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</si>
  <si>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</si>
  <si>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</si>
  <si>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</si>
  <si>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</si>
  <si>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</si>
  <si>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</si>
  <si>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</si>
  <si>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</si>
  <si>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</si>
  <si>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</si>
  <si>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</si>
  <si>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</si>
  <si>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</si>
  <si>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</si>
  <si>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</si>
  <si>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</si>
  <si>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</si>
  <si>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</si>
  <si>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</si>
  <si>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</si>
  <si>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</si>
  <si>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</si>
  <si>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</si>
  <si>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</si>
  <si>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</si>
  <si>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</si>
  <si>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</si>
  <si>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</si>
  <si>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</si>
  <si>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</si>
  <si>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</si>
  <si>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</si>
  <si>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</si>
  <si>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</si>
  <si>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</si>
  <si>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</si>
  <si>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</si>
  <si>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</si>
  <si>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</si>
  <si>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</si>
  <si>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</si>
  <si>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</si>
  <si>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</si>
  <si>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</si>
  <si>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</si>
  <si>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</si>
  <si>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</si>
  <si>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</si>
  <si>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</si>
  <si>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</si>
  <si>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</si>
  <si>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</si>
  <si>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</si>
  <si>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</si>
  <si>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</si>
  <si>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</si>
  <si>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</si>
  <si>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</si>
  <si>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</si>
  <si>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</si>
  <si>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</si>
  <si>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</si>
  <si>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</si>
  <si>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</si>
  <si>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</si>
  <si>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</si>
  <si>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</si>
  <si>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</si>
  <si>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</si>
  <si>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</si>
  <si>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</si>
  <si>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</si>
  <si>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</si>
  <si>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</si>
  <si>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</si>
  <si>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</si>
  <si>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</si>
  <si>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</si>
  <si>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</si>
  <si>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</si>
  <si>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</si>
  <si>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</si>
  <si>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</si>
  <si>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</si>
  <si>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</si>
  <si>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</si>
  <si>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</si>
  <si>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</si>
  <si>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</si>
  <si>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</si>
  <si>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</si>
  <si>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</si>
  <si>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</si>
  <si>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</si>
  <si>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</si>
  <si>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</si>
  <si>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</si>
  <si>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</si>
  <si>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</si>
  <si>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</si>
  <si>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</si>
  <si>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</si>
  <si>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</si>
  <si>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</si>
  <si>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</si>
  <si>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</si>
  <si>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</si>
  <si>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</si>
  <si>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</si>
  <si>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</si>
  <si>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</si>
  <si>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</si>
  <si>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</si>
  <si>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</si>
  <si>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</si>
  <si>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</si>
  <si>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</si>
  <si>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</si>
  <si>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</si>
  <si>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</si>
  <si>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</si>
  <si>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</si>
  <si>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</si>
  <si>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</si>
  <si>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</si>
  <si>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</si>
  <si>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</si>
  <si>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</si>
  <si>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</si>
  <si>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</si>
  <si>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</si>
  <si>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</si>
  <si>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</si>
  <si>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</si>
  <si>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</si>
  <si>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</si>
  <si>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</si>
  <si>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</si>
  <si>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</si>
  <si>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</si>
  <si>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</si>
  <si>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</si>
  <si>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</si>
  <si>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</si>
  <si>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</si>
  <si>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</si>
  <si>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</si>
  <si>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</si>
  <si>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</si>
  <si>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</si>
  <si>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</si>
  <si>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</si>
  <si>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</si>
  <si>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</si>
  <si>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</si>
  <si>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</si>
  <si>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</si>
  <si>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</si>
  <si>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</si>
  <si>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</si>
  <si>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</si>
  <si>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</si>
  <si>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</si>
  <si>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</si>
  <si>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</si>
  <si>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</si>
  <si>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</si>
  <si>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</si>
  <si>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</si>
  <si>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</si>
  <si>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</si>
  <si>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</si>
  <si>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</si>
  <si>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</si>
  <si>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</si>
  <si>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</si>
  <si>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</si>
  <si>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</si>
  <si>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</si>
  <si>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</si>
  <si>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</si>
  <si>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</si>
  <si>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</si>
  <si>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</si>
  <si>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</si>
  <si>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</si>
  <si>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</si>
  <si>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</si>
  <si>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</si>
  <si>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</si>
  <si>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</si>
  <si>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</si>
  <si>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</si>
  <si>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</si>
  <si>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</si>
  <si>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</si>
  <si>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</si>
  <si>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</si>
  <si>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</si>
  <si>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</si>
  <si>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</si>
  <si>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</si>
  <si>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</si>
  <si>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</si>
  <si>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</si>
  <si>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</si>
  <si>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</si>
  <si>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</si>
  <si>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</si>
  <si>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</si>
  <si>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</si>
  <si>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</si>
  <si>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</si>
  <si>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</si>
  <si>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</si>
  <si>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</si>
  <si>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</si>
  <si>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</si>
  <si>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</si>
  <si>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</si>
  <si>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</si>
  <si>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</si>
  <si>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</si>
  <si>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</si>
  <si>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</si>
  <si>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</si>
  <si>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</si>
  <si>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</si>
  <si>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</si>
  <si>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</si>
  <si>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</si>
  <si>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</si>
  <si>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</si>
  <si>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</si>
  <si>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</si>
  <si>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</si>
  <si>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</si>
  <si>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</si>
  <si>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</si>
  <si>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</si>
  <si>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</si>
  <si>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</si>
  <si>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</si>
  <si>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</si>
  <si>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</si>
  <si>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</si>
  <si>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</si>
  <si>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</si>
  <si>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</si>
  <si>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</si>
  <si>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</si>
  <si>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</si>
  <si>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</si>
  <si>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</si>
  <si>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</si>
  <si>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</si>
  <si>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</si>
  <si>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</si>
  <si>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</si>
  <si>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</si>
  <si>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</si>
  <si>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</si>
  <si>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</si>
  <si>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</si>
  <si>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</si>
  <si>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</si>
  <si>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</si>
  <si>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</si>
  <si>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</si>
  <si>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</si>
  <si>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</si>
  <si>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</si>
  <si>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</si>
  <si>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</si>
  <si>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</si>
  <si>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</si>
  <si>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</si>
  <si>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</si>
  <si>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</si>
  <si>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</si>
  <si>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</si>
  <si>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</si>
  <si>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</si>
  <si>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</si>
  <si>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</si>
  <si>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</si>
  <si>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</si>
  <si>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</si>
  <si>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</si>
  <si>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</si>
  <si>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</si>
  <si>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</si>
  <si>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</si>
  <si>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</si>
  <si>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</si>
  <si>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</si>
  <si>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</si>
  <si>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</si>
  <si>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</si>
  <si>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</si>
  <si>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</si>
  <si>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</si>
  <si>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</si>
  <si>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</si>
  <si>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</si>
  <si>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</si>
  <si>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</si>
  <si>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</si>
  <si>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</si>
  <si>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</si>
  <si>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</si>
  <si>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</si>
  <si>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</si>
  <si>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</si>
  <si>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</si>
  <si>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</si>
  <si>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</si>
  <si>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</si>
  <si>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</si>
  <si>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</si>
  <si>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</si>
  <si>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</si>
  <si>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</si>
  <si>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</si>
  <si>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</si>
  <si>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</si>
  <si>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</si>
  <si>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</si>
  <si>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</si>
  <si>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</si>
  <si>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</si>
  <si>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</si>
  <si>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</si>
  <si>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</si>
  <si>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</si>
  <si>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</si>
  <si>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</si>
  <si>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</si>
  <si>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</si>
  <si>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</si>
  <si>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</si>
  <si>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</si>
  <si>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</si>
  <si>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</si>
  <si>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</si>
  <si>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</si>
  <si>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</si>
  <si>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</si>
  <si>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</si>
  <si>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</si>
  <si>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</si>
  <si>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</si>
  <si>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</si>
  <si>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</si>
  <si>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</si>
  <si>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</si>
  <si>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</si>
  <si>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</si>
  <si>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</si>
  <si>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</si>
  <si>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</si>
  <si>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</si>
  <si>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</si>
  <si>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</si>
  <si>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</si>
  <si>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</si>
  <si>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</si>
  <si>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</si>
  <si>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</si>
  <si>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Gazole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</si>
  <si>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</si>
  <si>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</si>
  <si>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</si>
  <si>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</si>
  <si>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</si>
  <si>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</si>
  <si>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</si>
  <si>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2026-04</t>
  </si>
  <si>
    <t>2026-05</t>
  </si>
  <si>
    <t>Annee</t>
  </si>
  <si>
    <t>Pleins</t>
  </si>
  <si>
    <t>€ depenses</t>
  </si>
  <si>
    <t>Station preferee</t>
  </si>
  <si>
    <t>CO2 annuel</t>
  </si>
  <si>
    <t>kg</t>
  </si>
  <si>
    <t>Realise</t>
  </si>
  <si>
    <t>Objectif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</si>
</sst>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rgb="FF2E75B6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FFCE6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8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29" fillId="3" borderId="0" xfId="0" applyFont="1" applyFill="1" applyAlignment="1" applyProtection="1">
      <alignment horizontal="left" vertical="center"/>
    </xf>
    <xf numFmtId="0" fontId="29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9" fillId="22" borderId="0" xfId="0" applyFont="1" applyFill="1"/>
    <xf numFmtId="0" fontId="30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0" fillId="23" borderId="0" xfId="0" applyFill="1"/>
    <xf numFmtId="186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Evolution du prix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_GraphData!$H$2:$H$12</c:f>
              <c:numCache>
                <c:formatCode>General</c:formatCode>
                <c:ptCount val="11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4-4DFA-A4F7-D0B98EBA7C04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Gazole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_GraphData!$I$2:$I$12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64-4DFA-A4F7-D0B98EBA7C04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SP98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_GraphData!$J$2:$J$12</c:f>
              <c:numCache>
                <c:formatCode>General</c:formatCode>
                <c:ptCount val="11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4-4DFA-A4F7-D0B98EBA7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170688"/>
        <c:axId val="2010167328"/>
      </c:lineChart>
      <c:dateAx>
        <c:axId val="201017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10167328"/>
        <c:crosses val="autoZero"/>
        <c:auto val="1"/>
        <c:lblOffset val="100"/>
        <c:baseTimeUnit val="days"/>
      </c:dateAx>
      <c:valAx>
        <c:axId val="201016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06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invertIfNegative val="0"/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7-4EA1-B5F2-9251056F9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77888"/>
        <c:axId val="2010168768"/>
      </c:barChart>
      <c:catAx>
        <c:axId val="201017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168768"/>
        <c:crosses val="autoZero"/>
        <c:auto val="1"/>
        <c:lblAlgn val="ctr"/>
        <c:lblOffset val="100"/>
        <c:noMultiLvlLbl val="0"/>
      </c:catAx>
      <c:valAx>
        <c:axId val="201016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78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Consommation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_GraphData!$M$1</c:f>
              <c:strCache>
                <c:ptCount val="1"/>
                <c:pt idx="0">
                  <c:v>L/100 km</c:v>
                </c:pt>
              </c:strCache>
            </c:strRef>
          </c:tx>
          <c:marker>
            <c:symbol val="none"/>
          </c:marker>
          <c:cat>
            <c:numRef>
              <c:f>_GraphData!$L$2:$L$11</c:f>
              <c:numCache>
                <c:formatCode>m/d/yyyy</c:formatCode>
                <c:ptCount val="10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</c:numCache>
            </c:numRef>
          </c:cat>
          <c:val>
            <c:numRef>
              <c:f>_GraphData!$M$2:$M$11</c:f>
              <c:numCache>
                <c:formatCode>General</c:formatCode>
                <c:ptCount val="10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2-42E4-BC7F-B1EEF5B0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178368"/>
        <c:axId val="2010178848"/>
      </c:lineChart>
      <c:dateAx>
        <c:axId val="2010178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10178848"/>
        <c:crosses val="autoZero"/>
        <c:auto val="1"/>
        <c:lblOffset val="100"/>
        <c:baseTimeUnit val="days"/>
      </c:dateAx>
      <c:valAx>
        <c:axId val="201017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83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F8-4EFA-AEEF-7C7644F956D8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F8-4EFA-AEEF-7C7644F95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74528"/>
        <c:axId val="2010180288"/>
      </c:barChart>
      <c:catAx>
        <c:axId val="2010174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10180288"/>
        <c:crosses val="autoZero"/>
        <c:auto val="1"/>
        <c:lblAlgn val="ctr"/>
        <c:lblOffset val="100"/>
        <c:noMultiLvlLbl val="0"/>
      </c:catAx>
      <c:valAx>
        <c:axId val="20101802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1017452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CC2E22"/>
            </a:solidFill>
          </c:spPr>
          <c:invertIfNegative val="0"/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38-4419-9C0E-0D72EDA4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67808"/>
        <c:axId val="2010171648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38-4419-9C0E-0D72EDA4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67808"/>
        <c:axId val="2010171648"/>
      </c:lineChart>
      <c:catAx>
        <c:axId val="201016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171648"/>
        <c:crosses val="autoZero"/>
        <c:auto val="1"/>
        <c:lblAlgn val="ctr"/>
        <c:lblOffset val="100"/>
        <c:noMultiLvlLbl val="0"/>
      </c:catAx>
      <c:valAx>
        <c:axId val="20101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678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>
              <a:solidFill>
                <a:srgbClr val="71B33C"/>
              </a:solidFill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0</c:v>
                </c:pt>
                <c:pt idx="1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72-4C9A-BC24-6CD1DAF7CBDD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72-4C9A-BC24-6CD1DAF7C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8727472"/>
        <c:axId val="1978722192"/>
      </c:lineChart>
      <c:catAx>
        <c:axId val="197872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722192"/>
        <c:crosses val="autoZero"/>
        <c:auto val="1"/>
        <c:lblAlgn val="ctr"/>
        <c:lblOffset val="100"/>
        <c:noMultiLvlLbl val="0"/>
      </c:catAx>
      <c:valAx>
        <c:axId val="197872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727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1B33C"/>
              </a:solidFill>
            </c:spPr>
            <c:extLst>
              <c:ext xmlns:c16="http://schemas.microsoft.com/office/drawing/2014/chart" uri="{C3380CC4-5D6E-409C-BE32-E72D297353CC}">
                <c16:uniqueId val="{00000002-69ED-4FA3-987C-A84E0AEB3F34}"/>
              </c:ext>
            </c:extLst>
          </c:dPt>
          <c:dPt>
            <c:idx val="1"/>
            <c:invertIfNegative val="0"/>
            <c:bubble3D val="0"/>
            <c:spPr>
              <a:solidFill>
                <a:srgbClr val="339010"/>
              </a:solidFill>
            </c:spPr>
            <c:extLst>
              <c:ext xmlns:c16="http://schemas.microsoft.com/office/drawing/2014/chart" uri="{C3380CC4-5D6E-409C-BE32-E72D297353CC}">
                <c16:uniqueId val="{00000003-69ED-4FA3-987C-A84E0AEB3F3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80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D-4FA3-987C-A84E0AEB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8724112"/>
        <c:axId val="1978726512"/>
      </c:barChart>
      <c:catAx>
        <c:axId val="1978724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78726512"/>
        <c:crosses val="autoZero"/>
        <c:auto val="1"/>
        <c:lblAlgn val="ctr"/>
        <c:lblOffset val="100"/>
        <c:noMultiLvlLbl val="0"/>
      </c:catAx>
      <c:valAx>
        <c:axId val="19787265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787241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4</xdr:row>
      <xdr:rowOff>161925</xdr:rowOff>
    </xdr:from>
    <xdr:to>
      <xdr:col>3</xdr:col>
      <xdr:colOff>825500</xdr:colOff>
      <xdr:row>20</xdr:row>
      <xdr:rowOff>136525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1A66B65-E68F-1FBC-D722-DA4D882BC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21</xdr:row>
      <xdr:rowOff>190500</xdr:rowOff>
    </xdr:from>
    <xdr:to>
      <xdr:col>3</xdr:col>
      <xdr:colOff>825500</xdr:colOff>
      <xdr:row>37</xdr:row>
      <xdr:rowOff>165100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2A89F73-9404-7D0F-6192-EEEA803E0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39</xdr:row>
      <xdr:rowOff>19050</xdr:rowOff>
    </xdr:from>
    <xdr:to>
      <xdr:col>3</xdr:col>
      <xdr:colOff>825500</xdr:colOff>
      <xdr:row>54</xdr:row>
      <xdr:rowOff>193675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47F0A11-3C27-A772-E90F-E14B01C39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56</xdr:row>
      <xdr:rowOff>47625</xdr:rowOff>
    </xdr:from>
    <xdr:to>
      <xdr:col>3</xdr:col>
      <xdr:colOff>825500</xdr:colOff>
      <xdr:row>72</xdr:row>
      <xdr:rowOff>22225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E05E183-F116-44E7-07F7-D9D1E62F3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241300</xdr:colOff>
      <xdr:row>4</xdr:row>
      <xdr:rowOff>161925</xdr:rowOff>
    </xdr:from>
    <xdr:to>
      <xdr:col>11</xdr:col>
      <xdr:colOff>215900</xdr:colOff>
      <xdr:row>20</xdr:row>
      <xdr:rowOff>136525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2028A65-3038-94EE-2229-BF0A70183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241300</xdr:colOff>
      <xdr:row>21</xdr:row>
      <xdr:rowOff>190500</xdr:rowOff>
    </xdr:from>
    <xdr:to>
      <xdr:col>11</xdr:col>
      <xdr:colOff>215900</xdr:colOff>
      <xdr:row>37</xdr:row>
      <xdr:rowOff>165100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4E4D682-DC57-784B-9C01-F2D9B977D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241300</xdr:colOff>
      <xdr:row>39</xdr:row>
      <xdr:rowOff>19050</xdr:rowOff>
    </xdr:from>
    <xdr:to>
      <xdr:col>11</xdr:col>
      <xdr:colOff>215900</xdr:colOff>
      <xdr:row>54</xdr:row>
      <xdr:rowOff>193675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C7D0178-9D7A-84CD-6F99-86DF6452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241300</xdr:colOff>
      <xdr:row>56</xdr:row>
      <xdr:rowOff>47625</xdr:rowOff>
    </xdr:from>
    <xdr:to>
      <xdr:col>11</xdr:col>
      <xdr:colOff>215900</xdr:colOff>
      <xdr:row>57</xdr:row>
      <xdr:rowOff>177800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4605955-A47A-A4B4-C4DA-4BAC0F8B8CB1}"/>
            </a:ext>
          </a:extLst>
        </xdr:cNvPr>
        <xdr:cNvSpPr/>
      </xdr:nvSpPr>
      <xdr:spPr>
        <a:xfrm>
          <a:off x="6223000" y="11430000"/>
          <a:ext cx="5842000" cy="330200"/>
        </a:xfrm>
        <a:prstGeom prst="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Bilan annuel 2026</a:t>
          </a:r>
        </a:p>
      </xdr:txBody>
    </xdr:sp>
    <xdr:clientData/>
  </xdr:twoCellAnchor>
  <xdr:twoCellAnchor>
    <xdr:from>
      <xdr:col>4</xdr:col>
      <xdr:colOff>241300</xdr:colOff>
      <xdr:row>58</xdr:row>
      <xdr:rowOff>79375</xdr:rowOff>
    </xdr:from>
    <xdr:to>
      <xdr:col>6</xdr:col>
      <xdr:colOff>406400</xdr:colOff>
      <xdr:row>62</xdr:row>
      <xdr:rowOff>41275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F36D7D47-3DAA-AE08-6AEF-0BF68E64E8F8}"/>
            </a:ext>
          </a:extLst>
        </xdr:cNvPr>
        <xdr:cNvSpPr/>
      </xdr:nvSpPr>
      <xdr:spPr>
        <a:xfrm>
          <a:off x="62230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11
Pleins</a:t>
          </a:r>
        </a:p>
      </xdr:txBody>
    </xdr:sp>
    <xdr:clientData/>
  </xdr:twoCellAnchor>
  <xdr:twoCellAnchor>
    <xdr:from>
      <xdr:col>6</xdr:col>
      <xdr:colOff>558800</xdr:colOff>
      <xdr:row>58</xdr:row>
      <xdr:rowOff>79375</xdr:rowOff>
    </xdr:from>
    <xdr:to>
      <xdr:col>8</xdr:col>
      <xdr:colOff>723900</xdr:colOff>
      <xdr:row>62</xdr:row>
      <xdr:rowOff>41275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CE072668-14AB-4413-EABB-EB243CE4CA06}"/>
            </a:ext>
          </a:extLst>
        </xdr:cNvPr>
        <xdr:cNvSpPr/>
      </xdr:nvSpPr>
      <xdr:spPr>
        <a:xfrm>
          <a:off x="82169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150,5
Litres</a:t>
          </a:r>
        </a:p>
      </xdr:txBody>
    </xdr:sp>
    <xdr:clientData/>
  </xdr:twoCellAnchor>
  <xdr:twoCellAnchor>
    <xdr:from>
      <xdr:col>9</xdr:col>
      <xdr:colOff>38100</xdr:colOff>
      <xdr:row>58</xdr:row>
      <xdr:rowOff>79375</xdr:rowOff>
    </xdr:from>
    <xdr:to>
      <xdr:col>11</xdr:col>
      <xdr:colOff>203200</xdr:colOff>
      <xdr:row>62</xdr:row>
      <xdr:rowOff>41275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3BEEB6A-E621-24AB-9BA2-1C8D21B32F89}"/>
            </a:ext>
          </a:extLst>
        </xdr:cNvPr>
        <xdr:cNvSpPr/>
      </xdr:nvSpPr>
      <xdr:spPr>
        <a:xfrm>
          <a:off x="102108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167
€ depenses</a:t>
          </a:r>
        </a:p>
      </xdr:txBody>
    </xdr:sp>
    <xdr:clientData/>
  </xdr:twoCellAnchor>
  <xdr:twoCellAnchor>
    <xdr:from>
      <xdr:col>4</xdr:col>
      <xdr:colOff>241300</xdr:colOff>
      <xdr:row>62</xdr:row>
      <xdr:rowOff>193675</xdr:rowOff>
    </xdr:from>
    <xdr:to>
      <xdr:col>6</xdr:col>
      <xdr:colOff>406400</xdr:colOff>
      <xdr:row>66</xdr:row>
      <xdr:rowOff>155575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9398B692-B944-E710-D972-F88C49FF0C13}"/>
            </a:ext>
          </a:extLst>
        </xdr:cNvPr>
        <xdr:cNvSpPr/>
      </xdr:nvSpPr>
      <xdr:spPr>
        <a:xfrm>
          <a:off x="62230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2229
Km parcourus</a:t>
          </a:r>
        </a:p>
      </xdr:txBody>
    </xdr:sp>
    <xdr:clientData/>
  </xdr:twoCellAnchor>
  <xdr:twoCellAnchor>
    <xdr:from>
      <xdr:col>6</xdr:col>
      <xdr:colOff>558800</xdr:colOff>
      <xdr:row>62</xdr:row>
      <xdr:rowOff>193675</xdr:rowOff>
    </xdr:from>
    <xdr:to>
      <xdr:col>8</xdr:col>
      <xdr:colOff>723900</xdr:colOff>
      <xdr:row>66</xdr:row>
      <xdr:rowOff>155575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51698EED-F020-36C1-4C4D-04162F573CFD}"/>
            </a:ext>
          </a:extLst>
        </xdr:cNvPr>
        <xdr:cNvSpPr/>
      </xdr:nvSpPr>
      <xdr:spPr>
        <a:xfrm>
          <a:off x="82169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E.Leclerc - Beuvry
Station preferee</a:t>
          </a:r>
        </a:p>
      </xdr:txBody>
    </xdr:sp>
    <xdr:clientData/>
  </xdr:twoCellAnchor>
  <xdr:twoCellAnchor>
    <xdr:from>
      <xdr:col>2</xdr:col>
      <xdr:colOff>82550</xdr:colOff>
      <xdr:row>0</xdr:row>
      <xdr:rowOff>101600</xdr:rowOff>
    </xdr:from>
    <xdr:to>
      <xdr:col>4</xdr:col>
      <xdr:colOff>622300</xdr:colOff>
      <xdr:row>1</xdr:row>
      <xdr:rowOff>50800</xdr:rowOff>
    </xdr:to>
    <xdr:sp macro="CreerGraphiquesWeb" textlink="">
      <xdr:nvSpPr>
        <xdr:cNvPr id="17" name="btnRecreerGraph">
          <a:extLst>
            <a:ext uri="{FF2B5EF4-FFF2-40B4-BE49-F238E27FC236}">
              <a16:creationId xmlns:a16="http://schemas.microsoft.com/office/drawing/2014/main" id="{EFBBA7DA-FF66-A4EE-B035-DC43BACDC819}"/>
            </a:ext>
          </a:extLst>
        </xdr:cNvPr>
        <xdr:cNvSpPr/>
      </xdr:nvSpPr>
      <xdr:spPr>
        <a:xfrm>
          <a:off x="4064000" y="101600"/>
          <a:ext cx="2540000" cy="330200"/>
        </a:xfrm>
        <a:prstGeom prst="round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1">
              <a:solidFill>
                <a:srgbClr val="FFFFFF"/>
              </a:solidFill>
            </a:rPr>
            <a:t>Recreer les graphiques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BDBAD5-1542-447B-83BA-29D687DE42D9}" name="DonneesExternes_1" displayName="DonneesExternes_1" ref="A1:Y12" totalsRowShown="0">
  <autoFilter ref="A1:Y12" xr:uid="{10BDBAD5-1542-447B-83BA-29D687DE42D9}"/>
  <tableColumns count="25">
    <tableColumn id="1" xr3:uid="{2BBF2C43-EF30-49CB-B037-477F16B77E13}" name="Horodatage" dataDxfId="1"/>
    <tableColumn id="2" xr3:uid="{5577FC37-5BC1-4B91-8CC6-6AB305090EC2}" name="Date" dataDxfId="0"/>
    <tableColumn id="3" xr3:uid="{A3DF62F5-F6A3-404D-BD12-B2FC2077C6D6}" name="Type"/>
    <tableColumn id="4" xr3:uid="{1E3F0BD5-6BD6-46EA-93A4-17C4C5080EB7}" name="Km compteur"/>
    <tableColumn id="5" xr3:uid="{3CE54683-2C0F-4AC7-AB8E-49DD5A5B9296}" name="Nb. Litres"/>
    <tableColumn id="6" xr3:uid="{B09828F1-BCBD-4FFF-8312-5B20900750A6}" name="Prix €/L"/>
    <tableColumn id="7" xr3:uid="{28993FB4-D8D6-4337-A33B-FC68998E7BF8}" name="Station essence"/>
    <tableColumn id="8" xr3:uid="{97A3A426-C3FD-4760-AC68-07E9882603C7}" name="Véhicule"/>
    <tableColumn id="9" xr3:uid="{3B66698E-55AA-4AA6-BEB3-B2DB8A6830A3}" name="E85 station (€/L)"/>
    <tableColumn id="10" xr3:uid="{5DC7C8DF-6F83-4D0B-B1BE-EE7612D37F47}" name="SP98 station (€/L)"/>
    <tableColumn id="11" xr3:uid="{20E8371D-93AE-4C83-B09C-F1D5A37A9392}" name="SP95 station (€/L)"/>
    <tableColumn id="12" xr3:uid="{0BB7C6FA-1D72-4B16-BF7F-33CCFD0B6CB8}" name="E10 station (€/L)"/>
    <tableColumn id="13" xr3:uid="{1B0D7610-88AB-4B9A-923E-43795D81F0AA}" name="Gazole station (€/L)"/>
    <tableColumn id="14" xr3:uid="{33ED8B97-296E-4E19-953E-66A723D028D9}" name="GPLc station (€/L)"/>
    <tableColumn id="15" xr3:uid="{F6CA54DB-7230-450D-85DC-9DFE4AE5EE8F}" name="sync_id"/>
    <tableColumn id="16" xr3:uid="{1582CA40-7B6F-43C2-A20C-00CC9EBC9506}" name="Photo ticket"/>
    <tableColumn id="17" xr3:uid="{40DDF65D-3BEA-4C22-B335-AF2AA88AA085}" name="Colonne1"/>
    <tableColumn id="18" xr3:uid="{3B41DB2D-996B-4F44-851B-335D6EE50A6E}" name="Colonne2"/>
    <tableColumn id="19" xr3:uid="{9EAB6506-BE10-40A5-9E75-B38D7B542C6F}" name="Colonne3"/>
    <tableColumn id="20" xr3:uid="{0C870807-7ED2-419B-B8DF-3E29FDB211A9}" name="Colonne4"/>
    <tableColumn id="21" xr3:uid="{7BD3908E-D360-43F1-B36B-A0B6D752831C}" name="Colonne5"/>
    <tableColumn id="22" xr3:uid="{27EAC2AD-7E5E-4894-9FDF-0C5C98CC91CA}" name="Colonne6"/>
    <tableColumn id="23" xr3:uid="{AFA9071D-1D20-4CB8-AD28-485511E0FD07}" name="Colonne7"/>
    <tableColumn id="24" xr3:uid="{8931EDA6-AF22-4859-B03D-E45A63BA3570}" name="Colonne8"/>
    <tableColumn id="25" xr3:uid="{A2011B69-9658-4B64-B4FA-E692D1896FA4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>
      <calculatedColumnFormula>IFERROR(INDEX(GS_Pleins[Date],ROW()-15),"")</calculatedColumnFormula>
    </tableColumn>
    <tableColumn id="11" xr3:uid="{A77486BA-32D8-4661-BA23-1144AE2FD0EC}" name="Type" dataDxfId="25">
      <calculatedColumnFormula array="1">IFERROR(INDEX(GS_Pleins[Type],ROW()-ROW(Tableau2[#Headers])),"")</calculatedColumnFormula>
    </tableColumn>
    <tableColumn id="3" xr3:uid="{6C87F133-7224-4AAB-ACB2-666E8B7315B5}" name="Km compteur" dataDxfId="24">
      <calculatedColumnFormula>IFERROR(INDEX(GS_Pleins[Km],ROW()-15),"")</calculatedColumnFormula>
    </tableColumn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>
      <calculatedColumnFormula>IFERROR(INDEX(GS_Pleins[Litres],ROW()-15),"")</calculatedColumnFormula>
    </tableColumn>
    <tableColumn id="5" xr3:uid="{A61BA34E-E60B-4F70-A1D9-62090C37C449}" name="Prix €/L" dataDxfId="21">
      <calculatedColumnFormula>IFERROR(INDEX(GS_Pleins[PrixL],ROW()-15),"")</calculatedColumnFormula>
    </tableColumn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9" dataDxfId="8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sqref="A1:Q12"/>
    </sheetView>
  </sheetViews>
  <sheetFormatPr baseColWidth="10" defaultRowHeight="15.75" x14ac:dyDescent="0.25"/>
  <cols>
    <col min="1" max="1" width="18.125" style="92" bestFit="1" customWidth="1"/>
    <col min="2" max="2" width="11.2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3" bestFit="1" customWidth="1"/>
    <col min="16" max="16" width="14.25" style="133" bestFit="1" customWidth="1"/>
    <col min="17" max="17" width="19.25" style="117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366</v>
      </c>
      <c r="Q1" s="135" t="s">
        <v>364</v>
      </c>
    </row>
    <row r="2" spans="1:17" x14ac:dyDescent="0.25">
      <c r="A2" s="95" t="s">
        <v>373</v>
      </c>
      <c r="B2" s="148">
        <v>46131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4" t="s">
        <v>336</v>
      </c>
      <c r="P2" s="134" t="s">
        <v>383</v>
      </c>
      <c r="Q2" s="95"/>
    </row>
    <row r="3" spans="1:17" x14ac:dyDescent="0.25">
      <c r="A3" s="95" t="s">
        <v>374</v>
      </c>
      <c r="B3" s="148">
        <v>46135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4" t="s">
        <v>337</v>
      </c>
      <c r="P3" s="134" t="s">
        <v>383</v>
      </c>
      <c r="Q3" s="95"/>
    </row>
    <row r="4" spans="1:17" x14ac:dyDescent="0.25">
      <c r="A4" s="95" t="s">
        <v>375</v>
      </c>
      <c r="B4" s="148">
        <v>46140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4" t="s">
        <v>338</v>
      </c>
      <c r="P4" s="134" t="s">
        <v>383</v>
      </c>
      <c r="Q4" s="95"/>
    </row>
    <row r="5" spans="1:17" x14ac:dyDescent="0.25">
      <c r="A5" s="95" t="s">
        <v>376</v>
      </c>
      <c r="B5" s="148">
        <v>46146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134" t="s">
        <v>339</v>
      </c>
      <c r="P5" s="134" t="s">
        <v>383</v>
      </c>
      <c r="Q5" s="95"/>
    </row>
    <row r="6" spans="1:17" x14ac:dyDescent="0.25">
      <c r="A6" s="95" t="s">
        <v>377</v>
      </c>
      <c r="B6" s="148">
        <v>46148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134" t="s">
        <v>340</v>
      </c>
      <c r="P6" s="134" t="s">
        <v>383</v>
      </c>
      <c r="Q6" s="95"/>
    </row>
    <row r="7" spans="1:17" x14ac:dyDescent="0.25">
      <c r="A7" s="95" t="s">
        <v>378</v>
      </c>
      <c r="B7" s="148">
        <v>46151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134" t="s">
        <v>341</v>
      </c>
      <c r="P7" s="134" t="s">
        <v>383</v>
      </c>
      <c r="Q7" s="95"/>
    </row>
    <row r="8" spans="1:17" x14ac:dyDescent="0.25">
      <c r="A8" s="95" t="s">
        <v>379</v>
      </c>
      <c r="B8" s="148">
        <v>46154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134" t="s">
        <v>342</v>
      </c>
      <c r="P8" s="134" t="s">
        <v>383</v>
      </c>
      <c r="Q8" s="95"/>
    </row>
    <row r="9" spans="1:17" x14ac:dyDescent="0.25">
      <c r="A9" s="95" t="s">
        <v>380</v>
      </c>
      <c r="B9" s="148">
        <v>46157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134" t="s">
        <v>343</v>
      </c>
      <c r="P9" s="134" t="s">
        <v>383</v>
      </c>
      <c r="Q9" s="95"/>
    </row>
    <row r="10" spans="1:17" x14ac:dyDescent="0.25">
      <c r="A10" s="95" t="s">
        <v>381</v>
      </c>
      <c r="B10" s="148">
        <v>46161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134" t="s">
        <v>344</v>
      </c>
      <c r="P10" s="134" t="s">
        <v>383</v>
      </c>
      <c r="Q10" s="95"/>
    </row>
    <row r="11" spans="1:17" x14ac:dyDescent="0.25">
      <c r="A11" s="95" t="s">
        <v>372</v>
      </c>
      <c r="B11" s="148">
        <v>46164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134" t="s">
        <v>334</v>
      </c>
      <c r="P11" s="134" t="s">
        <v>383</v>
      </c>
      <c r="Q11" s="95"/>
    </row>
    <row r="12" spans="1:17" x14ac:dyDescent="0.25">
      <c r="A12" s="95" t="s">
        <v>382</v>
      </c>
      <c r="B12" s="148">
        <v>46170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134" t="s">
        <v>365</v>
      </c>
      <c r="P12" s="134" t="s">
        <v>383</v>
      </c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368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369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18" t="s">
        <v>1</v>
      </c>
      <c r="B4" s="118" t="s">
        <v>55</v>
      </c>
      <c r="C4" s="118" t="s">
        <v>308</v>
      </c>
      <c r="D4" s="118" t="s">
        <v>12</v>
      </c>
      <c r="E4" s="118" t="s">
        <v>370</v>
      </c>
      <c r="F4" s="118" t="s">
        <v>56</v>
      </c>
      <c r="G4" s="118" t="s">
        <v>57</v>
      </c>
      <c r="H4" s="118" t="s">
        <v>371</v>
      </c>
      <c r="I4" s="118" t="s">
        <v>363</v>
      </c>
      <c r="J4" s="118" t="s">
        <v>271</v>
      </c>
    </row>
    <row r="5" spans="1:10" x14ac:dyDescent="0.25">
      <c r="A5" s="124">
        <f>IFERROR(INDEX(GS_Pleins[Date],1),"")</f>
        <v>46131</v>
      </c>
      <c r="B5" s="119" t="str">
        <f>IFERROR(INDEX(GS_Pleins[Type],1),"")</f>
        <v>Super 98</v>
      </c>
      <c r="C5" s="119" t="str">
        <f>IFERROR(INDEX(GS_Pleins[Vehicule],1),"")</f>
        <v>Z900</v>
      </c>
      <c r="D5" s="120">
        <f>IFERROR(INDEX(GS_Pleins[Km],1),"")</f>
        <v>9812</v>
      </c>
      <c r="E5" s="120"/>
      <c r="F5" s="121">
        <f>IFERROR(INDEX(GS_Pleins[Litres],1),"")</f>
        <v>11.4</v>
      </c>
      <c r="G5" s="122">
        <f>IFERROR(INDEX(GS_Pleins[PrixL],1),"")</f>
        <v>1.9730000000000001</v>
      </c>
      <c r="H5" s="121">
        <f t="shared" ref="H5:H15" si="0">IFERROR($F5*$G5,"")</f>
        <v>22.4922</v>
      </c>
      <c r="I5" s="121" t="str">
        <f t="shared" ref="I5:I15" si="1">IFERROR(IF(AND(ISNUMBER($E5),$E5&gt;0),$F5/$E5*100,""),"")</f>
        <v/>
      </c>
      <c r="J5" s="119" t="str">
        <f>IFERROR(INDEX(GS_Pleins[Station essence],1),"")</f>
        <v>Carrefour - Flers</v>
      </c>
    </row>
    <row r="6" spans="1:10" x14ac:dyDescent="0.25">
      <c r="A6" s="124">
        <f>IFERROR(INDEX(GS_Pleins[Date],2),"")</f>
        <v>46135</v>
      </c>
      <c r="B6" s="119" t="str">
        <f>IFERROR(INDEX(GS_Pleins[Type],2),"")</f>
        <v>Super 98</v>
      </c>
      <c r="C6" s="119" t="str">
        <f>IFERROR(INDEX(GS_Pleins[Vehicule],2),"")</f>
        <v>Z900</v>
      </c>
      <c r="D6" s="120">
        <f>IFERROR(INDEX(GS_Pleins[Km],2),"")</f>
        <v>10094</v>
      </c>
      <c r="E6" s="120">
        <f t="shared" ref="E6:E15" si="2">IFERROR(IF($C6=$C5,$D6-$D5,""),"")</f>
        <v>282</v>
      </c>
      <c r="F6" s="121">
        <f>IFERROR(INDEX(GS_Pleins[Litres],2),"")</f>
        <v>15.22</v>
      </c>
      <c r="G6" s="122">
        <f>IFERROR(INDEX(GS_Pleins[PrixL],2),"")</f>
        <v>1.9259999999999999</v>
      </c>
      <c r="H6" s="121">
        <f t="shared" si="0"/>
        <v>29.31372</v>
      </c>
      <c r="I6" s="121">
        <f t="shared" si="1"/>
        <v>5.3971631205673765</v>
      </c>
      <c r="J6" s="119" t="str">
        <f>IFERROR(INDEX(GS_Pleins[Station essence],2),"")</f>
        <v>Carrefour - Flers</v>
      </c>
    </row>
    <row r="7" spans="1:10" x14ac:dyDescent="0.25">
      <c r="A7" s="124">
        <f>IFERROR(INDEX(GS_Pleins[Date],3),"")</f>
        <v>46140</v>
      </c>
      <c r="B7" s="119" t="str">
        <f>IFERROR(INDEX(GS_Pleins[Type],3),"")</f>
        <v>Super 98</v>
      </c>
      <c r="C7" s="119" t="str">
        <f>IFERROR(INDEX(GS_Pleins[Vehicule],3),"")</f>
        <v>Z900</v>
      </c>
      <c r="D7" s="120">
        <f>IFERROR(INDEX(GS_Pleins[Km],3),"")</f>
        <v>10349</v>
      </c>
      <c r="E7" s="120">
        <f t="shared" si="2"/>
        <v>255</v>
      </c>
      <c r="F7" s="121">
        <f>IFERROR(INDEX(GS_Pleins[Litres],3),"")</f>
        <v>13.75</v>
      </c>
      <c r="G7" s="122">
        <f>IFERROR(INDEX(GS_Pleins[PrixL],3),"")</f>
        <v>2.0310000000000001</v>
      </c>
      <c r="H7" s="121">
        <f t="shared" si="0"/>
        <v>27.926250000000003</v>
      </c>
      <c r="I7" s="121">
        <f t="shared" si="1"/>
        <v>5.3921568627450984</v>
      </c>
      <c r="J7" s="119" t="str">
        <f>IFERROR(INDEX(GS_Pleins[Station essence],3),"")</f>
        <v>Leclerc - Douai</v>
      </c>
    </row>
    <row r="8" spans="1:10" x14ac:dyDescent="0.25">
      <c r="A8" s="124">
        <f>IFERROR(INDEX(GS_Pleins[Date],4),"")</f>
        <v>46146</v>
      </c>
      <c r="B8" s="119" t="str">
        <f>IFERROR(INDEX(GS_Pleins[Type],4),"")</f>
        <v>SuperEthanol E85</v>
      </c>
      <c r="C8" s="119" t="str">
        <f>IFERROR(INDEX(GS_Pleins[Vehicule],4),"")</f>
        <v>Z900</v>
      </c>
      <c r="D8" s="120">
        <f>IFERROR(INDEX(GS_Pleins[Km],4),"")</f>
        <v>10553</v>
      </c>
      <c r="E8" s="120">
        <f t="shared" si="2"/>
        <v>204</v>
      </c>
      <c r="F8" s="121">
        <f>IFERROR(INDEX(GS_Pleins[Litres],4),"")</f>
        <v>11.47</v>
      </c>
      <c r="G8" s="122">
        <f>IFERROR(INDEX(GS_Pleins[PrixL],4),"")</f>
        <v>0.80900000000000005</v>
      </c>
      <c r="H8" s="121">
        <f t="shared" si="0"/>
        <v>9.2792300000000019</v>
      </c>
      <c r="I8" s="121">
        <f t="shared" si="1"/>
        <v>5.6225490196078436</v>
      </c>
      <c r="J8" s="119" t="str">
        <f>IFERROR(INDEX(GS_Pleins[Station essence],4),"")</f>
        <v>E.Leclerc - Beuvry</v>
      </c>
    </row>
    <row r="9" spans="1:10" x14ac:dyDescent="0.25">
      <c r="A9" s="124">
        <f>IFERROR(INDEX(GS_Pleins[Date],5),"")</f>
        <v>46148</v>
      </c>
      <c r="B9" s="119" t="str">
        <f>IFERROR(INDEX(GS_Pleins[Type],5),"")</f>
        <v>SuperEthanol E85</v>
      </c>
      <c r="C9" s="119" t="str">
        <f>IFERROR(INDEX(GS_Pleins[Vehicule],5),"")</f>
        <v>Z900</v>
      </c>
      <c r="D9" s="120">
        <f>IFERROR(INDEX(GS_Pleins[Km],5),"")</f>
        <v>10749</v>
      </c>
      <c r="E9" s="120">
        <f t="shared" si="2"/>
        <v>196</v>
      </c>
      <c r="F9" s="121">
        <f>IFERROR(INDEX(GS_Pleins[Litres],5),"")</f>
        <v>11.71</v>
      </c>
      <c r="G9" s="122">
        <f>IFERROR(INDEX(GS_Pleins[PrixL],5),"")</f>
        <v>0.747</v>
      </c>
      <c r="H9" s="121">
        <f t="shared" si="0"/>
        <v>8.7473700000000001</v>
      </c>
      <c r="I9" s="121">
        <f t="shared" si="1"/>
        <v>5.9744897959183678</v>
      </c>
      <c r="J9" s="119" t="str">
        <f>IFERROR(INDEX(GS_Pleins[Station essence],5),"")</f>
        <v>E.Leclerc - Beuvry</v>
      </c>
    </row>
    <row r="10" spans="1:10" x14ac:dyDescent="0.25">
      <c r="A10" s="124">
        <f>IFERROR(INDEX(GS_Pleins[Date],6),"")</f>
        <v>46151</v>
      </c>
      <c r="B10" s="119" t="str">
        <f>IFERROR(INDEX(GS_Pleins[Type],6),"")</f>
        <v>SuperEthanol E85</v>
      </c>
      <c r="C10" s="119" t="str">
        <f>IFERROR(INDEX(GS_Pleins[Vehicule],6),"")</f>
        <v>Z900</v>
      </c>
      <c r="D10" s="120">
        <f>IFERROR(INDEX(GS_Pleins[Km],6),"")</f>
        <v>10975</v>
      </c>
      <c r="E10" s="120">
        <f t="shared" si="2"/>
        <v>226</v>
      </c>
      <c r="F10" s="121">
        <f>IFERROR(INDEX(GS_Pleins[Litres],6),"")</f>
        <v>15.28</v>
      </c>
      <c r="G10" s="122">
        <f>IFERROR(INDEX(GS_Pleins[PrixL],6),"")</f>
        <v>0.75700000000000001</v>
      </c>
      <c r="H10" s="121">
        <f t="shared" si="0"/>
        <v>11.56696</v>
      </c>
      <c r="I10" s="121">
        <f t="shared" si="1"/>
        <v>6.7610619469026547</v>
      </c>
      <c r="J10" s="119" t="str">
        <f>IFERROR(INDEX(GS_Pleins[Station essence],6),"")</f>
        <v>E.Leclerc - Beuvry</v>
      </c>
    </row>
    <row r="11" spans="1:10" x14ac:dyDescent="0.25">
      <c r="A11" s="124">
        <f>IFERROR(INDEX(GS_Pleins[Date],7),"")</f>
        <v>46154</v>
      </c>
      <c r="B11" s="119" t="str">
        <f>IFERROR(INDEX(GS_Pleins[Type],7),"")</f>
        <v>SuperEthanol E85</v>
      </c>
      <c r="C11" s="119" t="str">
        <f>IFERROR(INDEX(GS_Pleins[Vehicule],7),"")</f>
        <v>Z900</v>
      </c>
      <c r="D11" s="120">
        <f>IFERROR(INDEX(GS_Pleins[Km],7),"")</f>
        <v>11173</v>
      </c>
      <c r="E11" s="120">
        <f t="shared" si="2"/>
        <v>198</v>
      </c>
      <c r="F11" s="121">
        <f>IFERROR(INDEX(GS_Pleins[Litres],7),"")</f>
        <v>13.94</v>
      </c>
      <c r="G11" s="122">
        <f>IFERROR(INDEX(GS_Pleins[PrixL],7),"")</f>
        <v>0.83499999999999996</v>
      </c>
      <c r="H11" s="121">
        <f t="shared" si="0"/>
        <v>11.639899999999999</v>
      </c>
      <c r="I11" s="121">
        <f t="shared" si="1"/>
        <v>7.0404040404040398</v>
      </c>
      <c r="J11" s="119" t="str">
        <f>IFERROR(INDEX(GS_Pleins[Station essence],7),"")</f>
        <v>E.Leclerc - Beuvry</v>
      </c>
    </row>
    <row r="12" spans="1:10" x14ac:dyDescent="0.25">
      <c r="A12" s="124">
        <f>IFERROR(INDEX(GS_Pleins[Date],8),"")</f>
        <v>46157</v>
      </c>
      <c r="B12" s="119" t="str">
        <f>IFERROR(INDEX(GS_Pleins[Type],8),"")</f>
        <v>SuperEthanol E85</v>
      </c>
      <c r="C12" s="119" t="str">
        <f>IFERROR(INDEX(GS_Pleins[Vehicule],8),"")</f>
        <v>Z900</v>
      </c>
      <c r="D12" s="120">
        <f>IFERROR(INDEX(GS_Pleins[Km],8),"")</f>
        <v>11376</v>
      </c>
      <c r="E12" s="120">
        <f t="shared" si="2"/>
        <v>203</v>
      </c>
      <c r="F12" s="121">
        <f>IFERROR(INDEX(GS_Pleins[Litres],8),"")</f>
        <v>13.37</v>
      </c>
      <c r="G12" s="122">
        <f>IFERROR(INDEX(GS_Pleins[PrixL],8),"")</f>
        <v>0.71699999999999997</v>
      </c>
      <c r="H12" s="121">
        <f t="shared" si="0"/>
        <v>9.5862899999999982</v>
      </c>
      <c r="I12" s="121">
        <f t="shared" si="1"/>
        <v>6.5862068965517233</v>
      </c>
      <c r="J12" s="119" t="str">
        <f>IFERROR(INDEX(GS_Pleins[Station essence],8),"")</f>
        <v>E.Leclerc - Beuvry</v>
      </c>
    </row>
    <row r="13" spans="1:10" x14ac:dyDescent="0.25">
      <c r="A13" s="124">
        <f>IFERROR(INDEX(GS_Pleins[Date],9),"")</f>
        <v>46161</v>
      </c>
      <c r="B13" s="119" t="str">
        <f>IFERROR(INDEX(GS_Pleins[Type],9),"")</f>
        <v>SuperEthanol E85</v>
      </c>
      <c r="C13" s="119" t="str">
        <f>IFERROR(INDEX(GS_Pleins[Vehicule],9),"")</f>
        <v>Z900</v>
      </c>
      <c r="D13" s="120">
        <f>IFERROR(INDEX(GS_Pleins[Km],9),"")</f>
        <v>11596</v>
      </c>
      <c r="E13" s="120">
        <f t="shared" si="2"/>
        <v>220</v>
      </c>
      <c r="F13" s="121">
        <f>IFERROR(INDEX(GS_Pleins[Litres],9),"")</f>
        <v>14.9</v>
      </c>
      <c r="G13" s="122">
        <f>IFERROR(INDEX(GS_Pleins[PrixL],9),"")</f>
        <v>0.79800000000000004</v>
      </c>
      <c r="H13" s="121">
        <f t="shared" si="0"/>
        <v>11.8902</v>
      </c>
      <c r="I13" s="121">
        <f t="shared" si="1"/>
        <v>6.7727272727272734</v>
      </c>
      <c r="J13" s="119" t="str">
        <f>IFERROR(INDEX(GS_Pleins[Station essence],9),"")</f>
        <v>E.Leclerc - Beuvry</v>
      </c>
    </row>
    <row r="14" spans="1:10" x14ac:dyDescent="0.25">
      <c r="A14" s="124">
        <f>IFERROR(INDEX(GS_Pleins[Date],10),"")</f>
        <v>46164</v>
      </c>
      <c r="B14" s="119" t="str">
        <f>IFERROR(INDEX(GS_Pleins[Type],10),"")</f>
        <v>SuperEthanol E85</v>
      </c>
      <c r="C14" s="119" t="str">
        <f>IFERROR(INDEX(GS_Pleins[Vehicule],10),"")</f>
        <v>Z900</v>
      </c>
      <c r="D14" s="120">
        <f>IFERROR(INDEX(GS_Pleins[Km],10),"")</f>
        <v>11831</v>
      </c>
      <c r="E14" s="120">
        <f t="shared" si="2"/>
        <v>235</v>
      </c>
      <c r="F14" s="121">
        <f>IFERROR(INDEX(GS_Pleins[Litres],10),"")</f>
        <v>16.25</v>
      </c>
      <c r="G14" s="122">
        <f>IFERROR(INDEX(GS_Pleins[PrixL],10),"")</f>
        <v>0.79800000000000004</v>
      </c>
      <c r="H14" s="121">
        <f t="shared" si="0"/>
        <v>12.967500000000001</v>
      </c>
      <c r="I14" s="121">
        <f t="shared" si="1"/>
        <v>6.9148936170212769</v>
      </c>
      <c r="J14" s="119" t="str">
        <f>IFERROR(INDEX(GS_Pleins[Station essence],10),"")</f>
        <v>E.Leclerc - Beuvry</v>
      </c>
    </row>
    <row r="15" spans="1:10" x14ac:dyDescent="0.25">
      <c r="A15" s="124">
        <f>IFERROR(INDEX(GS_Pleins[Date],11),"")</f>
        <v>46170</v>
      </c>
      <c r="B15" s="119" t="str">
        <f>IFERROR(INDEX(GS_Pleins[Type],11),"")</f>
        <v>SuperEthanol E85</v>
      </c>
      <c r="C15" s="119" t="str">
        <f>IFERROR(INDEX(GS_Pleins[Vehicule],11),"")</f>
        <v>Z900</v>
      </c>
      <c r="D15" s="120">
        <f>IFERROR(INDEX(GS_Pleins[Km],11),"")</f>
        <v>12041</v>
      </c>
      <c r="E15" s="120">
        <f t="shared" si="2"/>
        <v>210</v>
      </c>
      <c r="F15" s="121">
        <f>IFERROR(INDEX(GS_Pleins[Litres],11),"")</f>
        <v>13.23</v>
      </c>
      <c r="G15" s="122">
        <f>IFERROR(INDEX(GS_Pleins[PrixL],11),"")</f>
        <v>0.84899999999999998</v>
      </c>
      <c r="H15" s="121">
        <f t="shared" si="0"/>
        <v>11.23227</v>
      </c>
      <c r="I15" s="121">
        <f t="shared" si="1"/>
        <v>6.3</v>
      </c>
      <c r="J15" s="119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366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2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2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2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2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2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2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2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2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2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F19" sqref="F19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2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1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1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5">
        <f>IFERROR(INDEX(GS_Pleins[Date],ROW()-15),"")</f>
        <v>46131</v>
      </c>
      <c r="C16" s="126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28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5">
        <f>IFERROR(INDEX(GS_Pleins[Date],ROW()-15),"")</f>
        <v>46135</v>
      </c>
      <c r="C17" s="126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29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5">
        <f>IFERROR(INDEX(GS_Pleins[Date],ROW()-15),"")</f>
        <v>46140</v>
      </c>
      <c r="C18" s="126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8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25">
        <f>IFERROR(INDEX(GS_Pleins[Date],ROW()-15),"")</f>
        <v>46146</v>
      </c>
      <c r="C19" s="126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28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25">
        <f>IFERROR(INDEX(GS_Pleins[Date],ROW()-15),"")</f>
        <v>46148</v>
      </c>
      <c r="C20" s="126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28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25">
        <f>IFERROR(INDEX(GS_Pleins[Date],ROW()-15),"")</f>
        <v>46151</v>
      </c>
      <c r="C21" s="126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>IF(OR(D21="",D20="",I21="",ISTEXT(D20)),"",F21/(D21-D20)*100)</f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28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25">
        <f>IFERROR(INDEX(GS_Pleins[Date],ROW()-15),"")</f>
        <v>46154</v>
      </c>
      <c r="C22" s="127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28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25">
        <f>IFERROR(INDEX(GS_Pleins[Date],ROW()-15),"")</f>
        <v>46157</v>
      </c>
      <c r="C23" s="126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28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25">
        <f>IFERROR(INDEX(GS_Pleins[Date],ROW()-15),"")</f>
        <v>46161</v>
      </c>
      <c r="C24" s="127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28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5">
        <f>IFERROR(INDEX(GS_Pleins[Date],ROW()-15),"")</f>
        <v>46164</v>
      </c>
      <c r="C25" s="127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28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5">
        <f>IFERROR(INDEX(GS_Pleins[Date],ROW()-15),"")</f>
        <v>46170</v>
      </c>
      <c r="C26" s="127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28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2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heet="1" formatColumns="0" selectLockedCells="1"/>
  <mergeCells count="2">
    <mergeCell ref="G10:H10"/>
    <mergeCell ref="A1:O1"/>
  </mergeCells>
  <phoneticPr fontId="15" type="noConversion"/>
  <conditionalFormatting sqref="K16:K26">
    <cfRule type="expression" dxfId="35" priority="2">
      <formula>AND($C16="SuperEthanol E85",$K16="")</formula>
    </cfRule>
  </conditionalFormatting>
  <conditionalFormatting sqref="G16:G26">
    <cfRule type="expression" dxfId="34" priority="3">
      <formula>AND($G16&lt;&gt;"",ISNUMBER($G16),$G16&lt;AVERAGEIFS(G:G,C:C,$C16,G:G,"&gt;="&amp;$G16-30,G:G," &lt;="&amp;$G16))</formula>
    </cfRule>
    <cfRule type="expression" dxfId="3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abSelected="1" workbookViewId="0">
      <selection activeCell="F2" sqref="F2"/>
    </sheetView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/>
    </row>
    <row r="2" spans="1:3" x14ac:dyDescent="0.25">
      <c r="A2" s="149" t="s">
        <v>384</v>
      </c>
      <c r="B2" s="151"/>
    </row>
    <row r="3" spans="1:3" x14ac:dyDescent="0.25">
      <c r="A3" s="150" t="s">
        <v>385</v>
      </c>
      <c r="B3" s="151">
        <v>200</v>
      </c>
    </row>
    <row r="4" spans="1:3" x14ac:dyDescent="0.25">
      <c r="A4" s="111" t="s">
        <v>1</v>
      </c>
      <c r="B4" s="111" t="s">
        <v>361</v>
      </c>
      <c r="C4" s="111" t="s">
        <v>276</v>
      </c>
    </row>
    <row r="5" spans="1:3" x14ac:dyDescent="0.25">
      <c r="A5" s="112">
        <v>46146</v>
      </c>
      <c r="B5" s="113">
        <v>0.80900000000000005</v>
      </c>
      <c r="C5" t="s">
        <v>335</v>
      </c>
    </row>
    <row r="6" spans="1:3" x14ac:dyDescent="0.25">
      <c r="A6" s="112">
        <v>46148</v>
      </c>
      <c r="B6" s="113">
        <v>0.747</v>
      </c>
      <c r="C6" t="s">
        <v>335</v>
      </c>
    </row>
    <row r="7" spans="1:3" x14ac:dyDescent="0.25">
      <c r="A7" s="112">
        <v>46151</v>
      </c>
      <c r="B7" s="113">
        <v>0.75700000000000001</v>
      </c>
      <c r="C7" t="s">
        <v>335</v>
      </c>
    </row>
    <row r="8" spans="1:3" x14ac:dyDescent="0.25">
      <c r="A8" s="112">
        <v>46154</v>
      </c>
      <c r="B8" s="113">
        <v>0.83499999999999996</v>
      </c>
      <c r="C8" t="s">
        <v>335</v>
      </c>
    </row>
    <row r="9" spans="1:3" x14ac:dyDescent="0.25">
      <c r="A9" s="112">
        <v>46157</v>
      </c>
      <c r="B9" s="113">
        <v>0.71699999999999997</v>
      </c>
      <c r="C9" t="s">
        <v>335</v>
      </c>
    </row>
    <row r="10" spans="1:3" x14ac:dyDescent="0.25">
      <c r="A10" s="112">
        <v>46161</v>
      </c>
      <c r="B10" s="113">
        <v>0.79800000000000004</v>
      </c>
      <c r="C10" t="s">
        <v>335</v>
      </c>
    </row>
    <row r="11" spans="1:3" x14ac:dyDescent="0.25">
      <c r="A11" s="112">
        <v>46164.083333333336</v>
      </c>
      <c r="B11" s="113">
        <v>0.79800000000000004</v>
      </c>
      <c r="C11" t="s">
        <v>335</v>
      </c>
    </row>
    <row r="43" spans="1:3" x14ac:dyDescent="0.25">
      <c r="A43" s="114" t="s">
        <v>362</v>
      </c>
    </row>
    <row r="44" spans="1:3" x14ac:dyDescent="0.25">
      <c r="A44" s="115" t="s">
        <v>1</v>
      </c>
      <c r="B44" s="115" t="s">
        <v>363</v>
      </c>
      <c r="C44" s="115" t="s">
        <v>308</v>
      </c>
    </row>
    <row r="45" spans="1:3" x14ac:dyDescent="0.25">
      <c r="A45" s="112">
        <v>46135</v>
      </c>
      <c r="B45" s="116">
        <v>5.4</v>
      </c>
      <c r="C45" t="s">
        <v>315</v>
      </c>
    </row>
    <row r="46" spans="1:3" x14ac:dyDescent="0.25">
      <c r="A46" s="112">
        <v>46140</v>
      </c>
      <c r="B46" s="116">
        <v>5.39</v>
      </c>
      <c r="C46" t="s">
        <v>315</v>
      </c>
    </row>
    <row r="47" spans="1:3" x14ac:dyDescent="0.25">
      <c r="A47" s="112">
        <v>46146</v>
      </c>
      <c r="B47" s="116">
        <v>5.62</v>
      </c>
      <c r="C47" t="s">
        <v>315</v>
      </c>
    </row>
    <row r="48" spans="1:3" x14ac:dyDescent="0.25">
      <c r="A48" s="112">
        <v>46148</v>
      </c>
      <c r="B48" s="116">
        <v>5.97</v>
      </c>
      <c r="C48" t="s">
        <v>315</v>
      </c>
    </row>
    <row r="49" spans="1:3" x14ac:dyDescent="0.25">
      <c r="A49" s="112">
        <v>46151</v>
      </c>
      <c r="B49" s="116">
        <v>6.76</v>
      </c>
      <c r="C49" t="s">
        <v>315</v>
      </c>
    </row>
    <row r="50" spans="1:3" x14ac:dyDescent="0.25">
      <c r="A50" s="112">
        <v>46154</v>
      </c>
      <c r="B50" s="116">
        <v>7.04</v>
      </c>
      <c r="C50" t="s">
        <v>315</v>
      </c>
    </row>
    <row r="51" spans="1:3" x14ac:dyDescent="0.25">
      <c r="A51" s="112">
        <v>46157</v>
      </c>
      <c r="B51" s="116">
        <v>6.59</v>
      </c>
      <c r="C51" t="s">
        <v>315</v>
      </c>
    </row>
    <row r="52" spans="1:3" x14ac:dyDescent="0.25">
      <c r="A52" s="112">
        <v>46161</v>
      </c>
      <c r="B52" s="116">
        <v>6.77</v>
      </c>
      <c r="C52" t="s">
        <v>315</v>
      </c>
    </row>
    <row r="53" spans="1:3" x14ac:dyDescent="0.25">
      <c r="A53" s="112">
        <v>46164.083333333336</v>
      </c>
      <c r="B53" s="116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367</v>
      </c>
    </row>
    <row r="7" spans="2:4" x14ac:dyDescent="0.25">
      <c r="D7" s="130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AA12"/>
  <sheetViews>
    <sheetView workbookViewId="0"/>
  </sheetViews>
  <sheetFormatPr baseColWidth="10" defaultRowHeight="15.75" x14ac:dyDescent="0.25"/>
  <cols>
    <col min="7" max="7" width="11" style="152"/>
    <col min="12" max="12" width="11" style="152"/>
  </cols>
  <sheetData>
    <row r="1" spans="1:27" x14ac:dyDescent="0.25">
      <c r="A1" t="s">
        <v>386</v>
      </c>
      <c r="B1" t="s">
        <v>387</v>
      </c>
      <c r="C1" t="s">
        <v>388</v>
      </c>
      <c r="D1" t="s">
        <v>389</v>
      </c>
      <c r="E1" t="s">
        <v>390</v>
      </c>
      <c r="G1" s="152" t="s">
        <v>1</v>
      </c>
      <c r="H1" t="s">
        <v>391</v>
      </c>
      <c r="I1" t="s">
        <v>392</v>
      </c>
      <c r="J1" t="s">
        <v>393</v>
      </c>
      <c r="L1" s="152" t="s">
        <v>1</v>
      </c>
      <c r="M1" t="s">
        <v>363</v>
      </c>
      <c r="O1" t="s">
        <v>308</v>
      </c>
      <c r="P1" t="s">
        <v>394</v>
      </c>
      <c r="Q1" t="s">
        <v>395</v>
      </c>
      <c r="S1" t="s">
        <v>386</v>
      </c>
      <c r="T1" t="s">
        <v>396</v>
      </c>
      <c r="U1" t="s">
        <v>397</v>
      </c>
      <c r="W1" t="s">
        <v>398</v>
      </c>
      <c r="X1" t="s">
        <v>399</v>
      </c>
      <c r="Z1" t="s">
        <v>406</v>
      </c>
      <c r="AA1" t="s">
        <v>407</v>
      </c>
    </row>
    <row r="2" spans="1:27" x14ac:dyDescent="0.25">
      <c r="A2" t="s">
        <v>400</v>
      </c>
      <c r="B2">
        <v>79.73</v>
      </c>
      <c r="C2">
        <v>0</v>
      </c>
      <c r="D2">
        <v>0</v>
      </c>
      <c r="E2">
        <v>16.7</v>
      </c>
      <c r="G2" s="152">
        <v>46131</v>
      </c>
      <c r="J2">
        <v>1.9730000000000001</v>
      </c>
      <c r="L2" s="152">
        <v>46135</v>
      </c>
      <c r="M2">
        <v>5.3971631205673765</v>
      </c>
      <c r="O2" t="s">
        <v>315</v>
      </c>
      <c r="P2">
        <v>6.75</v>
      </c>
      <c r="Q2">
        <v>7.48</v>
      </c>
      <c r="S2" t="s">
        <v>400</v>
      </c>
      <c r="T2">
        <v>79.73</v>
      </c>
      <c r="W2" t="s">
        <v>402</v>
      </c>
      <c r="X2">
        <v>2026</v>
      </c>
      <c r="Z2" t="s">
        <v>408</v>
      </c>
      <c r="AA2">
        <v>80</v>
      </c>
    </row>
    <row r="3" spans="1:27" x14ac:dyDescent="0.25">
      <c r="A3" t="s">
        <v>401</v>
      </c>
      <c r="B3">
        <v>86.91</v>
      </c>
      <c r="C3">
        <v>80.400000000000006</v>
      </c>
      <c r="D3">
        <v>80.400000000000006</v>
      </c>
      <c r="E3">
        <v>33.299999999999997</v>
      </c>
      <c r="G3" s="152">
        <v>46135</v>
      </c>
      <c r="J3">
        <v>1.9259999999999999</v>
      </c>
      <c r="L3" s="152">
        <v>46140</v>
      </c>
      <c r="M3">
        <v>5.3921568627450984</v>
      </c>
      <c r="S3" t="s">
        <v>401</v>
      </c>
      <c r="T3">
        <v>86.91</v>
      </c>
      <c r="W3" t="s">
        <v>403</v>
      </c>
      <c r="X3">
        <v>11</v>
      </c>
      <c r="Z3" t="s">
        <v>409</v>
      </c>
      <c r="AA3">
        <v>200</v>
      </c>
    </row>
    <row r="4" spans="1:27" x14ac:dyDescent="0.25">
      <c r="G4" s="152">
        <v>46140</v>
      </c>
      <c r="J4">
        <v>2.0310000000000001</v>
      </c>
      <c r="L4" s="152">
        <v>46146</v>
      </c>
      <c r="M4">
        <v>5.6225490196078436</v>
      </c>
      <c r="W4" t="s">
        <v>306</v>
      </c>
      <c r="X4">
        <v>150.5</v>
      </c>
    </row>
    <row r="5" spans="1:27" x14ac:dyDescent="0.25">
      <c r="G5" s="152">
        <v>46146</v>
      </c>
      <c r="H5">
        <v>0.80900000000000005</v>
      </c>
      <c r="L5" s="152">
        <v>46148</v>
      </c>
      <c r="M5">
        <v>5.9744897959183678</v>
      </c>
      <c r="W5" t="s">
        <v>404</v>
      </c>
      <c r="X5">
        <v>167</v>
      </c>
    </row>
    <row r="6" spans="1:27" x14ac:dyDescent="0.25">
      <c r="G6" s="152">
        <v>46148</v>
      </c>
      <c r="H6">
        <v>0.747</v>
      </c>
      <c r="L6" s="152">
        <v>46151</v>
      </c>
      <c r="M6">
        <v>6.7610619469026547</v>
      </c>
      <c r="W6" t="s">
        <v>360</v>
      </c>
      <c r="X6">
        <v>2229</v>
      </c>
    </row>
    <row r="7" spans="1:27" x14ac:dyDescent="0.25">
      <c r="G7" s="152">
        <v>46151</v>
      </c>
      <c r="H7">
        <v>0.75700000000000001</v>
      </c>
      <c r="L7" s="152">
        <v>46154</v>
      </c>
      <c r="M7">
        <v>7.0404040404040398</v>
      </c>
      <c r="W7" t="s">
        <v>405</v>
      </c>
      <c r="X7" t="s">
        <v>335</v>
      </c>
    </row>
    <row r="8" spans="1:27" x14ac:dyDescent="0.25">
      <c r="G8" s="152">
        <v>46154</v>
      </c>
      <c r="H8">
        <v>0.83499999999999996</v>
      </c>
      <c r="L8" s="152">
        <v>46157</v>
      </c>
      <c r="M8">
        <v>6.5862068965517233</v>
      </c>
    </row>
    <row r="9" spans="1:27" x14ac:dyDescent="0.25">
      <c r="G9" s="152">
        <v>46157</v>
      </c>
      <c r="H9">
        <v>0.71699999999999997</v>
      </c>
      <c r="L9" s="152">
        <v>46161</v>
      </c>
      <c r="M9">
        <v>6.7727272727272734</v>
      </c>
    </row>
    <row r="10" spans="1:27" x14ac:dyDescent="0.25">
      <c r="G10" s="152">
        <v>46161</v>
      </c>
      <c r="H10">
        <v>0.79800000000000004</v>
      </c>
      <c r="L10" s="152">
        <v>46164</v>
      </c>
      <c r="M10">
        <v>6.9148936170212769</v>
      </c>
    </row>
    <row r="11" spans="1:27" x14ac:dyDescent="0.25">
      <c r="G11" s="152">
        <v>46164</v>
      </c>
      <c r="H11">
        <v>0.79800000000000004</v>
      </c>
      <c r="L11" s="152">
        <v>46170</v>
      </c>
      <c r="M11">
        <v>6.3</v>
      </c>
    </row>
    <row r="12" spans="1:27" x14ac:dyDescent="0.25">
      <c r="G12" s="152">
        <v>46170</v>
      </c>
      <c r="H12">
        <v>0.84899999999999998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2026-05-31T02:50:01Z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