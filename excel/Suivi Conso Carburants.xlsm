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48DCCB9C-5BBC-406F-9F1F-EB952C133533}" xr6:coauthVersionLast="47" xr6:coauthVersionMax="47" xr10:uidLastSave="{00000000-0000-0000-0000-000000000000}"/>
  <bookViews>
    <workbookView xWindow="-120" yWindow="-120" windowWidth="24240" windowHeight="13020" firstSheet="1" activeTab="7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Suivi (auto)" sheetId="11" state="hidden" r:id="rId4"/>
    <sheet name="_ImportGS" sheetId="9" state="veryHidden" r:id="rId5"/>
    <sheet name="Suivi Carburant" sheetId="2" r:id="rId6"/>
    <sheet name="Prix par Station" sheetId="7" r:id="rId7"/>
    <sheet name="Graphiques" sheetId="4" r:id="rId8"/>
    <sheet name="Notes" sheetId="6" state="hidden" r:id="rId9"/>
    <sheet name="_GraphData" sheetId="12" state="veryHidden" r:id="rId10"/>
  </sheets>
  <functionGroups builtInGroupCount="19">
    <functionGroup name="ChatGPT for Excel"/>
  </functionGroups>
  <externalReferences>
    <externalReference r:id="rId11"/>
  </externalReferences>
  <definedNames>
    <definedName name="DonnéesExternes_1" localSheetId="2" hidden="1">GS_Pleins!$A$1:$P$12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" i="2" l="1" a="1"/>
  <c r="O16" i="2" s="1"/>
  <c r="O17" i="2" a="1"/>
  <c r="O17" i="2" s="1"/>
  <c r="O18" i="2" a="1"/>
  <c r="O18" i="2" s="1"/>
  <c r="O19" i="2" a="1"/>
  <c r="O19" i="2" s="1"/>
  <c r="O20" i="2" a="1"/>
  <c r="O20" i="2" s="1"/>
  <c r="O21" i="2" a="1"/>
  <c r="O21" i="2" s="1"/>
  <c r="O22" i="2" a="1"/>
  <c r="O22" i="2" s="1"/>
  <c r="O23" i="2" a="1"/>
  <c r="O23" i="2" s="1"/>
  <c r="O24" i="2" a="1"/>
  <c r="O24" i="2" s="1"/>
  <c r="O25" i="2" a="1"/>
  <c r="O25" i="2" s="1"/>
  <c r="O26" i="2" a="1"/>
  <c r="O26" i="2" s="1"/>
  <c r="C16" i="2" a="1"/>
  <c r="C16" i="2" s="1"/>
  <c r="C17" i="2" a="1"/>
  <c r="C17" i="2" s="1"/>
  <c r="C18" i="2" a="1"/>
  <c r="C18" i="2" s="1"/>
  <c r="C19" i="2" a="1"/>
  <c r="C19" i="2" s="1"/>
  <c r="C20" i="2" a="1"/>
  <c r="C20" i="2" s="1"/>
  <c r="C21" i="2" a="1"/>
  <c r="C21" i="2" s="1"/>
  <c r="C22" i="2" a="1"/>
  <c r="C22" i="2" s="1"/>
  <c r="C23" i="2" a="1"/>
  <c r="C23" i="2" s="1"/>
  <c r="C24" i="2" a="1"/>
  <c r="C24" i="2" s="1"/>
  <c r="C25" i="2" a="1"/>
  <c r="C25" i="2" s="1"/>
  <c r="C26" i="2" a="1"/>
  <c r="C26" i="2" s="1"/>
  <c r="D16" i="2"/>
  <c r="G16" i="2"/>
  <c r="G17" i="2"/>
  <c r="G18" i="2"/>
  <c r="G19" i="2"/>
  <c r="G20" i="2"/>
  <c r="G21" i="2"/>
  <c r="G22" i="2"/>
  <c r="G23" i="2"/>
  <c r="G24" i="2"/>
  <c r="G25" i="2"/>
  <c r="G26" i="2"/>
  <c r="F16" i="2"/>
  <c r="F17" i="2"/>
  <c r="F18" i="2"/>
  <c r="F19" i="2"/>
  <c r="F20" i="2"/>
  <c r="F21" i="2"/>
  <c r="F22" i="2"/>
  <c r="F23" i="2"/>
  <c r="F24" i="2"/>
  <c r="F25" i="2"/>
  <c r="F26" i="2"/>
  <c r="D17" i="2"/>
  <c r="D18" i="2"/>
  <c r="D19" i="2"/>
  <c r="D20" i="2"/>
  <c r="D21" i="2"/>
  <c r="D22" i="2"/>
  <c r="D23" i="2"/>
  <c r="D24" i="2"/>
  <c r="D25" i="2"/>
  <c r="D26" i="2"/>
  <c r="B16" i="2"/>
  <c r="B17" i="2"/>
  <c r="B18" i="2"/>
  <c r="B19" i="2"/>
  <c r="B20" i="2"/>
  <c r="B21" i="2"/>
  <c r="B22" i="2"/>
  <c r="B23" i="2"/>
  <c r="B24" i="2"/>
  <c r="B25" i="2"/>
  <c r="B26" i="2"/>
  <c r="J15" i="11"/>
  <c r="G15" i="11"/>
  <c r="F15" i="11"/>
  <c r="D15" i="11"/>
  <c r="C15" i="11"/>
  <c r="B15" i="11"/>
  <c r="A15" i="11"/>
  <c r="J14" i="11"/>
  <c r="G14" i="11"/>
  <c r="F14" i="11"/>
  <c r="D14" i="11"/>
  <c r="C14" i="11"/>
  <c r="B14" i="11"/>
  <c r="A14" i="11"/>
  <c r="J13" i="11"/>
  <c r="G13" i="11"/>
  <c r="F13" i="11"/>
  <c r="D13" i="11"/>
  <c r="C13" i="11"/>
  <c r="B13" i="11"/>
  <c r="A13" i="11"/>
  <c r="J12" i="11"/>
  <c r="G12" i="11"/>
  <c r="F12" i="1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D10" i="11"/>
  <c r="C10" i="11"/>
  <c r="B10" i="11"/>
  <c r="A10" i="11"/>
  <c r="J9" i="11"/>
  <c r="G9" i="11"/>
  <c r="F9" i="1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H12" i="11" l="1"/>
  <c r="E26" i="2"/>
  <c r="K16" i="2"/>
  <c r="H10" i="11"/>
  <c r="H15" i="11"/>
  <c r="H6" i="11"/>
  <c r="H9" i="11"/>
  <c r="H14" i="11"/>
  <c r="H5" i="11"/>
  <c r="H7" i="11"/>
  <c r="E12" i="11"/>
  <c r="I12" i="11" s="1"/>
  <c r="E13" i="11"/>
  <c r="I13" i="11" s="1"/>
  <c r="H8" i="11"/>
  <c r="E10" i="11"/>
  <c r="I10" i="11" s="1"/>
  <c r="E11" i="11"/>
  <c r="I11" i="11" s="1"/>
  <c r="I26" i="2"/>
  <c r="H26" i="2" s="1"/>
  <c r="E8" i="11"/>
  <c r="I8" i="11" s="1"/>
  <c r="E9" i="11"/>
  <c r="I9" i="11" s="1"/>
  <c r="H13" i="11"/>
  <c r="E6" i="11"/>
  <c r="I6" i="11" s="1"/>
  <c r="E7" i="11"/>
  <c r="I7" i="11" s="1"/>
  <c r="H11" i="11"/>
  <c r="E14" i="11"/>
  <c r="I14" i="11" s="1"/>
  <c r="E15" i="11"/>
  <c r="I15" i="11" s="1"/>
  <c r="B31" i="2"/>
  <c r="J26" i="2"/>
  <c r="B29" i="2"/>
  <c r="B30" i="2"/>
  <c r="B34" i="2"/>
  <c r="E25" i="2"/>
  <c r="I25" i="2"/>
  <c r="H25" i="2" s="1"/>
  <c r="J25" i="2"/>
  <c r="B16" i="7" l="1"/>
  <c r="B15" i="7"/>
  <c r="B14" i="7"/>
  <c r="B13" i="7"/>
  <c r="B12" i="7"/>
  <c r="B11" i="7"/>
  <c r="B10" i="7"/>
  <c r="B9" i="7"/>
  <c r="B8" i="7"/>
  <c r="B7" i="7"/>
  <c r="B6" i="7"/>
  <c r="E24" i="2"/>
  <c r="I24" i="2"/>
  <c r="H24" i="2" s="1"/>
  <c r="J24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A26" i="2" s="1"/>
  <c r="I22" i="2"/>
  <c r="H22" i="2" s="1"/>
  <c r="B33" i="2"/>
  <c r="B32" i="2"/>
  <c r="S16" i="2"/>
  <c r="M17" i="2"/>
  <c r="M18" i="2"/>
  <c r="K17" i="2"/>
  <c r="I17" i="2"/>
  <c r="H17" i="2" s="1"/>
  <c r="C9" i="7" l="1"/>
  <c r="G9" i="7"/>
  <c r="D9" i="7"/>
  <c r="H9" i="7"/>
  <c r="E9" i="7"/>
  <c r="F9" i="7"/>
  <c r="C13" i="7"/>
  <c r="G13" i="7"/>
  <c r="D13" i="7"/>
  <c r="H13" i="7"/>
  <c r="E13" i="7"/>
  <c r="F13" i="7"/>
  <c r="F6" i="7"/>
  <c r="E6" i="7"/>
  <c r="H6" i="7"/>
  <c r="D6" i="7"/>
  <c r="G6" i="7"/>
  <c r="C6" i="7"/>
  <c r="E10" i="7"/>
  <c r="F10" i="7"/>
  <c r="C10" i="7"/>
  <c r="G10" i="7"/>
  <c r="D10" i="7"/>
  <c r="H10" i="7"/>
  <c r="E14" i="7"/>
  <c r="F14" i="7"/>
  <c r="C14" i="7"/>
  <c r="G14" i="7"/>
  <c r="D14" i="7"/>
  <c r="H14" i="7"/>
  <c r="C7" i="7"/>
  <c r="G7" i="7"/>
  <c r="D7" i="7"/>
  <c r="H7" i="7"/>
  <c r="E7" i="7"/>
  <c r="F7" i="7"/>
  <c r="C11" i="7"/>
  <c r="G11" i="7"/>
  <c r="D11" i="7"/>
  <c r="H11" i="7"/>
  <c r="E11" i="7"/>
  <c r="F11" i="7"/>
  <c r="C15" i="7"/>
  <c r="G15" i="7"/>
  <c r="D15" i="7"/>
  <c r="H15" i="7"/>
  <c r="E15" i="7"/>
  <c r="F15" i="7"/>
  <c r="E8" i="7"/>
  <c r="F8" i="7"/>
  <c r="C8" i="7"/>
  <c r="G8" i="7"/>
  <c r="D8" i="7"/>
  <c r="H8" i="7"/>
  <c r="I12" i="7"/>
  <c r="E12" i="7"/>
  <c r="F12" i="7"/>
  <c r="C12" i="7"/>
  <c r="G12" i="7"/>
  <c r="D12" i="7"/>
  <c r="H12" i="7"/>
  <c r="E16" i="7"/>
  <c r="F16" i="7"/>
  <c r="C16" i="7"/>
  <c r="G16" i="7"/>
  <c r="D16" i="7"/>
  <c r="H16" i="7"/>
  <c r="B37" i="2"/>
  <c r="B36" i="2"/>
  <c r="I11" i="7"/>
  <c r="I8" i="7"/>
  <c r="I7" i="7"/>
  <c r="I9" i="7"/>
  <c r="I6" i="7"/>
  <c r="I10" i="7"/>
  <c r="J5" i="2"/>
  <c r="J6" i="2" a="1"/>
  <c r="J6" i="2" s="1"/>
  <c r="B6" i="2"/>
  <c r="J7" i="2" s="1"/>
  <c r="L26" i="2" s="1"/>
  <c r="M26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L16" i="2"/>
  <c r="K18" i="2"/>
  <c r="I18" i="2"/>
  <c r="H18" i="2" s="1"/>
  <c r="I19" i="2"/>
  <c r="I20" i="2"/>
  <c r="H20" i="2" s="1"/>
  <c r="I21" i="2"/>
  <c r="H21" i="2" s="1"/>
  <c r="I23" i="2"/>
  <c r="H23" i="2" s="1"/>
  <c r="I16" i="2"/>
  <c r="H16" i="2" l="1"/>
  <c r="N16" i="2"/>
  <c r="B35" i="2"/>
  <c r="L18" i="2"/>
  <c r="J29" i="2" s="1"/>
  <c r="H19" i="2"/>
  <c r="N19" i="2"/>
  <c r="M19" i="2"/>
  <c r="M23" i="2"/>
  <c r="M20" i="2"/>
  <c r="M21" i="2"/>
  <c r="N20" i="2" l="1"/>
  <c r="N21" i="2" s="1"/>
  <c r="N22" i="2" l="1"/>
  <c r="N23" i="2" s="1"/>
  <c r="N24" i="2" s="1"/>
  <c r="N25" i="2" s="1"/>
  <c r="J30" i="2"/>
  <c r="J31" i="2" s="1"/>
  <c r="N26" i="2" l="1"/>
  <c r="Q24" i="2" s="1" a="1"/>
  <c r="Q24" i="2" s="1"/>
  <c r="S24" i="2" s="1"/>
  <c r="Q18" i="2" a="1"/>
  <c r="Q18" i="2" s="1"/>
  <c r="S18" i="2" s="1"/>
  <c r="Q27" i="2" a="1"/>
  <c r="Q27" i="2" s="1"/>
  <c r="S27" i="2" s="1"/>
  <c r="Q25" i="2" a="1"/>
  <c r="Q25" i="2" s="1"/>
  <c r="S25" i="2" s="1"/>
  <c r="R24" i="2" a="1"/>
  <c r="R24" i="2" s="1"/>
  <c r="P31" i="2" a="1"/>
  <c r="P31" i="2" s="1"/>
  <c r="R31" i="2" s="1"/>
  <c r="R22" i="2" a="1"/>
  <c r="R22" i="2" s="1"/>
  <c r="R19" i="2" a="1"/>
  <c r="R19" i="2" s="1"/>
  <c r="J35" i="2"/>
  <c r="J36" i="2" s="1"/>
  <c r="Q21" i="2" a="1"/>
  <c r="Q21" i="2" s="1"/>
  <c r="S21" i="2" s="1"/>
  <c r="R18" i="2" a="1"/>
  <c r="R18" i="2" s="1"/>
  <c r="B10" i="2"/>
  <c r="B11" i="2" s="1"/>
  <c r="J32" i="2"/>
  <c r="J33" i="2"/>
  <c r="Q32" i="2" l="1" a="1"/>
  <c r="Q32" i="2" s="1"/>
  <c r="R25" i="2" a="1"/>
  <c r="R25" i="2" s="1"/>
  <c r="Q20" i="2" a="1"/>
  <c r="Q20" i="2" s="1"/>
  <c r="S20" i="2" s="1"/>
  <c r="R26" i="2" a="1"/>
  <c r="R26" i="2" s="1"/>
  <c r="Q17" i="2" a="1"/>
  <c r="Q17" i="2" s="1"/>
  <c r="S17" i="2" s="1"/>
  <c r="Q23" i="2" a="1"/>
  <c r="Q23" i="2" s="1"/>
  <c r="S23" i="2" s="1"/>
  <c r="Q29" i="2" a="1"/>
  <c r="Q29" i="2" s="1"/>
  <c r="S29" i="2" s="1"/>
  <c r="Q31" i="2" a="1"/>
  <c r="Q31" i="2" s="1"/>
  <c r="R20" i="2" a="1"/>
  <c r="R20" i="2" s="1"/>
  <c r="Q26" i="2" a="1"/>
  <c r="Q26" i="2" s="1"/>
  <c r="S26" i="2" s="1"/>
  <c r="Q30" i="2" a="1"/>
  <c r="Q30" i="2" s="1"/>
  <c r="S30" i="2" s="1"/>
  <c r="R29" i="2" a="1"/>
  <c r="R29" i="2" s="1"/>
  <c r="R17" i="2" a="1"/>
  <c r="R17" i="2" s="1"/>
  <c r="Q28" i="2" a="1"/>
  <c r="Q28" i="2" s="1"/>
  <c r="S28" i="2" s="1"/>
  <c r="Q19" i="2" a="1"/>
  <c r="Q19" i="2" s="1"/>
  <c r="S19" i="2" s="1"/>
  <c r="R23" i="2" a="1"/>
  <c r="R23" i="2" s="1"/>
  <c r="Q22" i="2" a="1"/>
  <c r="Q22" i="2" s="1"/>
  <c r="S22" i="2" s="1"/>
  <c r="R27" i="2" a="1"/>
  <c r="R27" i="2" s="1"/>
  <c r="R28" i="2" a="1"/>
  <c r="R28" i="2" s="1"/>
  <c r="R30" i="2" a="1"/>
  <c r="R30" i="2" s="1"/>
  <c r="P32" i="2" a="1"/>
  <c r="P32" i="2" s="1"/>
  <c r="R32" i="2" s="1"/>
  <c r="R21" i="2" a="1"/>
  <c r="R21" i="2" s="1"/>
  <c r="J12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<sst xmlns="http://schemas.openxmlformats.org/spreadsheetml/2006/main" count="553" uniqueCount="410">
  <si>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</si>
  <si>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</si>
  <si>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</si>
  <si>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</si>
  <si>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</si>
  <si>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</si>
  <si>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</si>
  <si>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</si>
  <si>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</si>
  <si>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</si>
  <si>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</si>
  <si>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</si>
  <si>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</si>
  <si>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</si>
  <si>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</si>
  <si>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</si>
  <si>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</si>
  <si>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</si>
  <si>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</si>
  <si>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</si>
  <si>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</si>
  <si>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</si>
  <si>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</si>
  <si>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</si>
  <si>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</si>
  <si>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</si>
  <si>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</si>
  <si>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</si>
  <si>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</si>
  <si>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</si>
  <si>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</si>
  <si>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</si>
  <si>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</si>
  <si>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</si>
  <si>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</si>
  <si>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</si>
  <si>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</si>
  <si>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</si>
  <si>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</si>
  <si>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</si>
  <si>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</si>
  <si>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</si>
  <si>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</si>
  <si>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</si>
  <si>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</si>
  <si>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</si>
  <si>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</si>
  <si>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</si>
  <si>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</si>
  <si>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</si>
  <si>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</si>
  <si>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</si>
  <si>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</si>
  <si>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</si>
  <si>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</si>
  <si>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</si>
  <si>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</si>
  <si>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</si>
  <si>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</si>
  <si>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</si>
  <si>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</si>
  <si>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</si>
  <si>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</si>
  <si>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</si>
  <si>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</si>
  <si>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</si>
  <si>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</si>
  <si>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</si>
  <si>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</si>
  <si>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</si>
  <si>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</si>
  <si>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</si>
  <si>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</si>
  <si>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</si>
  <si>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</si>
  <si>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</si>
  <si>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</si>
  <si>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</si>
  <si>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</si>
  <si>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</si>
  <si>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</si>
  <si>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</si>
  <si>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</si>
  <si>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</si>
  <si>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</si>
  <si>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</si>
  <si>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</si>
  <si>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</si>
  <si>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</si>
  <si>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</si>
  <si>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</si>
  <si>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</si>
  <si>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</si>
  <si>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</si>
  <si>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</si>
  <si>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</si>
  <si>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</si>
  <si>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</si>
  <si>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</si>
  <si>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</si>
  <si>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</si>
  <si>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</si>
  <si>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</si>
  <si>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</si>
  <si>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</si>
  <si>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</si>
  <si>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</si>
  <si>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</si>
  <si>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</si>
  <si>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</si>
  <si>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</si>
  <si>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</si>
  <si>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</si>
  <si>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</si>
  <si>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</si>
  <si>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</si>
  <si>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</si>
  <si>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</si>
  <si>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</si>
  <si>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</si>
  <si>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</si>
  <si>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</si>
  <si>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</si>
  <si>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</si>
  <si>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</si>
  <si>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</si>
  <si>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</si>
  <si>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</si>
  <si>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</si>
  <si>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</si>
  <si>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</si>
  <si>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</si>
  <si>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</si>
  <si>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</si>
  <si>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</si>
  <si>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</si>
  <si>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</si>
  <si>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</si>
  <si>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</si>
  <si>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</si>
  <si>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</si>
  <si>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</si>
  <si>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</si>
  <si>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</si>
  <si>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</si>
  <si>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</si>
  <si>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</si>
  <si>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</si>
  <si>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</si>
  <si>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</si>
  <si>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</si>
  <si>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</si>
  <si>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</si>
  <si>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</si>
  <si>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</si>
  <si>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</si>
  <si>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</si>
  <si>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</si>
  <si>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</si>
  <si>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</si>
  <si>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</si>
  <si>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</si>
  <si>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</si>
  <si>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</si>
  <si>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</si>
  <si>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</si>
  <si>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</si>
  <si>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</si>
  <si>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</si>
  <si>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</si>
  <si>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</si>
  <si>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</si>
  <si>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</si>
  <si>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</si>
  <si>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</si>
  <si>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</si>
  <si>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</si>
  <si>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</si>
  <si>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</si>
  <si>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</si>
  <si>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</si>
  <si>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</si>
  <si>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</si>
  <si>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</si>
  <si>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</si>
  <si>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</si>
  <si>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</si>
  <si>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</si>
  <si>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</si>
  <si>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</si>
  <si>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</si>
  <si>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</si>
  <si>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</si>
  <si>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</si>
  <si>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</si>
  <si>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</si>
  <si>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</si>
  <si>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</si>
  <si>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</si>
  <si>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</si>
  <si>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</si>
  <si>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</si>
  <si>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</si>
  <si>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</si>
  <si>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</si>
  <si>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</si>
  <si>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</si>
  <si>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</si>
  <si>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</si>
  <si>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</si>
  <si>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</si>
  <si>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</si>
  <si>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</si>
  <si>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</si>
  <si>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</si>
  <si>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</si>
  <si>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</si>
  <si>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</si>
  <si>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</si>
  <si>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</si>
  <si>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</si>
  <si>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</si>
  <si>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</si>
  <si>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</si>
  <si>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</si>
  <si>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</si>
  <si>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</si>
  <si>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</si>
  <si>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</si>
  <si>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</si>
  <si>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</si>
  <si>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</si>
  <si>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</si>
  <si>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</si>
  <si>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</si>
  <si>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</si>
  <si>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</si>
  <si>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</si>
  <si>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</si>
  <si>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</si>
  <si>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</si>
  <si>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</si>
  <si>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</si>
  <si>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</si>
  <si>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</si>
  <si>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</si>
  <si>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</si>
  <si>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</si>
  <si>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</si>
  <si>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</si>
  <si>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</si>
  <si>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</si>
  <si>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</si>
  <si>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</si>
  <si>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</si>
  <si>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</si>
  <si>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</si>
  <si>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</si>
  <si>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</si>
  <si>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</si>
  <si>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</si>
  <si>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</si>
  <si>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</si>
  <si>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</si>
  <si>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</si>
  <si>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</si>
  <si>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</si>
  <si>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</si>
  <si>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</si>
  <si>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</si>
  <si>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</si>
  <si>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</si>
  <si>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</si>
  <si>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</si>
  <si>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</si>
  <si>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</si>
  <si>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</si>
  <si>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</si>
  <si>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</si>
  <si>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</si>
  <si>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</si>
  <si>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</si>
  <si>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</si>
  <si>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</si>
  <si>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</si>
  <si>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</si>
  <si>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</si>
  <si>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</si>
  <si>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</si>
  <si>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</si>
  <si>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</si>
  <si>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</si>
  <si>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</si>
  <si>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</si>
  <si>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</si>
  <si>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</si>
  <si>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</si>
  <si>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</si>
  <si>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</si>
  <si>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</si>
  <si>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</si>
  <si>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</si>
  <si>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</si>
  <si>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</si>
  <si>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</si>
  <si>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</si>
  <si>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</si>
  <si>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</si>
  <si>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</si>
  <si>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</si>
  <si>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</si>
  <si>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</si>
  <si>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</si>
  <si>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</si>
  <si>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</si>
  <si>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</si>
  <si>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</si>
  <si>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</si>
  <si>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</si>
  <si>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</si>
  <si>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</si>
  <si>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</si>
  <si>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</si>
  <si>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</si>
  <si>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</si>
  <si>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</si>
  <si>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</si>
  <si>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</si>
  <si>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</si>
  <si>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</si>
  <si>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</si>
  <si>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</si>
  <si>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</si>
  <si>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</si>
  <si>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</si>
  <si>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</si>
  <si>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</si>
  <si>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</si>
  <si>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</si>
  <si>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</si>
  <si>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</si>
  <si>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</si>
  <si>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</si>
  <si>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</si>
  <si>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</si>
  <si>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</si>
  <si>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</si>
  <si>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</si>
  <si>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</si>
  <si>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</si>
  <si>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</si>
  <si>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</si>
  <si>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</si>
  <si>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</si>
  <si>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</si>
  <si>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</si>
  <si>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</si>
  <si>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</si>
  <si>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</si>
  <si>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</si>
  <si>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</si>
  <si>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</si>
  <si>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</si>
  <si>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</si>
  <si>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</si>
  <si>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</si>
  <si>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</si>
  <si>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</si>
  <si>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</si>
  <si>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</si>
  <si>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</si>
  <si>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</si>
  <si>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</si>
  <si>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4/19/2026</t>
  </si>
  <si>
    <t>4/23/2026</t>
  </si>
  <si>
    <t>4/28/2026</t>
  </si>
  <si>
    <t>5/4/2026</t>
  </si>
  <si>
    <t>5/6/2026</t>
  </si>
  <si>
    <t>5/9/2026</t>
  </si>
  <si>
    <t>5/12/2026</t>
  </si>
  <si>
    <t>5/15/2026</t>
  </si>
  <si>
    <t>5/19/2026</t>
  </si>
  <si>
    <t>5/29/2026 3:54:38</t>
  </si>
  <si>
    <t/>
  </si>
  <si>
    <t>Budget mensuel (€)</t>
  </si>
  <si>
    <t>Objectif CO2 annuel (kg)</t>
  </si>
  <si>
    <t>Mois</t>
  </si>
  <si>
    <t>Cout (€)</t>
  </si>
  <si>
    <t>CO2 evite (kg)</t>
  </si>
  <si>
    <t>CO2 cumule (kg)</t>
  </si>
  <si>
    <t>Objectif cumule (kg)</t>
  </si>
  <si>
    <t>E85</t>
  </si>
  <si>
    <t>Gazole</t>
  </si>
  <si>
    <t>SP98</t>
  </si>
  <si>
    <t>Conso L/100km</t>
  </si>
  <si>
    <t>Cout €/100km</t>
  </si>
  <si>
    <t>Depense (€)</t>
  </si>
  <si>
    <t>Objectif (€)</t>
  </si>
  <si>
    <t>Indicateur</t>
  </si>
  <si>
    <t>Valeur</t>
  </si>
  <si>
    <t>2026-04</t>
  </si>
  <si>
    <t>2026-05</t>
  </si>
  <si>
    <t>Annee</t>
  </si>
  <si>
    <t>Pleins</t>
  </si>
  <si>
    <t>€ depenses</t>
  </si>
  <si>
    <t>Station preferee</t>
  </si>
  <si>
    <t>CO2 annuel</t>
  </si>
  <si>
    <t>kg</t>
  </si>
  <si>
    <t>Realise</t>
  </si>
  <si>
    <t>Objectif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</si>
</sst>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3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1D9E75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rgb="FF2E75B6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  <fill>
      <patternFill patternType="solid">
        <fgColor rgb="FF1B495C"/>
        <bgColor indexed="64"/>
      </patternFill>
    </fill>
    <fill>
      <patternFill patternType="solid">
        <fgColor rgb="FFFFFCE6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53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8" fillId="0" borderId="0" xfId="0" applyFont="1"/>
    <xf numFmtId="0" fontId="2" fillId="21" borderId="0" xfId="0" applyFont="1" applyFill="1"/>
    <xf numFmtId="2" fontId="0" fillId="0" borderId="0" xfId="0" applyNumberFormat="1"/>
    <xf numFmtId="178" fontId="0" fillId="0" borderId="0" xfId="0" applyNumberFormat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0" borderId="12" xfId="0" applyBorder="1"/>
    <xf numFmtId="3" fontId="0" fillId="0" borderId="12" xfId="0" applyNumberFormat="1" applyBorder="1"/>
    <xf numFmtId="2" fontId="0" fillId="0" borderId="12" xfId="0" applyNumberFormat="1" applyBorder="1"/>
    <xf numFmtId="185" fontId="0" fillId="0" borderId="12" xfId="0" applyNumberFormat="1" applyBorder="1"/>
    <xf numFmtId="0" fontId="0" fillId="0" borderId="0" xfId="0" applyAlignment="1">
      <alignment horizontal="center"/>
    </xf>
    <xf numFmtId="14" fontId="0" fillId="0" borderId="12" xfId="0" applyNumberFormat="1" applyBorder="1"/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29" fillId="3" borderId="0" xfId="0" applyFont="1" applyFill="1" applyAlignment="1" applyProtection="1">
      <alignment horizontal="left" vertical="center"/>
    </xf>
    <xf numFmtId="0" fontId="29" fillId="3" borderId="0" xfId="0" applyFont="1" applyFill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NumberFormat="1"/>
    <xf numFmtId="178" fontId="0" fillId="0" borderId="0" xfId="0" applyNumberFormat="1"/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29" fillId="22" borderId="0" xfId="0" applyFont="1" applyFill="1"/>
    <xf numFmtId="0" fontId="30" fillId="0" borderId="0" xfId="0" applyFon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0" fillId="23" borderId="0" xfId="0" applyFill="1"/>
    <xf numFmtId="186" fontId="0" fillId="0" borderId="0" xfId="0" applyNumberFormat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52">
    <dxf>
      <numFmt numFmtId="27" formatCode="dd/mm/yyyy\ hh:mm"/>
    </dxf>
    <dxf>
      <numFmt numFmtId="19" formatCode="dd/mm/yyyy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Evolution du prix par carburant (€/L)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_GraphData!$H$1</c:f>
              <c:strCache>
                <c:ptCount val="1"/>
                <c:pt idx="0">
                  <c:v>E85</c:v>
                </c:pt>
              </c:strCache>
            </c:strRef>
          </c:tx>
          <c:marker>
            <c:symbol val="none"/>
          </c:marker>
          <c:cat>
            <c:numRef>
              <c:f>_GraphData!$G$2:$G$12</c:f>
              <c:numCache>
                <c:formatCode>m/d/yyyy</c:formatCode>
                <c:ptCount val="11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</c:numCache>
            </c:numRef>
          </c:cat>
          <c:val>
            <c:numRef>
              <c:f>_GraphData!$H$2:$H$12</c:f>
              <c:numCache>
                <c:formatCode>General</c:formatCode>
                <c:ptCount val="11"/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0.79800000000000004</c:v>
                </c:pt>
                <c:pt idx="10">
                  <c:v>0.84899999999999998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4-4DFA-A4F7-D0B98EBA7C04}"/>
            </c:ext>
          </c:extLst>
        </c:ser>
        <c:ser>
          <c:idx val="1"/>
          <c:order val="1"/>
          <c:tx>
            <c:strRef>
              <c:f>_GraphData!$I$1</c:f>
              <c:strCache>
                <c:ptCount val="1"/>
                <c:pt idx="0">
                  <c:v>Gazole</c:v>
                </c:pt>
              </c:strCache>
            </c:strRef>
          </c:tx>
          <c:marker>
            <c:symbol val="none"/>
          </c:marker>
          <c:cat>
            <c:numRef>
              <c:f>_GraphData!$G$2:$G$12</c:f>
              <c:numCache>
                <c:formatCode>m/d/yyyy</c:formatCode>
                <c:ptCount val="11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</c:numCache>
            </c:numRef>
          </c:cat>
          <c:val>
            <c:numRef>
              <c:f>_GraphData!$I$2:$I$12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64-4DFA-A4F7-D0B98EBA7C04}"/>
            </c:ext>
          </c:extLst>
        </c:ser>
        <c:ser>
          <c:idx val="2"/>
          <c:order val="2"/>
          <c:tx>
            <c:strRef>
              <c:f>_GraphData!$J$1</c:f>
              <c:strCache>
                <c:ptCount val="1"/>
                <c:pt idx="0">
                  <c:v>SP98</c:v>
                </c:pt>
              </c:strCache>
            </c:strRef>
          </c:tx>
          <c:marker>
            <c:symbol val="none"/>
          </c:marker>
          <c:cat>
            <c:numRef>
              <c:f>_GraphData!$G$2:$G$12</c:f>
              <c:numCache>
                <c:formatCode>m/d/yyyy</c:formatCode>
                <c:ptCount val="11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</c:numCache>
            </c:numRef>
          </c:cat>
          <c:val>
            <c:numRef>
              <c:f>_GraphData!$J$2:$J$12</c:f>
              <c:numCache>
                <c:formatCode>General</c:formatCode>
                <c:ptCount val="11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64-4DFA-A4F7-D0B98EBA7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170688"/>
        <c:axId val="2010167328"/>
      </c:lineChart>
      <c:dateAx>
        <c:axId val="2010170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010167328"/>
        <c:crosses val="autoZero"/>
        <c:auto val="1"/>
        <c:lblOffset val="100"/>
        <c:baseTimeUnit val="days"/>
      </c:dateAx>
      <c:valAx>
        <c:axId val="2010167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17068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Cout mensuel du carburant (€)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_GraphData!$B$1</c:f>
              <c:strCache>
                <c:ptCount val="1"/>
                <c:pt idx="0">
                  <c:v>Cout (€)</c:v>
                </c:pt>
              </c:strCache>
            </c:strRef>
          </c:tx>
          <c:invertIfNegative val="0"/>
          <c:cat>
            <c:strRef>
              <c:f>_GraphData!$A$2:$A$3</c:f>
              <c:strCache>
                <c:ptCount val="2"/>
                <c:pt idx="0">
                  <c:v>2026-04</c:v>
                </c:pt>
                <c:pt idx="1">
                  <c:v>2026-05</c:v>
                </c:pt>
              </c:strCache>
            </c:strRef>
          </c:cat>
          <c:val>
            <c:numRef>
              <c:f>_GraphData!$B$2:$B$3</c:f>
              <c:numCache>
                <c:formatCode>General</c:formatCode>
                <c:ptCount val="2"/>
                <c:pt idx="0">
                  <c:v>79.73</c:v>
                </c:pt>
                <c:pt idx="1">
                  <c:v>86.91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97-4EA1-B5F2-9251056F9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10177888"/>
        <c:axId val="2010168768"/>
      </c:barChart>
      <c:catAx>
        <c:axId val="2010177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0168768"/>
        <c:crosses val="autoZero"/>
        <c:auto val="1"/>
        <c:lblAlgn val="ctr"/>
        <c:lblOffset val="100"/>
        <c:noMultiLvlLbl val="0"/>
      </c:catAx>
      <c:valAx>
        <c:axId val="201016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17788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Consommation (L/100 km)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_GraphData!$M$1</c:f>
              <c:strCache>
                <c:ptCount val="1"/>
                <c:pt idx="0">
                  <c:v>L/100 km</c:v>
                </c:pt>
              </c:strCache>
            </c:strRef>
          </c:tx>
          <c:marker>
            <c:symbol val="none"/>
          </c:marker>
          <c:cat>
            <c:numRef>
              <c:f>_GraphData!$L$2:$L$11</c:f>
              <c:numCache>
                <c:formatCode>m/d/yyyy</c:formatCode>
                <c:ptCount val="10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</c:v>
                </c:pt>
                <c:pt idx="9">
                  <c:v>46170</c:v>
                </c:pt>
              </c:numCache>
            </c:numRef>
          </c:cat>
          <c:val>
            <c:numRef>
              <c:f>_GraphData!$M$2:$M$11</c:f>
              <c:numCache>
                <c:formatCode>General</c:formatCode>
                <c:ptCount val="10"/>
                <c:pt idx="0">
                  <c:v>5.3971631205673765</c:v>
                </c:pt>
                <c:pt idx="1">
                  <c:v>5.3921568627450984</c:v>
                </c:pt>
                <c:pt idx="2">
                  <c:v>5.6225490196078436</c:v>
                </c:pt>
                <c:pt idx="3">
                  <c:v>5.9744897959183678</c:v>
                </c:pt>
                <c:pt idx="4">
                  <c:v>6.7610619469026547</c:v>
                </c:pt>
                <c:pt idx="5">
                  <c:v>7.0404040404040398</c:v>
                </c:pt>
                <c:pt idx="6">
                  <c:v>6.5862068965517233</c:v>
                </c:pt>
                <c:pt idx="7">
                  <c:v>6.7727272727272734</c:v>
                </c:pt>
                <c:pt idx="8">
                  <c:v>6.9148936170212769</c:v>
                </c:pt>
                <c:pt idx="9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F2-42E4-BC7F-B1EEF5B0F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178368"/>
        <c:axId val="2010178848"/>
      </c:lineChart>
      <c:dateAx>
        <c:axId val="2010178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010178848"/>
        <c:crosses val="autoZero"/>
        <c:auto val="1"/>
        <c:lblOffset val="100"/>
        <c:baseTimeUnit val="days"/>
      </c:dateAx>
      <c:valAx>
        <c:axId val="2010178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17836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Comparaison vehicules (conso &amp; cout /100 km)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_GraphData!$P$1</c:f>
              <c:strCache>
                <c:ptCount val="1"/>
                <c:pt idx="0">
                  <c:v>Conso L/100km</c:v>
                </c:pt>
              </c:strCache>
            </c:strRef>
          </c:tx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_GraphData!$P$2</c:f>
              <c:numCache>
                <c:formatCode>General</c:formatCode>
                <c:ptCount val="1"/>
                <c:pt idx="0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F8-4EFA-AEEF-7C7644F956D8}"/>
            </c:ext>
          </c:extLst>
        </c:ser>
        <c:ser>
          <c:idx val="1"/>
          <c:order val="1"/>
          <c:tx>
            <c:strRef>
              <c:f>_GraphData!$Q$1</c:f>
              <c:strCache>
                <c:ptCount val="1"/>
                <c:pt idx="0">
                  <c:v>Cout €/100km</c:v>
                </c:pt>
              </c:strCache>
            </c:strRef>
          </c:tx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_GraphData!$Q$2</c:f>
              <c:numCache>
                <c:formatCode>General</c:formatCode>
                <c:ptCount val="1"/>
                <c:pt idx="0">
                  <c:v>7.48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F8-4EFA-AEEF-7C7644F95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10174528"/>
        <c:axId val="2010180288"/>
      </c:barChart>
      <c:catAx>
        <c:axId val="2010174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10180288"/>
        <c:crosses val="autoZero"/>
        <c:auto val="1"/>
        <c:lblAlgn val="ctr"/>
        <c:lblOffset val="100"/>
        <c:noMultiLvlLbl val="0"/>
      </c:catAx>
      <c:valAx>
        <c:axId val="20101802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01017452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Tendance depenses - 6 mois + objectif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_GraphData!$T$1</c:f>
              <c:strCache>
                <c:ptCount val="1"/>
                <c:pt idx="0">
                  <c:v>Depense (€)</c:v>
                </c:pt>
              </c:strCache>
            </c:strRef>
          </c:tx>
          <c:spPr>
            <a:solidFill>
              <a:srgbClr val="CC2E22"/>
            </a:solidFill>
          </c:spPr>
          <c:invertIfNegative val="0"/>
          <c:cat>
            <c:strRef>
              <c:f>_GraphData!$S$2:$S$3</c:f>
              <c:strCache>
                <c:ptCount val="2"/>
                <c:pt idx="0">
                  <c:v>2026-04</c:v>
                </c:pt>
                <c:pt idx="1">
                  <c:v>2026-05</c:v>
                </c:pt>
              </c:strCache>
            </c:strRef>
          </c:cat>
          <c:val>
            <c:numRef>
              <c:f>_GraphData!$T$2:$T$3</c:f>
              <c:numCache>
                <c:formatCode>General</c:formatCode>
                <c:ptCount val="2"/>
                <c:pt idx="0">
                  <c:v>79.73</c:v>
                </c:pt>
                <c:pt idx="1">
                  <c:v>86.91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38-4419-9C0E-0D72EDA49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10167808"/>
        <c:axId val="2010171648"/>
      </c:barChart>
      <c:lineChart>
        <c:grouping val="standard"/>
        <c:varyColors val="0"/>
        <c:ser>
          <c:idx val="1"/>
          <c:order val="1"/>
          <c:tx>
            <c:strRef>
              <c:f>_GraphData!$U$1</c:f>
              <c:strCache>
                <c:ptCount val="1"/>
                <c:pt idx="0">
                  <c:v>Objectif (€)</c:v>
                </c:pt>
              </c:strCache>
            </c:strRef>
          </c:tx>
          <c:spPr>
            <a:ln>
              <a:solidFill>
                <a:srgbClr val="339010"/>
              </a:solidFill>
              <a:prstDash val="dash"/>
            </a:ln>
          </c:spPr>
          <c:marker>
            <c:symbol val="none"/>
          </c:marker>
          <c:cat>
            <c:strRef>
              <c:f>_GraphData!$S$2:$S$3</c:f>
              <c:strCache>
                <c:ptCount val="2"/>
                <c:pt idx="0">
                  <c:v>2026-04</c:v>
                </c:pt>
                <c:pt idx="1">
                  <c:v>2026-05</c:v>
                </c:pt>
              </c:strCache>
            </c:strRef>
          </c:cat>
          <c:val>
            <c:numRef>
              <c:f>_GraphData!$U$2:$U$3</c:f>
              <c:numCache>
                <c:formatCode>General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38-4419-9C0E-0D72EDA49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167808"/>
        <c:axId val="2010171648"/>
      </c:lineChart>
      <c:catAx>
        <c:axId val="2010167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0171648"/>
        <c:crosses val="autoZero"/>
        <c:auto val="1"/>
        <c:lblAlgn val="ctr"/>
        <c:lblOffset val="100"/>
        <c:noMultiLvlLbl val="0"/>
      </c:catAx>
      <c:valAx>
        <c:axId val="2010171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16780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CO2 evite - cumul mensuel vs objectif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_GraphData!$D$1</c:f>
              <c:strCache>
                <c:ptCount val="1"/>
                <c:pt idx="0">
                  <c:v>CO2 cumule (kg)</c:v>
                </c:pt>
              </c:strCache>
            </c:strRef>
          </c:tx>
          <c:spPr>
            <a:ln>
              <a:solidFill>
                <a:srgbClr val="71B33C"/>
              </a:solidFill>
            </a:ln>
          </c:spPr>
          <c:marker>
            <c:symbol val="none"/>
          </c:marker>
          <c:cat>
            <c:strRef>
              <c:f>_GraphData!$A$2:$A$3</c:f>
              <c:strCache>
                <c:ptCount val="2"/>
                <c:pt idx="0">
                  <c:v>2026-04</c:v>
                </c:pt>
                <c:pt idx="1">
                  <c:v>2026-05</c:v>
                </c:pt>
              </c:strCache>
            </c:strRef>
          </c:cat>
          <c:val>
            <c:numRef>
              <c:f>_GraphData!$D$2:$D$3</c:f>
              <c:numCache>
                <c:formatCode>General</c:formatCode>
                <c:ptCount val="2"/>
                <c:pt idx="0">
                  <c:v>0</c:v>
                </c:pt>
                <c:pt idx="1">
                  <c:v>80.400000000000006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72-4C9A-BC24-6CD1DAF7CBDD}"/>
            </c:ext>
          </c:extLst>
        </c:ser>
        <c:ser>
          <c:idx val="1"/>
          <c:order val="1"/>
          <c:tx>
            <c:strRef>
              <c:f>_GraphData!$E$1</c:f>
              <c:strCache>
                <c:ptCount val="1"/>
                <c:pt idx="0">
                  <c:v>Objectif cumule (kg)</c:v>
                </c:pt>
              </c:strCache>
            </c:strRef>
          </c:tx>
          <c:spPr>
            <a:ln>
              <a:solidFill>
                <a:srgbClr val="339010"/>
              </a:solidFill>
              <a:prstDash val="dash"/>
            </a:ln>
          </c:spPr>
          <c:marker>
            <c:symbol val="none"/>
          </c:marker>
          <c:cat>
            <c:strRef>
              <c:f>_GraphData!$A$2:$A$3</c:f>
              <c:strCache>
                <c:ptCount val="2"/>
                <c:pt idx="0">
                  <c:v>2026-04</c:v>
                </c:pt>
                <c:pt idx="1">
                  <c:v>2026-05</c:v>
                </c:pt>
              </c:strCache>
            </c:strRef>
          </c:cat>
          <c:val>
            <c:numRef>
              <c:f>_GraphData!$E$2:$E$3</c:f>
              <c:numCache>
                <c:formatCode>General</c:formatCode>
                <c:ptCount val="2"/>
                <c:pt idx="0">
                  <c:v>16.7</c:v>
                </c:pt>
                <c:pt idx="1">
                  <c:v>33.299999999999997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72-4C9A-BC24-6CD1DAF7CB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8727472"/>
        <c:axId val="1978722192"/>
      </c:lineChart>
      <c:catAx>
        <c:axId val="1978727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8722192"/>
        <c:crosses val="autoZero"/>
        <c:auto val="1"/>
        <c:lblAlgn val="ctr"/>
        <c:lblOffset val="100"/>
        <c:noMultiLvlLbl val="0"/>
      </c:catAx>
      <c:valAx>
        <c:axId val="1978722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872747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Objectif CO2 annuel (kg evites)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_GraphData!$AA$1</c:f>
              <c:strCache>
                <c:ptCount val="1"/>
                <c:pt idx="0">
                  <c:v>kg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71B33C"/>
              </a:solidFill>
            </c:spPr>
            <c:extLst>
              <c:ext xmlns:c16="http://schemas.microsoft.com/office/drawing/2014/chart" uri="{C3380CC4-5D6E-409C-BE32-E72D297353CC}">
                <c16:uniqueId val="{00000002-69ED-4FA3-987C-A84E0AEB3F34}"/>
              </c:ext>
            </c:extLst>
          </c:dPt>
          <c:dPt>
            <c:idx val="1"/>
            <c:invertIfNegative val="0"/>
            <c:bubble3D val="0"/>
            <c:spPr>
              <a:solidFill>
                <a:srgbClr val="339010"/>
              </a:solidFill>
            </c:spPr>
            <c:extLst>
              <c:ext xmlns:c16="http://schemas.microsoft.com/office/drawing/2014/chart" uri="{C3380CC4-5D6E-409C-BE32-E72D297353CC}">
                <c16:uniqueId val="{00000003-69ED-4FA3-987C-A84E0AEB3F3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_GraphData!$Z$2:$Z$3</c:f>
              <c:strCache>
                <c:ptCount val="2"/>
                <c:pt idx="0">
                  <c:v>Realise</c:v>
                </c:pt>
                <c:pt idx="1">
                  <c:v>Objectif</c:v>
                </c:pt>
              </c:strCache>
            </c:strRef>
          </c:cat>
          <c:val>
            <c:numRef>
              <c:f>_GraphData!$AA$2:$AA$3</c:f>
              <c:numCache>
                <c:formatCode>General</c:formatCode>
                <c:ptCount val="2"/>
                <c:pt idx="0">
                  <c:v>80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D-4FA3-987C-A84E0AEB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78724112"/>
        <c:axId val="1978726512"/>
      </c:barChart>
      <c:catAx>
        <c:axId val="19787241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78726512"/>
        <c:crosses val="autoZero"/>
        <c:auto val="1"/>
        <c:lblAlgn val="ctr"/>
        <c:lblOffset val="100"/>
        <c:noMultiLvlLbl val="0"/>
      </c:catAx>
      <c:valAx>
        <c:axId val="197872651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97872411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74386</xdr:colOff>
      <xdr:row>12</xdr:row>
      <xdr:rowOff>91621</xdr:rowOff>
    </xdr:from>
    <xdr:to>
      <xdr:col>2</xdr:col>
      <xdr:colOff>1725386</xdr:colOff>
      <xdr:row>14</xdr:row>
      <xdr:rowOff>13607</xdr:rowOff>
    </xdr:to>
    <xdr:sp macro="NouveauPlein" textlink="">
      <xdr:nvSpPr>
        <xdr:cNvPr id="2" name="btnNouveauPlein">
          <a:extLst>
            <a:ext uri="{FF2B5EF4-FFF2-40B4-BE49-F238E27FC236}">
              <a16:creationId xmlns:a16="http://schemas.microsoft.com/office/drawing/2014/main" id="{4B013921-BB98-470D-C7E4-8FB286913F82}"/>
            </a:ext>
          </a:extLst>
        </xdr:cNvPr>
        <xdr:cNvSpPr/>
      </xdr:nvSpPr>
      <xdr:spPr>
        <a:xfrm>
          <a:off x="3163207" y="2540907"/>
          <a:ext cx="1651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69E744CD-F446-EF4B-0998-725B8999420A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2</xdr:col>
      <xdr:colOff>279400</xdr:colOff>
      <xdr:row>26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4</xdr:row>
      <xdr:rowOff>161925</xdr:rowOff>
    </xdr:from>
    <xdr:to>
      <xdr:col>3</xdr:col>
      <xdr:colOff>825500</xdr:colOff>
      <xdr:row>20</xdr:row>
      <xdr:rowOff>136525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1A66B65-E68F-1FBC-D722-DA4D882BC1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21</xdr:row>
      <xdr:rowOff>190500</xdr:rowOff>
    </xdr:from>
    <xdr:to>
      <xdr:col>3</xdr:col>
      <xdr:colOff>825500</xdr:colOff>
      <xdr:row>37</xdr:row>
      <xdr:rowOff>165100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2A89F73-9404-7D0F-6192-EEEA803E0C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39</xdr:row>
      <xdr:rowOff>19050</xdr:rowOff>
    </xdr:from>
    <xdr:to>
      <xdr:col>3</xdr:col>
      <xdr:colOff>825500</xdr:colOff>
      <xdr:row>54</xdr:row>
      <xdr:rowOff>193675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47F0A11-3C27-A772-E90F-E14B01C393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127000</xdr:colOff>
      <xdr:row>56</xdr:row>
      <xdr:rowOff>47625</xdr:rowOff>
    </xdr:from>
    <xdr:to>
      <xdr:col>3</xdr:col>
      <xdr:colOff>825500</xdr:colOff>
      <xdr:row>72</xdr:row>
      <xdr:rowOff>22225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E05E183-F116-44E7-07F7-D9D1E62F3B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241300</xdr:colOff>
      <xdr:row>4</xdr:row>
      <xdr:rowOff>161925</xdr:rowOff>
    </xdr:from>
    <xdr:to>
      <xdr:col>11</xdr:col>
      <xdr:colOff>215900</xdr:colOff>
      <xdr:row>20</xdr:row>
      <xdr:rowOff>136525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2028A65-3038-94EE-2229-BF0A701834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241300</xdr:colOff>
      <xdr:row>21</xdr:row>
      <xdr:rowOff>190500</xdr:rowOff>
    </xdr:from>
    <xdr:to>
      <xdr:col>11</xdr:col>
      <xdr:colOff>215900</xdr:colOff>
      <xdr:row>37</xdr:row>
      <xdr:rowOff>165100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4E4D682-DC57-784B-9C01-F2D9B977D6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241300</xdr:colOff>
      <xdr:row>39</xdr:row>
      <xdr:rowOff>19050</xdr:rowOff>
    </xdr:from>
    <xdr:to>
      <xdr:col>11</xdr:col>
      <xdr:colOff>215900</xdr:colOff>
      <xdr:row>54</xdr:row>
      <xdr:rowOff>193675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FC7D0178-9D7A-84CD-6F99-86DF64522C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241300</xdr:colOff>
      <xdr:row>56</xdr:row>
      <xdr:rowOff>47625</xdr:rowOff>
    </xdr:from>
    <xdr:to>
      <xdr:col>11</xdr:col>
      <xdr:colOff>215900</xdr:colOff>
      <xdr:row>57</xdr:row>
      <xdr:rowOff>177800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54605955-A47A-A4B4-C4DA-4BAC0F8B8CB1}"/>
            </a:ext>
          </a:extLst>
        </xdr:cNvPr>
        <xdr:cNvSpPr/>
      </xdr:nvSpPr>
      <xdr:spPr>
        <a:xfrm>
          <a:off x="6223000" y="11430000"/>
          <a:ext cx="5842000" cy="330200"/>
        </a:xfrm>
        <a:prstGeom prst="rect">
          <a:avLst/>
        </a:prstGeom>
        <a:solidFill>
          <a:srgbClr val="3345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Bilan annuel 2026</a:t>
          </a:r>
        </a:p>
      </xdr:txBody>
    </xdr:sp>
    <xdr:clientData/>
  </xdr:twoCellAnchor>
  <xdr:twoCellAnchor>
    <xdr:from>
      <xdr:col>4</xdr:col>
      <xdr:colOff>241300</xdr:colOff>
      <xdr:row>58</xdr:row>
      <xdr:rowOff>79375</xdr:rowOff>
    </xdr:from>
    <xdr:to>
      <xdr:col>6</xdr:col>
      <xdr:colOff>406400</xdr:colOff>
      <xdr:row>62</xdr:row>
      <xdr:rowOff>41275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F36D7D47-3DAA-AE08-6AEF-0BF68E64E8F8}"/>
            </a:ext>
          </a:extLst>
        </xdr:cNvPr>
        <xdr:cNvSpPr/>
      </xdr:nvSpPr>
      <xdr:spPr>
        <a:xfrm>
          <a:off x="6223000" y="11861800"/>
          <a:ext cx="1841500" cy="762000"/>
        </a:xfrm>
        <a:prstGeom prst="roundRect">
          <a:avLst/>
        </a:prstGeom>
        <a:solidFill>
          <a:srgbClr val="EEF2F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0">
              <a:solidFill>
                <a:srgbClr val="1B3A5C"/>
              </a:solidFill>
            </a:rPr>
            <a:t>11
Pleins</a:t>
          </a:r>
        </a:p>
      </xdr:txBody>
    </xdr:sp>
    <xdr:clientData/>
  </xdr:twoCellAnchor>
  <xdr:twoCellAnchor>
    <xdr:from>
      <xdr:col>6</xdr:col>
      <xdr:colOff>558800</xdr:colOff>
      <xdr:row>58</xdr:row>
      <xdr:rowOff>79375</xdr:rowOff>
    </xdr:from>
    <xdr:to>
      <xdr:col>8</xdr:col>
      <xdr:colOff>723900</xdr:colOff>
      <xdr:row>62</xdr:row>
      <xdr:rowOff>41275</xdr:rowOff>
    </xdr:to>
    <xdr:sp macro="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CE072668-14AB-4413-EABB-EB243CE4CA06}"/>
            </a:ext>
          </a:extLst>
        </xdr:cNvPr>
        <xdr:cNvSpPr/>
      </xdr:nvSpPr>
      <xdr:spPr>
        <a:xfrm>
          <a:off x="8216900" y="11861800"/>
          <a:ext cx="1841500" cy="762000"/>
        </a:xfrm>
        <a:prstGeom prst="roundRect">
          <a:avLst/>
        </a:prstGeom>
        <a:solidFill>
          <a:srgbClr val="EEF2F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0">
              <a:solidFill>
                <a:srgbClr val="1B3A5C"/>
              </a:solidFill>
            </a:rPr>
            <a:t>150,5
Litres</a:t>
          </a:r>
        </a:p>
      </xdr:txBody>
    </xdr:sp>
    <xdr:clientData/>
  </xdr:twoCellAnchor>
  <xdr:twoCellAnchor>
    <xdr:from>
      <xdr:col>9</xdr:col>
      <xdr:colOff>38100</xdr:colOff>
      <xdr:row>58</xdr:row>
      <xdr:rowOff>79375</xdr:rowOff>
    </xdr:from>
    <xdr:to>
      <xdr:col>11</xdr:col>
      <xdr:colOff>203200</xdr:colOff>
      <xdr:row>62</xdr:row>
      <xdr:rowOff>41275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3BEEB6A-E621-24AB-9BA2-1C8D21B32F89}"/>
            </a:ext>
          </a:extLst>
        </xdr:cNvPr>
        <xdr:cNvSpPr/>
      </xdr:nvSpPr>
      <xdr:spPr>
        <a:xfrm>
          <a:off x="10210800" y="11861800"/>
          <a:ext cx="1841500" cy="762000"/>
        </a:xfrm>
        <a:prstGeom prst="roundRect">
          <a:avLst/>
        </a:prstGeom>
        <a:solidFill>
          <a:srgbClr val="EEF2F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0">
              <a:solidFill>
                <a:srgbClr val="1B3A5C"/>
              </a:solidFill>
            </a:rPr>
            <a:t>167
€ depenses</a:t>
          </a:r>
        </a:p>
      </xdr:txBody>
    </xdr:sp>
    <xdr:clientData/>
  </xdr:twoCellAnchor>
  <xdr:twoCellAnchor>
    <xdr:from>
      <xdr:col>4</xdr:col>
      <xdr:colOff>241300</xdr:colOff>
      <xdr:row>62</xdr:row>
      <xdr:rowOff>193675</xdr:rowOff>
    </xdr:from>
    <xdr:to>
      <xdr:col>6</xdr:col>
      <xdr:colOff>406400</xdr:colOff>
      <xdr:row>66</xdr:row>
      <xdr:rowOff>155575</xdr:rowOff>
    </xdr:to>
    <xdr:sp macro="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9398B692-B944-E710-D972-F88C49FF0C13}"/>
            </a:ext>
          </a:extLst>
        </xdr:cNvPr>
        <xdr:cNvSpPr/>
      </xdr:nvSpPr>
      <xdr:spPr>
        <a:xfrm>
          <a:off x="6223000" y="12776200"/>
          <a:ext cx="1841500" cy="762000"/>
        </a:xfrm>
        <a:prstGeom prst="roundRect">
          <a:avLst/>
        </a:prstGeom>
        <a:solidFill>
          <a:srgbClr val="EEF2F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0">
              <a:solidFill>
                <a:srgbClr val="1B3A5C"/>
              </a:solidFill>
            </a:rPr>
            <a:t>2229
Km parcourus</a:t>
          </a:r>
        </a:p>
      </xdr:txBody>
    </xdr:sp>
    <xdr:clientData/>
  </xdr:twoCellAnchor>
  <xdr:twoCellAnchor>
    <xdr:from>
      <xdr:col>6</xdr:col>
      <xdr:colOff>558800</xdr:colOff>
      <xdr:row>62</xdr:row>
      <xdr:rowOff>193675</xdr:rowOff>
    </xdr:from>
    <xdr:to>
      <xdr:col>8</xdr:col>
      <xdr:colOff>723900</xdr:colOff>
      <xdr:row>66</xdr:row>
      <xdr:rowOff>155575</xdr:rowOff>
    </xdr:to>
    <xdr:sp macro="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51698EED-F020-36C1-4C4D-04162F573CFD}"/>
            </a:ext>
          </a:extLst>
        </xdr:cNvPr>
        <xdr:cNvSpPr/>
      </xdr:nvSpPr>
      <xdr:spPr>
        <a:xfrm>
          <a:off x="8216900" y="12776200"/>
          <a:ext cx="1841500" cy="762000"/>
        </a:xfrm>
        <a:prstGeom prst="roundRect">
          <a:avLst/>
        </a:prstGeom>
        <a:solidFill>
          <a:srgbClr val="EEF2F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0">
              <a:solidFill>
                <a:srgbClr val="1B3A5C"/>
              </a:solidFill>
            </a:rPr>
            <a:t>E.Leclerc - Beuvry
Station preferee</a:t>
          </a:r>
        </a:p>
      </xdr:txBody>
    </xdr:sp>
    <xdr:clientData/>
  </xdr:twoCellAnchor>
  <xdr:twoCellAnchor>
    <xdr:from>
      <xdr:col>2</xdr:col>
      <xdr:colOff>82550</xdr:colOff>
      <xdr:row>0</xdr:row>
      <xdr:rowOff>101600</xdr:rowOff>
    </xdr:from>
    <xdr:to>
      <xdr:col>4</xdr:col>
      <xdr:colOff>622300</xdr:colOff>
      <xdr:row>1</xdr:row>
      <xdr:rowOff>50800</xdr:rowOff>
    </xdr:to>
    <xdr:sp macro="CreerGraphiquesWeb" textlink="">
      <xdr:nvSpPr>
        <xdr:cNvPr id="17" name="btnRecreerGraph">
          <a:extLst>
            <a:ext uri="{FF2B5EF4-FFF2-40B4-BE49-F238E27FC236}">
              <a16:creationId xmlns:a16="http://schemas.microsoft.com/office/drawing/2014/main" id="{EFBBA7DA-FF66-A4EE-B035-DC43BACDC819}"/>
            </a:ext>
          </a:extLst>
        </xdr:cNvPr>
        <xdr:cNvSpPr/>
      </xdr:nvSpPr>
      <xdr:spPr>
        <a:xfrm>
          <a:off x="4064000" y="101600"/>
          <a:ext cx="2540000" cy="330200"/>
        </a:xfrm>
        <a:prstGeom prst="roundRect">
          <a:avLst/>
        </a:prstGeom>
        <a:solidFill>
          <a:srgbClr val="3345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1">
              <a:solidFill>
                <a:srgbClr val="FFFFFF"/>
              </a:solidFill>
            </a:rPr>
            <a:t>Recreer les graphiques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21" unboundColumnsRight="1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20" name="Photo ticket" tableColumnId="18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Q12" tableType="queryTable" totalsRowShown="0" headerRowDxfId="49" dataDxfId="48">
  <autoFilter ref="A1:Q12" xr:uid="{74CBBEF5-DAC6-4FFF-B9BF-F912C02B05A8}"/>
  <sortState xmlns:xlrd2="http://schemas.microsoft.com/office/spreadsheetml/2017/richdata2" ref="A2:Q12">
    <sortCondition ref="B1:B12"/>
  </sortState>
  <tableColumns count="17">
    <tableColumn id="1" xr3:uid="{D1245828-BB9F-457F-9D89-03E146E97A20}" uniqueName="1" name="Horodatage" queryTableFieldId="1" dataDxfId="6"/>
    <tableColumn id="2" xr3:uid="{6AFDA1AD-8B7E-4056-B820-4B105507BC22}" uniqueName="2" name="Date" queryTableFieldId="2" dataDxfId="4"/>
    <tableColumn id="3" xr3:uid="{0E3159AD-DEC3-4CB0-8263-673EE4364DE4}" uniqueName="3" name="Type" queryTableFieldId="3" dataDxfId="5"/>
    <tableColumn id="4" xr3:uid="{9CA1100B-4402-4A99-881C-A70EA8E0EBA0}" uniqueName="4" name="Km" queryTableFieldId="4" dataDxfId="47"/>
    <tableColumn id="5" xr3:uid="{3DC79D37-A57D-45A6-B68B-28F91AE90D1B}" uniqueName="5" name="Litres" queryTableFieldId="5" dataDxfId="46"/>
    <tableColumn id="6" xr3:uid="{E20F9B47-933F-4695-AC5B-7BFCB43AA70B}" uniqueName="6" name="PrixL" queryTableFieldId="6" dataDxfId="45"/>
    <tableColumn id="8" xr3:uid="{1810D7F1-75C0-4692-B633-9344880F4391}" uniqueName="8" name="Station essence" queryTableFieldId="8" dataDxfId="44"/>
    <tableColumn id="9" xr3:uid="{B958E2B1-5DEB-4CEF-B30E-3537BD55A8E8}" uniqueName="9" name="Vehicule" queryTableFieldId="9" dataDxfId="43"/>
    <tableColumn id="10" xr3:uid="{7955E5A1-C834-43AD-B7C1-739EA1C9FB0B}" uniqueName="10" name="E85 station" queryTableFieldId="10" dataDxfId="42"/>
    <tableColumn id="11" xr3:uid="{168A26EB-A626-4924-B067-7D0EE30B248F}" uniqueName="11" name="SP98 station" queryTableFieldId="11" dataDxfId="41"/>
    <tableColumn id="12" xr3:uid="{18AADF40-972E-454B-9FD3-FD2D10CCF4B9}" uniqueName="12" name="SP95 station" queryTableFieldId="12" dataDxfId="40"/>
    <tableColumn id="13" xr3:uid="{A1195D38-1809-462B-9D20-AE18F43CBC4B}" uniqueName="13" name="E10 station" queryTableFieldId="13" dataDxfId="39"/>
    <tableColumn id="14" xr3:uid="{9F059A0B-5171-4FB9-8BF4-0CBD57021E52}" uniqueName="14" name="Gazole station" queryTableFieldId="14" dataDxfId="38"/>
    <tableColumn id="15" xr3:uid="{BE30AC6F-80E2-4B6C-B72A-506C9FC60853}" uniqueName="15" name="GPLc station" queryTableFieldId="15" dataDxfId="37"/>
    <tableColumn id="17" xr3:uid="{0EA69162-CC6C-4F87-9EDF-5B650CD8B3F0}" uniqueName="17" name="sync_id" queryTableFieldId="19" dataDxfId="36"/>
    <tableColumn id="18" xr3:uid="{EAE1A852-D627-49A1-8934-4DE35E1D3155}" uniqueName="18" name="Photo ticket" queryTableFieldId="20" dataDxfId="3"/>
    <tableColumn id="7" xr3:uid="{217649AA-00FB-44C2-B916-78329111BFA4}" uniqueName="7" name="Modifie_local" queryTableFieldId="18" dataDxfId="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0BDBAD5-1542-447B-83BA-29D687DE42D9}" name="DonneesExternes_1" displayName="DonneesExternes_1" ref="A1:Y12" totalsRowShown="0">
  <autoFilter ref="A1:Y12" xr:uid="{10BDBAD5-1542-447B-83BA-29D687DE42D9}"/>
  <tableColumns count="25">
    <tableColumn id="1" xr3:uid="{2BBF2C43-EF30-49CB-B037-477F16B77E13}" name="Horodatage" dataDxfId="1"/>
    <tableColumn id="2" xr3:uid="{5577FC37-5BC1-4B91-8CC6-6AB305090EC2}" name="Date" dataDxfId="0"/>
    <tableColumn id="3" xr3:uid="{A3DF62F5-F6A3-404D-BD12-B2FC2077C6D6}" name="Type"/>
    <tableColumn id="4" xr3:uid="{1E3F0BD5-6BD6-46EA-93A4-17C4C5080EB7}" name="Km compteur"/>
    <tableColumn id="5" xr3:uid="{3CE54683-2C0F-4AC7-AB8E-49DD5A5B9296}" name="Nb. Litres"/>
    <tableColumn id="6" xr3:uid="{B09828F1-BCBD-4FFF-8312-5B20900750A6}" name="Prix €/L"/>
    <tableColumn id="7" xr3:uid="{28993FB4-D8D6-4337-A33B-FC68998E7BF8}" name="Station essence"/>
    <tableColumn id="8" xr3:uid="{97A3A426-C3FD-4760-AC68-07E9882603C7}" name="Véhicule"/>
    <tableColumn id="9" xr3:uid="{3B66698E-55AA-4AA6-BEB3-B2DB8A6830A3}" name="E85 station (€/L)"/>
    <tableColumn id="10" xr3:uid="{5DC7C8DF-6F83-4D0B-B1BE-EE7612D37F47}" name="SP98 station (€/L)"/>
    <tableColumn id="11" xr3:uid="{20E8371D-93AE-4C83-B09C-F1D5A37A9392}" name="SP95 station (€/L)"/>
    <tableColumn id="12" xr3:uid="{0BB7C6FA-1D72-4B16-BF7F-33CCFD0B6CB8}" name="E10 station (€/L)"/>
    <tableColumn id="13" xr3:uid="{1B0D7610-88AB-4B9A-923E-43795D81F0AA}" name="Gazole station (€/L)"/>
    <tableColumn id="14" xr3:uid="{33ED8B97-296E-4E19-953E-66A723D028D9}" name="GPLc station (€/L)"/>
    <tableColumn id="15" xr3:uid="{F6CA54DB-7230-450D-85DC-9DFE4AE5EE8F}" name="sync_id"/>
    <tableColumn id="16" xr3:uid="{1582CA40-7B6F-43C2-A20C-00CC9EBC9506}" name="Photo ticket"/>
    <tableColumn id="17" xr3:uid="{40DDF65D-3BEA-4C22-B335-AF2AA88AA085}" name="Colonne1"/>
    <tableColumn id="18" xr3:uid="{3B41DB2D-996B-4F44-851B-335D6EE50A6E}" name="Colonne2"/>
    <tableColumn id="19" xr3:uid="{9EAB6506-BE10-40A5-9E75-B38D7B542C6F}" name="Colonne3"/>
    <tableColumn id="20" xr3:uid="{0C870807-7ED2-419B-B8DF-3E29FDB211A9}" name="Colonne4"/>
    <tableColumn id="21" xr3:uid="{7BD3908E-D360-43F1-B36B-A0B6D752831C}" name="Colonne5"/>
    <tableColumn id="22" xr3:uid="{27EAC2AD-7E5E-4894-9FDF-0C5C98CC91CA}" name="Colonne6"/>
    <tableColumn id="23" xr3:uid="{AFA9071D-1D20-4CB8-AD28-485511E0FD07}" name="Colonne7"/>
    <tableColumn id="24" xr3:uid="{8931EDA6-AF22-4859-B03D-E45A63BA3570}" name="Colonne8"/>
    <tableColumn id="25" xr3:uid="{A2011B69-9658-4B64-B4FA-E692D1896FA4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6" totalsRowShown="0" headerRowDxfId="32" dataDxfId="30" headerRowBorderDxfId="31" tableBorderDxfId="29" totalsRowBorderDxfId="28">
  <autoFilter ref="A15:O26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7">
      <calculatedColumnFormula>IF(B16="","",A15+1)</calculatedColumnFormula>
    </tableColumn>
    <tableColumn id="2" xr3:uid="{D9E9EBFF-BC9D-4E59-9822-91D7DEC1E7CE}" name="Date" dataDxfId="26">
      <calculatedColumnFormula>IFERROR(INDEX(GS_Pleins[Date],ROW()-15),"")</calculatedColumnFormula>
    </tableColumn>
    <tableColumn id="11" xr3:uid="{A77486BA-32D8-4661-BA23-1144AE2FD0EC}" name="Type" dataDxfId="25">
      <calculatedColumnFormula array="1">IFERROR(INDEX(GS_Pleins[Type],ROW()-ROW(Tableau2[#Headers])),"")</calculatedColumnFormula>
    </tableColumn>
    <tableColumn id="3" xr3:uid="{6C87F133-7224-4AAB-ACB2-666E8B7315B5}" name="Km compteur" dataDxfId="24">
      <calculatedColumnFormula>IFERROR(INDEX(GS_Pleins[Km],ROW()-15),"")</calculatedColumnFormula>
    </tableColumn>
    <tableColumn id="15" xr3:uid="{E9E70181-907F-4D1A-BD9D-156B992A2880}" name="Nb. km" dataDxfId="23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2">
      <calculatedColumnFormula>IFERROR(INDEX(GS_Pleins[Litres],ROW()-15),"")</calculatedColumnFormula>
    </tableColumn>
    <tableColumn id="5" xr3:uid="{A61BA34E-E60B-4F70-A1D9-62090C37C449}" name="Prix €/L" dataDxfId="21">
      <calculatedColumnFormula>IFERROR(INDEX(GS_Pleins[PrixL],ROW()-15),"")</calculatedColumnFormula>
    </tableColumn>
    <tableColumn id="13" xr3:uid="{C796B9E8-7AC6-4345-B44F-194876D2515D}" name="Coût c€/km" dataDxfId="20">
      <calculatedColumnFormula>IF(OR(D16="",D15="",I16="",ISTEXT(D15)),"",F16/(D16-D15)*100)</calculatedColumnFormula>
    </tableColumn>
    <tableColumn id="6" xr3:uid="{7A10B093-08A0-4955-A678-47B342940366}" name="Coût Plein (€)" dataDxfId="19">
      <calculatedColumnFormula>IF(F16="","",F16*G16)</calculatedColumnFormula>
    </tableColumn>
    <tableColumn id="7" xr3:uid="{0D4F331E-E5DE-4D78-8EE4-6B964BF0DB88}" name="Conso. (L/100km)" dataDxfId="18">
      <calculatedColumnFormula>IF(OR(D16="",D15="",F16="",ISTEXT(D15)),"",F16/(D16-D15)*100)</calculatedColumnFormula>
    </tableColumn>
    <tableColumn id="8" xr3:uid="{8C4BCB7E-42BC-494E-A304-19A9848326C2}" name="Prix S98 jour (€/L)" dataDxfId="17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6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5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4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3">
      <calculatedColumnFormula array="1">IFERROR(INDEX(GS_Pleins[Station essence],ROW()-15),"")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2" dataDxfId="11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4" totalsRowShown="0" headerRowDxfId="9" dataDxfId="8">
  <autoFilter ref="D2:D34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50">
    <sortCondition ref="D2:D50"/>
  </sortState>
  <tableColumns count="1">
    <tableColumn id="1" xr3:uid="{15E89797-5AED-42ED-A3B9-120C7515903D}" name="Station essence utilisée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36" t="s">
        <v>347</v>
      </c>
      <c r="B1" s="137"/>
    </row>
    <row r="2" spans="1:2" x14ac:dyDescent="0.25">
      <c r="A2" s="138" t="s">
        <v>348</v>
      </c>
      <c r="B2" s="137"/>
    </row>
    <row r="3" spans="1:2" ht="3.75" customHeight="1" x14ac:dyDescent="0.25"/>
    <row r="4" spans="1:2" ht="26.1" customHeight="1" x14ac:dyDescent="0.25">
      <c r="A4" s="96" t="s">
        <v>349</v>
      </c>
      <c r="B4" s="96" t="s">
        <v>350</v>
      </c>
    </row>
    <row r="5" spans="1:2" ht="26.1" customHeight="1" x14ac:dyDescent="0.3">
      <c r="A5" s="97" t="s">
        <v>351</v>
      </c>
      <c r="B5" s="98">
        <f>IFERROR(SUM(GS_Pleins[Litres])/(MAX(GS_Pleins[Km])-MIN(GS_Pleins[Km]))*100,0)</f>
        <v>6.7528039479587258</v>
      </c>
    </row>
    <row r="6" spans="1:2" ht="26.1" customHeight="1" x14ac:dyDescent="0.3">
      <c r="A6" s="100" t="s">
        <v>352</v>
      </c>
      <c r="B6" s="101">
        <f>IFERROR(SUMPRODUCT(GS_Pleins[Litres],GS_Pleins[PrixL])/(MAX(GS_Pleins[Km])-MIN(GS_Pleins[Km])),0)</f>
        <v>7.4760829968595774E-2</v>
      </c>
    </row>
    <row r="7" spans="1:2" ht="26.1" customHeight="1" x14ac:dyDescent="0.3">
      <c r="A7" s="100" t="s">
        <v>353</v>
      </c>
      <c r="B7" s="102">
        <f ca="1">SUMPRODUCT((YEAR(GS_Pleins[Date])=YEAR(TODAY()))*GS_Pleins[Litres]*GS_Pleins[PrixL])</f>
        <v>166.64188999999999</v>
      </c>
    </row>
    <row r="8" spans="1:2" ht="26.1" customHeight="1" x14ac:dyDescent="0.3">
      <c r="A8" s="100" t="s">
        <v>354</v>
      </c>
      <c r="B8" s="103">
        <f ca="1">SUMPRODUCT((YEAR(GS_Pleins[Date])=YEAR(TODAY()))*1)</f>
        <v>11</v>
      </c>
    </row>
    <row r="9" spans="1:2" ht="26.1" customHeight="1" x14ac:dyDescent="0.3">
      <c r="A9" s="100" t="s">
        <v>355</v>
      </c>
      <c r="B9" s="104">
        <f>IFERROR(COUNTIF(GS_Pleins[Type],"*E85*")/COUNTA(GS_Pleins[Type]),0)</f>
        <v>0.72727272727272729</v>
      </c>
    </row>
    <row r="10" spans="1:2" ht="26.1" customHeight="1" x14ac:dyDescent="0.3">
      <c r="A10" s="100" t="s">
        <v>356</v>
      </c>
      <c r="B10" s="105">
        <f>IFERROR(SUMIF(GS_Pleins[Type],"*E85*",GS_Pleins[Litres])*(AVERAGEIFS(GS_Pleins[SP98 station],GS_Pleins[SP98 station],"&gt;0")-AVERAGEIF(GS_Pleins[Type],"*E85*",GS_Pleins[PrixL])),0)</f>
        <v>140.74416249999999</v>
      </c>
    </row>
    <row r="11" spans="1:2" ht="26.1" customHeight="1" x14ac:dyDescent="0.3">
      <c r="A11" s="100" t="s">
        <v>357</v>
      </c>
      <c r="B11" s="106">
        <f ca="1">IFERROR(AVERAGEIFS(GS_Pleins[PrixL],GS_Pleins[Type],"*E85*",GS_Pleins[Date],"&gt;="&amp;TODAY()-30),0)</f>
        <v>0.78875000000000006</v>
      </c>
    </row>
    <row r="12" spans="1:2" ht="26.1" customHeight="1" x14ac:dyDescent="0.3">
      <c r="A12" s="100" t="s">
        <v>358</v>
      </c>
      <c r="B12" s="107">
        <f>IFERROR(MAX(GS_Pleins[Horodatage]),"")</f>
        <v>0</v>
      </c>
    </row>
    <row r="13" spans="1:2" ht="26.1" customHeight="1" x14ac:dyDescent="0.3">
      <c r="A13" s="100" t="s">
        <v>359</v>
      </c>
      <c r="B13" s="108">
        <f>SUM(GS_Pleins[Litres])</f>
        <v>150.52000000000001</v>
      </c>
    </row>
    <row r="14" spans="1:2" ht="26.1" customHeight="1" x14ac:dyDescent="0.3">
      <c r="A14" s="99" t="s">
        <v>360</v>
      </c>
      <c r="B14" s="109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12"/>
  <sheetViews>
    <sheetView zoomScale="70" zoomScaleNormal="70" workbookViewId="0">
      <selection sqref="A1:Q12"/>
    </sheetView>
  </sheetViews>
  <sheetFormatPr baseColWidth="10" defaultRowHeight="15.75" x14ac:dyDescent="0.25"/>
  <cols>
    <col min="1" max="1" width="18.125" style="92" bestFit="1" customWidth="1"/>
    <col min="2" max="2" width="11.25" style="92" bestFit="1" customWidth="1"/>
    <col min="3" max="3" width="15.875" style="92" bestFit="1" customWidth="1"/>
    <col min="4" max="4" width="9.625" style="92" customWidth="1"/>
    <col min="5" max="5" width="11.5" style="92" bestFit="1" customWidth="1"/>
    <col min="6" max="6" width="11" style="92" bestFit="1" customWidth="1"/>
    <col min="7" max="7" width="19.75" style="92" bestFit="1" customWidth="1"/>
    <col min="8" max="8" width="14.375" style="92" bestFit="1" customWidth="1"/>
    <col min="9" max="9" width="16" style="92" bestFit="1" customWidth="1"/>
    <col min="10" max="11" width="17.125" style="92" bestFit="1" customWidth="1"/>
    <col min="12" max="12" width="16" style="92" bestFit="1" customWidth="1"/>
    <col min="13" max="13" width="18.5" style="92" bestFit="1" customWidth="1"/>
    <col min="14" max="14" width="17.125" style="92" bestFit="1" customWidth="1"/>
    <col min="15" max="15" width="36.25" style="123" bestFit="1" customWidth="1"/>
    <col min="16" max="16" width="14.25" style="133" bestFit="1" customWidth="1"/>
    <col min="17" max="17" width="19.25" style="117" bestFit="1" customWidth="1"/>
    <col min="18" max="16384" width="11" style="92"/>
  </cols>
  <sheetData>
    <row r="1" spans="1:17" x14ac:dyDescent="0.25">
      <c r="A1" s="75" t="s">
        <v>294</v>
      </c>
      <c r="B1" s="75" t="s">
        <v>1</v>
      </c>
      <c r="C1" s="75" t="s">
        <v>55</v>
      </c>
      <c r="D1" s="75" t="s">
        <v>305</v>
      </c>
      <c r="E1" s="75" t="s">
        <v>306</v>
      </c>
      <c r="F1" s="75" t="s">
        <v>307</v>
      </c>
      <c r="G1" s="75" t="s">
        <v>271</v>
      </c>
      <c r="H1" s="75" t="s">
        <v>308</v>
      </c>
      <c r="I1" s="75" t="s">
        <v>309</v>
      </c>
      <c r="J1" s="75" t="s">
        <v>310</v>
      </c>
      <c r="K1" s="75" t="s">
        <v>311</v>
      </c>
      <c r="L1" s="75" t="s">
        <v>312</v>
      </c>
      <c r="M1" s="75" t="s">
        <v>313</v>
      </c>
      <c r="N1" s="75" t="s">
        <v>314</v>
      </c>
      <c r="O1" t="s">
        <v>333</v>
      </c>
      <c r="P1" t="s">
        <v>366</v>
      </c>
      <c r="Q1" s="135" t="s">
        <v>364</v>
      </c>
    </row>
    <row r="2" spans="1:17" x14ac:dyDescent="0.25">
      <c r="A2" s="95" t="s">
        <v>373</v>
      </c>
      <c r="B2" s="148">
        <v>46131</v>
      </c>
      <c r="C2" s="93" t="s">
        <v>81</v>
      </c>
      <c r="D2" s="93">
        <v>9812</v>
      </c>
      <c r="E2" s="93">
        <v>11.4</v>
      </c>
      <c r="F2" s="93">
        <v>1.9730000000000001</v>
      </c>
      <c r="G2" s="93" t="s">
        <v>345</v>
      </c>
      <c r="H2" s="93" t="s">
        <v>315</v>
      </c>
      <c r="I2" s="93"/>
      <c r="J2" s="93">
        <v>1.9730000000000001</v>
      </c>
      <c r="K2" s="93"/>
      <c r="L2" s="93"/>
      <c r="M2" s="93"/>
      <c r="N2" s="93"/>
      <c r="O2" s="134" t="s">
        <v>336</v>
      </c>
      <c r="P2" s="134" t="s">
        <v>383</v>
      </c>
      <c r="Q2" s="95"/>
    </row>
    <row r="3" spans="1:17" x14ac:dyDescent="0.25">
      <c r="A3" s="95" t="s">
        <v>374</v>
      </c>
      <c r="B3" s="148">
        <v>46135</v>
      </c>
      <c r="C3" s="93" t="s">
        <v>81</v>
      </c>
      <c r="D3" s="93">
        <v>10094</v>
      </c>
      <c r="E3" s="93">
        <v>15.22</v>
      </c>
      <c r="F3" s="93">
        <v>1.9259999999999999</v>
      </c>
      <c r="G3" s="93" t="s">
        <v>345</v>
      </c>
      <c r="H3" s="93" t="s">
        <v>315</v>
      </c>
      <c r="I3" s="93"/>
      <c r="J3" s="93">
        <v>1.9259999999999999</v>
      </c>
      <c r="K3" s="93"/>
      <c r="L3" s="93"/>
      <c r="M3" s="93"/>
      <c r="N3" s="93"/>
      <c r="O3" s="134" t="s">
        <v>337</v>
      </c>
      <c r="P3" s="134" t="s">
        <v>383</v>
      </c>
      <c r="Q3" s="95"/>
    </row>
    <row r="4" spans="1:17" x14ac:dyDescent="0.25">
      <c r="A4" s="95" t="s">
        <v>375</v>
      </c>
      <c r="B4" s="148">
        <v>46140</v>
      </c>
      <c r="C4" s="93" t="s">
        <v>81</v>
      </c>
      <c r="D4" s="93">
        <v>10349</v>
      </c>
      <c r="E4" s="93">
        <v>13.75</v>
      </c>
      <c r="F4" s="93">
        <v>2.0310000000000001</v>
      </c>
      <c r="G4" s="93" t="s">
        <v>346</v>
      </c>
      <c r="H4" s="93" t="s">
        <v>315</v>
      </c>
      <c r="I4" s="93"/>
      <c r="J4" s="93">
        <v>2.0310000000000001</v>
      </c>
      <c r="K4" s="93"/>
      <c r="L4" s="93"/>
      <c r="M4" s="93"/>
      <c r="N4" s="93"/>
      <c r="O4" s="134" t="s">
        <v>338</v>
      </c>
      <c r="P4" s="134" t="s">
        <v>383</v>
      </c>
      <c r="Q4" s="95"/>
    </row>
    <row r="5" spans="1:17" x14ac:dyDescent="0.25">
      <c r="A5" s="95" t="s">
        <v>376</v>
      </c>
      <c r="B5" s="148">
        <v>46146</v>
      </c>
      <c r="C5" s="93" t="s">
        <v>100</v>
      </c>
      <c r="D5" s="93">
        <v>10553</v>
      </c>
      <c r="E5" s="93">
        <v>11.47</v>
      </c>
      <c r="F5" s="93">
        <v>0.80900000000000005</v>
      </c>
      <c r="G5" s="93" t="s">
        <v>335</v>
      </c>
      <c r="H5" s="93" t="s">
        <v>315</v>
      </c>
      <c r="I5" s="93">
        <v>0.80900000000000005</v>
      </c>
      <c r="J5" s="93">
        <v>2.0790000000000002</v>
      </c>
      <c r="K5" s="93"/>
      <c r="L5" s="93"/>
      <c r="M5" s="93"/>
      <c r="N5" s="93"/>
      <c r="O5" s="134" t="s">
        <v>339</v>
      </c>
      <c r="P5" s="134" t="s">
        <v>383</v>
      </c>
      <c r="Q5" s="95"/>
    </row>
    <row r="6" spans="1:17" x14ac:dyDescent="0.25">
      <c r="A6" s="95" t="s">
        <v>377</v>
      </c>
      <c r="B6" s="148">
        <v>46148</v>
      </c>
      <c r="C6" s="93" t="s">
        <v>100</v>
      </c>
      <c r="D6" s="93">
        <v>10749</v>
      </c>
      <c r="E6" s="93">
        <v>11.71</v>
      </c>
      <c r="F6" s="93">
        <v>0.747</v>
      </c>
      <c r="G6" s="93" t="s">
        <v>335</v>
      </c>
      <c r="H6" s="93" t="s">
        <v>315</v>
      </c>
      <c r="I6" s="93">
        <v>0.747</v>
      </c>
      <c r="J6" s="93">
        <v>2.0979999999999999</v>
      </c>
      <c r="K6" s="93"/>
      <c r="L6" s="93"/>
      <c r="M6" s="93"/>
      <c r="N6" s="93"/>
      <c r="O6" s="134" t="s">
        <v>340</v>
      </c>
      <c r="P6" s="134" t="s">
        <v>383</v>
      </c>
      <c r="Q6" s="95"/>
    </row>
    <row r="7" spans="1:17" x14ac:dyDescent="0.25">
      <c r="A7" s="95" t="s">
        <v>378</v>
      </c>
      <c r="B7" s="148">
        <v>46151</v>
      </c>
      <c r="C7" s="93" t="s">
        <v>100</v>
      </c>
      <c r="D7" s="93">
        <v>10975</v>
      </c>
      <c r="E7" s="93">
        <v>15.28</v>
      </c>
      <c r="F7" s="93">
        <v>0.75700000000000001</v>
      </c>
      <c r="G7" s="93" t="s">
        <v>335</v>
      </c>
      <c r="H7" s="93" t="s">
        <v>315</v>
      </c>
      <c r="I7" s="93">
        <v>0.75700000000000001</v>
      </c>
      <c r="J7" s="93">
        <v>2.0979999999999999</v>
      </c>
      <c r="K7" s="93"/>
      <c r="L7" s="93"/>
      <c r="M7" s="93"/>
      <c r="N7" s="93"/>
      <c r="O7" s="134" t="s">
        <v>341</v>
      </c>
      <c r="P7" s="134" t="s">
        <v>383</v>
      </c>
      <c r="Q7" s="95"/>
    </row>
    <row r="8" spans="1:17" x14ac:dyDescent="0.25">
      <c r="A8" s="95" t="s">
        <v>379</v>
      </c>
      <c r="B8" s="148">
        <v>46154</v>
      </c>
      <c r="C8" s="93" t="s">
        <v>100</v>
      </c>
      <c r="D8" s="93">
        <v>11173</v>
      </c>
      <c r="E8" s="93">
        <v>13.94</v>
      </c>
      <c r="F8" s="93">
        <v>0.83499999999999996</v>
      </c>
      <c r="G8" s="93" t="s">
        <v>335</v>
      </c>
      <c r="H8" s="93" t="s">
        <v>315</v>
      </c>
      <c r="I8" s="93">
        <v>0.83499999999999996</v>
      </c>
      <c r="J8" s="93">
        <v>2.0950000000000002</v>
      </c>
      <c r="K8" s="93"/>
      <c r="L8" s="93"/>
      <c r="M8" s="93"/>
      <c r="N8" s="93"/>
      <c r="O8" s="134" t="s">
        <v>342</v>
      </c>
      <c r="P8" s="134" t="s">
        <v>383</v>
      </c>
      <c r="Q8" s="95"/>
    </row>
    <row r="9" spans="1:17" x14ac:dyDescent="0.25">
      <c r="A9" s="95" t="s">
        <v>380</v>
      </c>
      <c r="B9" s="148">
        <v>46157</v>
      </c>
      <c r="C9" s="93" t="s">
        <v>100</v>
      </c>
      <c r="D9" s="93">
        <v>11376</v>
      </c>
      <c r="E9" s="93">
        <v>13.37</v>
      </c>
      <c r="F9" s="93">
        <v>0.71699999999999997</v>
      </c>
      <c r="G9" s="93" t="s">
        <v>335</v>
      </c>
      <c r="H9" s="93" t="s">
        <v>315</v>
      </c>
      <c r="I9" s="93">
        <v>0.71699999999999997</v>
      </c>
      <c r="J9" s="93">
        <v>2.0950000000000002</v>
      </c>
      <c r="K9" s="93"/>
      <c r="L9" s="93"/>
      <c r="M9" s="93"/>
      <c r="N9" s="93"/>
      <c r="O9" s="134" t="s">
        <v>343</v>
      </c>
      <c r="P9" s="134" t="s">
        <v>383</v>
      </c>
      <c r="Q9" s="95"/>
    </row>
    <row r="10" spans="1:17" x14ac:dyDescent="0.25">
      <c r="A10" s="95" t="s">
        <v>381</v>
      </c>
      <c r="B10" s="148">
        <v>46161</v>
      </c>
      <c r="C10" s="93" t="s">
        <v>100</v>
      </c>
      <c r="D10" s="93">
        <v>11596</v>
      </c>
      <c r="E10" s="93">
        <v>14.9</v>
      </c>
      <c r="F10" s="93">
        <v>0.79800000000000004</v>
      </c>
      <c r="G10" s="93" t="s">
        <v>335</v>
      </c>
      <c r="H10" s="93" t="s">
        <v>315</v>
      </c>
      <c r="I10" s="93">
        <v>0.79800000000000004</v>
      </c>
      <c r="J10" s="93">
        <v>2.0910000000000002</v>
      </c>
      <c r="K10" s="93"/>
      <c r="L10" s="93"/>
      <c r="M10" s="93"/>
      <c r="N10" s="93"/>
      <c r="O10" s="134" t="s">
        <v>344</v>
      </c>
      <c r="P10" s="134" t="s">
        <v>383</v>
      </c>
      <c r="Q10" s="95"/>
    </row>
    <row r="11" spans="1:17" x14ac:dyDescent="0.25">
      <c r="A11" s="95" t="s">
        <v>372</v>
      </c>
      <c r="B11" s="148">
        <v>46164</v>
      </c>
      <c r="C11" s="93" t="s">
        <v>100</v>
      </c>
      <c r="D11" s="93">
        <v>11831</v>
      </c>
      <c r="E11" s="93">
        <v>16.25</v>
      </c>
      <c r="F11" s="93">
        <v>0.79800000000000004</v>
      </c>
      <c r="G11" s="93" t="s">
        <v>335</v>
      </c>
      <c r="H11" s="93" t="s">
        <v>315</v>
      </c>
      <c r="I11" s="93">
        <v>0.79800000000000004</v>
      </c>
      <c r="J11" s="93"/>
      <c r="K11" s="93"/>
      <c r="L11" s="93"/>
      <c r="M11" s="93"/>
      <c r="N11" s="93"/>
      <c r="O11" s="134" t="s">
        <v>334</v>
      </c>
      <c r="P11" s="134" t="s">
        <v>383</v>
      </c>
      <c r="Q11" s="95"/>
    </row>
    <row r="12" spans="1:17" x14ac:dyDescent="0.25">
      <c r="A12" s="95" t="s">
        <v>382</v>
      </c>
      <c r="B12" s="148">
        <v>46170</v>
      </c>
      <c r="C12" s="93" t="s">
        <v>100</v>
      </c>
      <c r="D12" s="93">
        <v>12041</v>
      </c>
      <c r="E12" s="93">
        <v>13.23</v>
      </c>
      <c r="F12" s="93">
        <v>0.84899999999999998</v>
      </c>
      <c r="G12" s="93" t="s">
        <v>345</v>
      </c>
      <c r="H12" s="93" t="s">
        <v>315</v>
      </c>
      <c r="I12" s="93">
        <v>0.84899999999999998</v>
      </c>
      <c r="J12" s="93">
        <v>2.1789999999999998</v>
      </c>
      <c r="K12" s="93">
        <v>2.089</v>
      </c>
      <c r="L12" s="93">
        <v>2.0390000000000001</v>
      </c>
      <c r="M12" s="93">
        <v>2.0990000000000002</v>
      </c>
      <c r="N12" s="93">
        <v>0.96899999999999997</v>
      </c>
      <c r="O12" s="134" t="s">
        <v>365</v>
      </c>
      <c r="P12" s="134" t="s">
        <v>383</v>
      </c>
      <c r="Q12" s="95"/>
    </row>
  </sheetData>
  <conditionalFormatting sqref="F2:F12">
    <cfRule type="expression" dxfId="51" priority="1">
      <formula>AND($F2&lt;&gt;"",ISNUMBER($F2),$F2&lt;AVERAGEIFS(F:F,C:C,$C2,B:B,"&gt;="&amp;$B2-30,B:B," &lt;="&amp;$B2))</formula>
    </cfRule>
    <cfRule type="expression" dxfId="50" priority="2">
      <formula>AND($F2&lt;&gt;"",ISNUMBER($F2),$F2&gt;AVERAGEIFS(F:F,C:C,$C2,B:B,"&gt;="&amp;$B2-30,B:B," &lt;="&amp;$B2))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workbookViewId="0">
      <pane ySplit="4" topLeftCell="A5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39" t="s">
        <v>368</v>
      </c>
      <c r="B1" s="139"/>
      <c r="C1" s="139"/>
      <c r="D1" s="139"/>
      <c r="E1" s="139"/>
      <c r="F1" s="139"/>
      <c r="G1" s="139"/>
      <c r="H1" s="139"/>
      <c r="I1" s="139"/>
      <c r="J1" s="139"/>
    </row>
    <row r="2" spans="1:10" ht="16.5" customHeight="1" x14ac:dyDescent="0.25">
      <c r="A2" s="140" t="s">
        <v>369</v>
      </c>
      <c r="B2" s="140"/>
      <c r="C2" s="140"/>
      <c r="D2" s="140"/>
      <c r="E2" s="140"/>
      <c r="F2" s="140"/>
      <c r="G2" s="140"/>
      <c r="H2" s="140"/>
      <c r="I2" s="140"/>
      <c r="J2" s="140"/>
    </row>
    <row r="3" spans="1:10" ht="6" customHeight="1" x14ac:dyDescent="0.25"/>
    <row r="4" spans="1:10" ht="24" customHeight="1" x14ac:dyDescent="0.25">
      <c r="A4" s="118" t="s">
        <v>1</v>
      </c>
      <c r="B4" s="118" t="s">
        <v>55</v>
      </c>
      <c r="C4" s="118" t="s">
        <v>308</v>
      </c>
      <c r="D4" s="118" t="s">
        <v>12</v>
      </c>
      <c r="E4" s="118" t="s">
        <v>370</v>
      </c>
      <c r="F4" s="118" t="s">
        <v>56</v>
      </c>
      <c r="G4" s="118" t="s">
        <v>57</v>
      </c>
      <c r="H4" s="118" t="s">
        <v>371</v>
      </c>
      <c r="I4" s="118" t="s">
        <v>363</v>
      </c>
      <c r="J4" s="118" t="s">
        <v>271</v>
      </c>
    </row>
    <row r="5" spans="1:10" x14ac:dyDescent="0.25">
      <c r="A5" s="124">
        <f>IFERROR(INDEX(GS_Pleins[Date],1),"")</f>
        <v>46131</v>
      </c>
      <c r="B5" s="119" t="str">
        <f>IFERROR(INDEX(GS_Pleins[Type],1),"")</f>
        <v>Super 98</v>
      </c>
      <c r="C5" s="119" t="str">
        <f>IFERROR(INDEX(GS_Pleins[Vehicule],1),"")</f>
        <v>Z900</v>
      </c>
      <c r="D5" s="120">
        <f>IFERROR(INDEX(GS_Pleins[Km],1),"")</f>
        <v>9812</v>
      </c>
      <c r="E5" s="120"/>
      <c r="F5" s="121">
        <f>IFERROR(INDEX(GS_Pleins[Litres],1),"")</f>
        <v>11.4</v>
      </c>
      <c r="G5" s="122">
        <f>IFERROR(INDEX(GS_Pleins[PrixL],1),"")</f>
        <v>1.9730000000000001</v>
      </c>
      <c r="H5" s="121">
        <f t="shared" ref="H5:H15" si="0">IFERROR($F5*$G5,"")</f>
        <v>22.4922</v>
      </c>
      <c r="I5" s="121" t="str">
        <f t="shared" ref="I5:I15" si="1">IFERROR(IF(AND(ISNUMBER($E5),$E5&gt;0),$F5/$E5*100,""),"")</f>
        <v/>
      </c>
      <c r="J5" s="119" t="str">
        <f>IFERROR(INDEX(GS_Pleins[Station essence],1),"")</f>
        <v>Carrefour - Flers</v>
      </c>
    </row>
    <row r="6" spans="1:10" x14ac:dyDescent="0.25">
      <c r="A6" s="124">
        <f>IFERROR(INDEX(GS_Pleins[Date],2),"")</f>
        <v>46135</v>
      </c>
      <c r="B6" s="119" t="str">
        <f>IFERROR(INDEX(GS_Pleins[Type],2),"")</f>
        <v>Super 98</v>
      </c>
      <c r="C6" s="119" t="str">
        <f>IFERROR(INDEX(GS_Pleins[Vehicule],2),"")</f>
        <v>Z900</v>
      </c>
      <c r="D6" s="120">
        <f>IFERROR(INDEX(GS_Pleins[Km],2),"")</f>
        <v>10094</v>
      </c>
      <c r="E6" s="120">
        <f t="shared" ref="E6:E15" si="2">IFERROR(IF($C6=$C5,$D6-$D5,""),"")</f>
        <v>282</v>
      </c>
      <c r="F6" s="121">
        <f>IFERROR(INDEX(GS_Pleins[Litres],2),"")</f>
        <v>15.22</v>
      </c>
      <c r="G6" s="122">
        <f>IFERROR(INDEX(GS_Pleins[PrixL],2),"")</f>
        <v>1.9259999999999999</v>
      </c>
      <c r="H6" s="121">
        <f t="shared" si="0"/>
        <v>29.31372</v>
      </c>
      <c r="I6" s="121">
        <f t="shared" si="1"/>
        <v>5.3971631205673765</v>
      </c>
      <c r="J6" s="119" t="str">
        <f>IFERROR(INDEX(GS_Pleins[Station essence],2),"")</f>
        <v>Carrefour - Flers</v>
      </c>
    </row>
    <row r="7" spans="1:10" x14ac:dyDescent="0.25">
      <c r="A7" s="124">
        <f>IFERROR(INDEX(GS_Pleins[Date],3),"")</f>
        <v>46140</v>
      </c>
      <c r="B7" s="119" t="str">
        <f>IFERROR(INDEX(GS_Pleins[Type],3),"")</f>
        <v>Super 98</v>
      </c>
      <c r="C7" s="119" t="str">
        <f>IFERROR(INDEX(GS_Pleins[Vehicule],3),"")</f>
        <v>Z900</v>
      </c>
      <c r="D7" s="120">
        <f>IFERROR(INDEX(GS_Pleins[Km],3),"")</f>
        <v>10349</v>
      </c>
      <c r="E7" s="120">
        <f t="shared" si="2"/>
        <v>255</v>
      </c>
      <c r="F7" s="121">
        <f>IFERROR(INDEX(GS_Pleins[Litres],3),"")</f>
        <v>13.75</v>
      </c>
      <c r="G7" s="122">
        <f>IFERROR(INDEX(GS_Pleins[PrixL],3),"")</f>
        <v>2.0310000000000001</v>
      </c>
      <c r="H7" s="121">
        <f t="shared" si="0"/>
        <v>27.926250000000003</v>
      </c>
      <c r="I7" s="121">
        <f t="shared" si="1"/>
        <v>5.3921568627450984</v>
      </c>
      <c r="J7" s="119" t="str">
        <f>IFERROR(INDEX(GS_Pleins[Station essence],3),"")</f>
        <v>Leclerc - Douai</v>
      </c>
    </row>
    <row r="8" spans="1:10" x14ac:dyDescent="0.25">
      <c r="A8" s="124">
        <f>IFERROR(INDEX(GS_Pleins[Date],4),"")</f>
        <v>46146</v>
      </c>
      <c r="B8" s="119" t="str">
        <f>IFERROR(INDEX(GS_Pleins[Type],4),"")</f>
        <v>SuperEthanol E85</v>
      </c>
      <c r="C8" s="119" t="str">
        <f>IFERROR(INDEX(GS_Pleins[Vehicule],4),"")</f>
        <v>Z900</v>
      </c>
      <c r="D8" s="120">
        <f>IFERROR(INDEX(GS_Pleins[Km],4),"")</f>
        <v>10553</v>
      </c>
      <c r="E8" s="120">
        <f t="shared" si="2"/>
        <v>204</v>
      </c>
      <c r="F8" s="121">
        <f>IFERROR(INDEX(GS_Pleins[Litres],4),"")</f>
        <v>11.47</v>
      </c>
      <c r="G8" s="122">
        <f>IFERROR(INDEX(GS_Pleins[PrixL],4),"")</f>
        <v>0.80900000000000005</v>
      </c>
      <c r="H8" s="121">
        <f t="shared" si="0"/>
        <v>9.2792300000000019</v>
      </c>
      <c r="I8" s="121">
        <f t="shared" si="1"/>
        <v>5.6225490196078436</v>
      </c>
      <c r="J8" s="119" t="str">
        <f>IFERROR(INDEX(GS_Pleins[Station essence],4),"")</f>
        <v>E.Leclerc - Beuvry</v>
      </c>
    </row>
    <row r="9" spans="1:10" x14ac:dyDescent="0.25">
      <c r="A9" s="124">
        <f>IFERROR(INDEX(GS_Pleins[Date],5),"")</f>
        <v>46148</v>
      </c>
      <c r="B9" s="119" t="str">
        <f>IFERROR(INDEX(GS_Pleins[Type],5),"")</f>
        <v>SuperEthanol E85</v>
      </c>
      <c r="C9" s="119" t="str">
        <f>IFERROR(INDEX(GS_Pleins[Vehicule],5),"")</f>
        <v>Z900</v>
      </c>
      <c r="D9" s="120">
        <f>IFERROR(INDEX(GS_Pleins[Km],5),"")</f>
        <v>10749</v>
      </c>
      <c r="E9" s="120">
        <f t="shared" si="2"/>
        <v>196</v>
      </c>
      <c r="F9" s="121">
        <f>IFERROR(INDEX(GS_Pleins[Litres],5),"")</f>
        <v>11.71</v>
      </c>
      <c r="G9" s="122">
        <f>IFERROR(INDEX(GS_Pleins[PrixL],5),"")</f>
        <v>0.747</v>
      </c>
      <c r="H9" s="121">
        <f t="shared" si="0"/>
        <v>8.7473700000000001</v>
      </c>
      <c r="I9" s="121">
        <f t="shared" si="1"/>
        <v>5.9744897959183678</v>
      </c>
      <c r="J9" s="119" t="str">
        <f>IFERROR(INDEX(GS_Pleins[Station essence],5),"")</f>
        <v>E.Leclerc - Beuvry</v>
      </c>
    </row>
    <row r="10" spans="1:10" x14ac:dyDescent="0.25">
      <c r="A10" s="124">
        <f>IFERROR(INDEX(GS_Pleins[Date],6),"")</f>
        <v>46151</v>
      </c>
      <c r="B10" s="119" t="str">
        <f>IFERROR(INDEX(GS_Pleins[Type],6),"")</f>
        <v>SuperEthanol E85</v>
      </c>
      <c r="C10" s="119" t="str">
        <f>IFERROR(INDEX(GS_Pleins[Vehicule],6),"")</f>
        <v>Z900</v>
      </c>
      <c r="D10" s="120">
        <f>IFERROR(INDEX(GS_Pleins[Km],6),"")</f>
        <v>10975</v>
      </c>
      <c r="E10" s="120">
        <f t="shared" si="2"/>
        <v>226</v>
      </c>
      <c r="F10" s="121">
        <f>IFERROR(INDEX(GS_Pleins[Litres],6),"")</f>
        <v>15.28</v>
      </c>
      <c r="G10" s="122">
        <f>IFERROR(INDEX(GS_Pleins[PrixL],6),"")</f>
        <v>0.75700000000000001</v>
      </c>
      <c r="H10" s="121">
        <f t="shared" si="0"/>
        <v>11.56696</v>
      </c>
      <c r="I10" s="121">
        <f t="shared" si="1"/>
        <v>6.7610619469026547</v>
      </c>
      <c r="J10" s="119" t="str">
        <f>IFERROR(INDEX(GS_Pleins[Station essence],6),"")</f>
        <v>E.Leclerc - Beuvry</v>
      </c>
    </row>
    <row r="11" spans="1:10" x14ac:dyDescent="0.25">
      <c r="A11" s="124">
        <f>IFERROR(INDEX(GS_Pleins[Date],7),"")</f>
        <v>46154</v>
      </c>
      <c r="B11" s="119" t="str">
        <f>IFERROR(INDEX(GS_Pleins[Type],7),"")</f>
        <v>SuperEthanol E85</v>
      </c>
      <c r="C11" s="119" t="str">
        <f>IFERROR(INDEX(GS_Pleins[Vehicule],7),"")</f>
        <v>Z900</v>
      </c>
      <c r="D11" s="120">
        <f>IFERROR(INDEX(GS_Pleins[Km],7),"")</f>
        <v>11173</v>
      </c>
      <c r="E11" s="120">
        <f t="shared" si="2"/>
        <v>198</v>
      </c>
      <c r="F11" s="121">
        <f>IFERROR(INDEX(GS_Pleins[Litres],7),"")</f>
        <v>13.94</v>
      </c>
      <c r="G11" s="122">
        <f>IFERROR(INDEX(GS_Pleins[PrixL],7),"")</f>
        <v>0.83499999999999996</v>
      </c>
      <c r="H11" s="121">
        <f t="shared" si="0"/>
        <v>11.639899999999999</v>
      </c>
      <c r="I11" s="121">
        <f t="shared" si="1"/>
        <v>7.0404040404040398</v>
      </c>
      <c r="J11" s="119" t="str">
        <f>IFERROR(INDEX(GS_Pleins[Station essence],7),"")</f>
        <v>E.Leclerc - Beuvry</v>
      </c>
    </row>
    <row r="12" spans="1:10" x14ac:dyDescent="0.25">
      <c r="A12" s="124">
        <f>IFERROR(INDEX(GS_Pleins[Date],8),"")</f>
        <v>46157</v>
      </c>
      <c r="B12" s="119" t="str">
        <f>IFERROR(INDEX(GS_Pleins[Type],8),"")</f>
        <v>SuperEthanol E85</v>
      </c>
      <c r="C12" s="119" t="str">
        <f>IFERROR(INDEX(GS_Pleins[Vehicule],8),"")</f>
        <v>Z900</v>
      </c>
      <c r="D12" s="120">
        <f>IFERROR(INDEX(GS_Pleins[Km],8),"")</f>
        <v>11376</v>
      </c>
      <c r="E12" s="120">
        <f t="shared" si="2"/>
        <v>203</v>
      </c>
      <c r="F12" s="121">
        <f>IFERROR(INDEX(GS_Pleins[Litres],8),"")</f>
        <v>13.37</v>
      </c>
      <c r="G12" s="122">
        <f>IFERROR(INDEX(GS_Pleins[PrixL],8),"")</f>
        <v>0.71699999999999997</v>
      </c>
      <c r="H12" s="121">
        <f t="shared" si="0"/>
        <v>9.5862899999999982</v>
      </c>
      <c r="I12" s="121">
        <f t="shared" si="1"/>
        <v>6.5862068965517233</v>
      </c>
      <c r="J12" s="119" t="str">
        <f>IFERROR(INDEX(GS_Pleins[Station essence],8),"")</f>
        <v>E.Leclerc - Beuvry</v>
      </c>
    </row>
    <row r="13" spans="1:10" x14ac:dyDescent="0.25">
      <c r="A13" s="124">
        <f>IFERROR(INDEX(GS_Pleins[Date],9),"")</f>
        <v>46161</v>
      </c>
      <c r="B13" s="119" t="str">
        <f>IFERROR(INDEX(GS_Pleins[Type],9),"")</f>
        <v>SuperEthanol E85</v>
      </c>
      <c r="C13" s="119" t="str">
        <f>IFERROR(INDEX(GS_Pleins[Vehicule],9),"")</f>
        <v>Z900</v>
      </c>
      <c r="D13" s="120">
        <f>IFERROR(INDEX(GS_Pleins[Km],9),"")</f>
        <v>11596</v>
      </c>
      <c r="E13" s="120">
        <f t="shared" si="2"/>
        <v>220</v>
      </c>
      <c r="F13" s="121">
        <f>IFERROR(INDEX(GS_Pleins[Litres],9),"")</f>
        <v>14.9</v>
      </c>
      <c r="G13" s="122">
        <f>IFERROR(INDEX(GS_Pleins[PrixL],9),"")</f>
        <v>0.79800000000000004</v>
      </c>
      <c r="H13" s="121">
        <f t="shared" si="0"/>
        <v>11.8902</v>
      </c>
      <c r="I13" s="121">
        <f t="shared" si="1"/>
        <v>6.7727272727272734</v>
      </c>
      <c r="J13" s="119" t="str">
        <f>IFERROR(INDEX(GS_Pleins[Station essence],9),"")</f>
        <v>E.Leclerc - Beuvry</v>
      </c>
    </row>
    <row r="14" spans="1:10" x14ac:dyDescent="0.25">
      <c r="A14" s="124">
        <f>IFERROR(INDEX(GS_Pleins[Date],10),"")</f>
        <v>46164</v>
      </c>
      <c r="B14" s="119" t="str">
        <f>IFERROR(INDEX(GS_Pleins[Type],10),"")</f>
        <v>SuperEthanol E85</v>
      </c>
      <c r="C14" s="119" t="str">
        <f>IFERROR(INDEX(GS_Pleins[Vehicule],10),"")</f>
        <v>Z900</v>
      </c>
      <c r="D14" s="120">
        <f>IFERROR(INDEX(GS_Pleins[Km],10),"")</f>
        <v>11831</v>
      </c>
      <c r="E14" s="120">
        <f t="shared" si="2"/>
        <v>235</v>
      </c>
      <c r="F14" s="121">
        <f>IFERROR(INDEX(GS_Pleins[Litres],10),"")</f>
        <v>16.25</v>
      </c>
      <c r="G14" s="122">
        <f>IFERROR(INDEX(GS_Pleins[PrixL],10),"")</f>
        <v>0.79800000000000004</v>
      </c>
      <c r="H14" s="121">
        <f t="shared" si="0"/>
        <v>12.967500000000001</v>
      </c>
      <c r="I14" s="121">
        <f t="shared" si="1"/>
        <v>6.9148936170212769</v>
      </c>
      <c r="J14" s="119" t="str">
        <f>IFERROR(INDEX(GS_Pleins[Station essence],10),"")</f>
        <v>E.Leclerc - Beuvry</v>
      </c>
    </row>
    <row r="15" spans="1:10" x14ac:dyDescent="0.25">
      <c r="A15" s="124">
        <f>IFERROR(INDEX(GS_Pleins[Date],11),"")</f>
        <v>46170</v>
      </c>
      <c r="B15" s="119" t="str">
        <f>IFERROR(INDEX(GS_Pleins[Type],11),"")</f>
        <v>SuperEthanol E85</v>
      </c>
      <c r="C15" s="119" t="str">
        <f>IFERROR(INDEX(GS_Pleins[Vehicule],11),"")</f>
        <v>Z900</v>
      </c>
      <c r="D15" s="120">
        <f>IFERROR(INDEX(GS_Pleins[Km],11),"")</f>
        <v>12041</v>
      </c>
      <c r="E15" s="120">
        <f t="shared" si="2"/>
        <v>210</v>
      </c>
      <c r="F15" s="121">
        <f>IFERROR(INDEX(GS_Pleins[Litres],11),"")</f>
        <v>13.23</v>
      </c>
      <c r="G15" s="122">
        <f>IFERROR(INDEX(GS_Pleins[PrixL],11),"")</f>
        <v>0.84899999999999998</v>
      </c>
      <c r="H15" s="121">
        <f t="shared" si="0"/>
        <v>11.23227</v>
      </c>
      <c r="I15" s="121">
        <f t="shared" si="1"/>
        <v>6.3</v>
      </c>
      <c r="J15" s="119" t="str">
        <f>IFERROR(INDEX(GS_Pleins[Station essence],11),"")</f>
        <v>Carrefour - Flers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366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94">
        <v>46164.921076388891</v>
      </c>
      <c r="B2" s="94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2">
        <v>46131</v>
      </c>
      <c r="B3" s="94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2">
        <v>46135</v>
      </c>
      <c r="B4" s="94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2">
        <v>46140</v>
      </c>
      <c r="B5" s="94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2">
        <v>46146</v>
      </c>
      <c r="B6" s="94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2">
        <v>46148</v>
      </c>
      <c r="B7" s="94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2">
        <v>46151</v>
      </c>
      <c r="B8" s="94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2">
        <v>46154</v>
      </c>
      <c r="B9" s="94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2">
        <v>46157</v>
      </c>
      <c r="B10" s="94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2">
        <v>46161</v>
      </c>
      <c r="B11" s="94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94">
        <v>46171.162939814814</v>
      </c>
      <c r="B12" s="94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selection activeCell="F19" sqref="F19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32.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42" t="s">
        <v>72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Z1" s="72">
        <v>46361</v>
      </c>
      <c r="AA1" s="72">
        <v>2</v>
      </c>
    </row>
    <row r="2" spans="1:27" ht="3.95" customHeight="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</row>
    <row r="3" spans="1:27" ht="14.25" customHeight="1" x14ac:dyDescent="0.25">
      <c r="A3" s="26"/>
      <c r="B3" s="26"/>
      <c r="C3" s="26"/>
      <c r="D3" s="26"/>
      <c r="E3" s="26"/>
      <c r="F3" s="26"/>
      <c r="G3" s="26"/>
      <c r="H3" s="26"/>
      <c r="I3" s="26"/>
      <c r="J3"/>
      <c r="K3"/>
      <c r="L3"/>
      <c r="M3"/>
    </row>
    <row r="4" spans="1:27" ht="18.75" x14ac:dyDescent="0.25">
      <c r="A4" s="132" t="s">
        <v>6</v>
      </c>
      <c r="B4" s="27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27" x14ac:dyDescent="0.25">
      <c r="A5" s="6" t="s">
        <v>7</v>
      </c>
      <c r="B5" s="38">
        <v>514.54</v>
      </c>
      <c r="C5" s="7" t="s">
        <v>8</v>
      </c>
      <c r="D5" s="4"/>
      <c r="E5" s="4"/>
      <c r="F5" s="4"/>
      <c r="G5" s="6" t="s">
        <v>125</v>
      </c>
      <c r="H5" s="6"/>
      <c r="I5" s="6"/>
      <c r="J5" s="42">
        <f>IFERROR(AVERAGEIFS(Tableau2[Conso. (L/100km)],Tableau2[Type],"SuperEthanol E85"),"")</f>
        <v>6.4965415736416467</v>
      </c>
      <c r="K5" s="24" t="s">
        <v>126</v>
      </c>
      <c r="L5" s="4"/>
      <c r="M5" s="4"/>
    </row>
    <row r="6" spans="1:27" x14ac:dyDescent="0.25">
      <c r="A6" s="6" t="s">
        <v>41</v>
      </c>
      <c r="B6" s="42">
        <f>IFERROR(AVERAGEIFS(Tableau2[Conso. (L/100km)],Tableau2[Type],"Super 98"),"")</f>
        <v>5.394659991656237</v>
      </c>
      <c r="C6" s="24" t="s">
        <v>59</v>
      </c>
      <c r="D6" s="4"/>
      <c r="E6" s="4"/>
      <c r="F6" s="4"/>
      <c r="G6" s="6" t="s">
        <v>191</v>
      </c>
      <c r="H6" s="6"/>
      <c r="I6" s="6"/>
      <c r="J6" s="71" cm="1">
        <f t="array" ref="J6">IFERROR(AVERAGE(IF((Tableau2[Type]="SuperEthanol E85")*(Tableau2[Nb. km]&lt;&gt;"")*(Tableau2[Nb. Litres]&lt;&gt;""),Tableau2[Nb. km]/Tableau2[Nb. Litres])),"")</f>
        <v>15.475070705564583</v>
      </c>
      <c r="K6" s="24" t="s">
        <v>126</v>
      </c>
      <c r="L6" s="4"/>
      <c r="M6" s="4"/>
    </row>
    <row r="7" spans="1:27" x14ac:dyDescent="0.25">
      <c r="A7" s="6" t="s">
        <v>186</v>
      </c>
      <c r="B7" s="71" cm="1">
        <f t="array" ref="B7">IFERROR(AVERAGE(IF((Tableau2[Type]="Super 98")*(Tableau2[Nb. km]&lt;&gt;"")*(Tableau2[Nb. Litres]&lt;&gt;""),Tableau2[Nb. km]/Tableau2[Nb. Litres])),"")</f>
        <v>18.536853422530164</v>
      </c>
      <c r="C7" s="24" t="s">
        <v>59</v>
      </c>
      <c r="D7" s="4"/>
      <c r="E7" s="4"/>
      <c r="F7" s="4"/>
      <c r="G7" s="55" t="s">
        <v>9</v>
      </c>
      <c r="H7" s="55"/>
      <c r="I7" s="55"/>
      <c r="J7" s="39">
        <f>IF(OR(B6="",B6=0,COUNTIF(Tableau2[Type],"SuperEthanol E85")=0),0.2,AVERAGEIFS(Tableau2[Conso. (L/100km)],Tableau2[Type],"SuperEthanol E85")/B6-1)</f>
        <v>0.20425412976715074</v>
      </c>
      <c r="K7" s="7" t="s">
        <v>42</v>
      </c>
      <c r="L7" s="4"/>
      <c r="M7" s="4"/>
    </row>
    <row r="8" spans="1:27" ht="7.5" customHeight="1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</row>
    <row r="9" spans="1:27" ht="18.75" x14ac:dyDescent="0.25">
      <c r="A9" s="131" t="s">
        <v>102</v>
      </c>
      <c r="B9" s="29"/>
      <c r="C9" s="30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27" x14ac:dyDescent="0.25">
      <c r="A10" s="6" t="s">
        <v>103</v>
      </c>
      <c r="B10" s="40">
        <f>IFERROR(LOOKUP(9.99999999999999E+307,Tableau2[Économie cumulée (€)]),0)</f>
        <v>105.7995381736649</v>
      </c>
      <c r="C10" s="7" t="s">
        <v>104</v>
      </c>
      <c r="D10" s="4"/>
      <c r="E10" s="4"/>
      <c r="F10" s="4"/>
      <c r="G10" s="141" t="s">
        <v>107</v>
      </c>
      <c r="H10" s="141"/>
      <c r="I10" s="41"/>
      <c r="J10" s="37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46284.371747443773</v>
      </c>
      <c r="K10" s="34" t="s">
        <v>108</v>
      </c>
      <c r="L10" s="34"/>
      <c r="M10" s="34"/>
      <c r="N10" s="4"/>
    </row>
    <row r="11" spans="1:27" x14ac:dyDescent="0.25">
      <c r="A11" s="6" t="s">
        <v>105</v>
      </c>
      <c r="B11" s="40">
        <f>MAX(0,B5-B10)</f>
        <v>408.74046182633504</v>
      </c>
      <c r="C11" s="7" t="s">
        <v>106</v>
      </c>
      <c r="D11" s="4"/>
      <c r="E11" s="4"/>
      <c r="F11" s="4"/>
      <c r="G11" s="6" t="s">
        <v>114</v>
      </c>
      <c r="H11" s="6"/>
      <c r="I11" s="6"/>
      <c r="J11" s="36">
        <f>IFERROR(IF(B11=0,LOOKUP(9.99999999999999E+307,Tableau2[Km compteur]),IF(OR(B12="-",B12=0),"En attente d'un plein E85",LOOKUP(9.99999999999999E+307,Tableau2[Km compteur])+B11/B12)),"En attente d'un plein E85")</f>
        <v>18577.785257747993</v>
      </c>
      <c r="K11" s="34" t="s">
        <v>196</v>
      </c>
      <c r="L11" s="34"/>
      <c r="M11" s="34"/>
      <c r="N11" s="4"/>
      <c r="O11" s="4"/>
      <c r="P11" s="4"/>
    </row>
    <row r="12" spans="1:27" x14ac:dyDescent="0.25">
      <c r="A12" s="6" t="s">
        <v>109</v>
      </c>
      <c r="B12" s="43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6.2529277880416609E-2</v>
      </c>
      <c r="C12" s="32"/>
      <c r="D12" s="32"/>
      <c r="E12" s="4"/>
      <c r="F12" s="4"/>
      <c r="G12" s="6" t="s">
        <v>119</v>
      </c>
      <c r="H12" s="6"/>
      <c r="I12" s="6"/>
      <c r="J12" s="35">
        <f>IFERROR(MIN(B10/B5,1),0)</f>
        <v>0.20561965672963212</v>
      </c>
      <c r="K12" s="34" t="s">
        <v>120</v>
      </c>
      <c r="L12" s="34"/>
      <c r="M12" s="34"/>
      <c r="N12" s="4"/>
      <c r="O12" s="4"/>
      <c r="P12" s="4"/>
    </row>
    <row r="13" spans="1:27" ht="11.25" customHeight="1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</row>
    <row r="14" spans="1:27" ht="18.75" x14ac:dyDescent="0.25">
      <c r="A14" s="131" t="s">
        <v>10</v>
      </c>
      <c r="B14" s="33"/>
      <c r="C14" s="31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</row>
    <row r="15" spans="1:27" ht="37.5" customHeight="1" x14ac:dyDescent="0.25">
      <c r="A15" s="88" t="s">
        <v>11</v>
      </c>
      <c r="B15" s="89" t="s">
        <v>1</v>
      </c>
      <c r="C15" s="89" t="s">
        <v>55</v>
      </c>
      <c r="D15" s="89" t="s">
        <v>12</v>
      </c>
      <c r="E15" s="89" t="s">
        <v>185</v>
      </c>
      <c r="F15" s="89" t="s">
        <v>56</v>
      </c>
      <c r="G15" s="89" t="s">
        <v>57</v>
      </c>
      <c r="H15" s="89" t="s">
        <v>99</v>
      </c>
      <c r="I15" s="90" t="s">
        <v>58</v>
      </c>
      <c r="J15" s="90" t="s">
        <v>13</v>
      </c>
      <c r="K15" s="89" t="s">
        <v>135</v>
      </c>
      <c r="L15" s="90" t="s">
        <v>82</v>
      </c>
      <c r="M15" s="91" t="s">
        <v>101</v>
      </c>
      <c r="N15" s="91" t="s">
        <v>14</v>
      </c>
      <c r="O15" s="90" t="s">
        <v>271</v>
      </c>
      <c r="Q15" s="44" t="s">
        <v>149</v>
      </c>
      <c r="R15" s="44" t="s">
        <v>14</v>
      </c>
      <c r="S15" s="44" t="s">
        <v>136</v>
      </c>
    </row>
    <row r="16" spans="1:27" x14ac:dyDescent="0.25">
      <c r="A16" s="45">
        <v>1</v>
      </c>
      <c r="B16" s="125">
        <f>IFERROR(INDEX(GS_Pleins[Date],ROW()-15),"")</f>
        <v>46131</v>
      </c>
      <c r="C16" s="126" t="str" cm="1">
        <f t="array" ref="C16">IFERROR(INDEX(GS_Pleins[Type],ROW()-ROW(Tableau2[#Headers])),"")</f>
        <v>Super 98</v>
      </c>
      <c r="D16" s="46">
        <f>IFERROR(INDEX(GS_Pleins[Km],ROW()-15),"")</f>
        <v>9812</v>
      </c>
      <c r="E16" s="60" t="str">
        <f>IF(AND(ISNUMBER(D15),Tableau2[[#This Row],[Km compteur]]&lt;&gt;""),Tableau2[[#This Row],[Km compteur]]-D15,"")</f>
        <v/>
      </c>
      <c r="F16" s="47">
        <f>IFERROR(INDEX(GS_Pleins[Litres],ROW()-15),"")</f>
        <v>11.4</v>
      </c>
      <c r="G16" s="48">
        <f>IFERROR(INDEX(GS_Pleins[PrixL],ROW()-15),"")</f>
        <v>1.9730000000000001</v>
      </c>
      <c r="H16" s="49" t="str">
        <f t="shared" ref="H16:H23" si="0">IF(OR(D16="",D15="",I16="",ISTEXT(D15)),"",F16/(D16-D15)*100)</f>
        <v/>
      </c>
      <c r="I16" s="50">
        <f t="shared" ref="I16:I23" si="1">IF(F16="","",F16*G16)</f>
        <v>22.4922</v>
      </c>
      <c r="J16" s="51" t="str">
        <f t="shared" ref="J16:J23" si="2">IF(OR(D16="",D15="",F16="",ISTEXT(D15)),"",F16/(D16-D15)*100)</f>
        <v/>
      </c>
      <c r="K16" s="52">
        <f>IF(Tableau2[[#This Row],[Type]]="Super 98",Tableau2[[#This Row],[Prix €/L]],"")</f>
        <v>1.9730000000000001</v>
      </c>
      <c r="L16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3"/>
      <c r="N16" s="54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128" t="str" cm="1">
        <f t="array" ref="O16">IFERROR(INDEX(GS_Pleins[Station essence],ROW()-15),"")</f>
        <v>Carrefour - Flers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5">
        <f t="shared" ref="A17:A23" si="3">IF(B17="","",A16+1)</f>
        <v>2</v>
      </c>
      <c r="B17" s="125">
        <f>IFERROR(INDEX(GS_Pleins[Date],ROW()-15),"")</f>
        <v>46135</v>
      </c>
      <c r="C17" s="126" t="str" cm="1">
        <f t="array" ref="C17">IFERROR(INDEX(GS_Pleins[Type],ROW()-ROW(Tableau2[#Headers])),"")</f>
        <v>Super 98</v>
      </c>
      <c r="D17" s="46">
        <f>IFERROR(INDEX(GS_Pleins[Km],ROW()-15),"")</f>
        <v>10094</v>
      </c>
      <c r="E17" s="60">
        <f>IF(AND(ISNUMBER(D16),Tableau2[[#This Row],[Km compteur]]&lt;&gt;""),Tableau2[[#This Row],[Km compteur]]-D16,"")</f>
        <v>282</v>
      </c>
      <c r="F17" s="47">
        <f>IFERROR(INDEX(GS_Pleins[Litres],ROW()-15),"")</f>
        <v>15.22</v>
      </c>
      <c r="G17" s="48">
        <f>IFERROR(INDEX(GS_Pleins[PrixL],ROW()-15),"")</f>
        <v>1.9259999999999999</v>
      </c>
      <c r="H17" s="49">
        <f t="shared" si="0"/>
        <v>5.3971631205673765</v>
      </c>
      <c r="I17" s="50">
        <f>IF(F17="","",F17*G17)</f>
        <v>29.31372</v>
      </c>
      <c r="J17" s="51">
        <f t="shared" si="2"/>
        <v>5.3971631205673765</v>
      </c>
      <c r="K17" s="52">
        <f>IF(Tableau2[[#This Row],[Type]]="Super 98",Tableau2[[#This Row],[Prix €/L]],"")</f>
        <v>1.9259999999999999</v>
      </c>
      <c r="L17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4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129" t="str" cm="1">
        <f t="array" ref="O17">IFERROR(INDEX(GS_Pleins[Station essence],ROW()-15),"")</f>
        <v>Carrefour - Flers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10.522346270791598</v>
      </c>
      <c r="S17" s="3">
        <f t="shared" ref="R17:S32" si="4">IF(ISNA(Q17),NA(),$B$5)</f>
        <v>514.54</v>
      </c>
    </row>
    <row r="18" spans="1:19" x14ac:dyDescent="0.25">
      <c r="A18" s="45">
        <f t="shared" si="3"/>
        <v>3</v>
      </c>
      <c r="B18" s="125">
        <f>IFERROR(INDEX(GS_Pleins[Date],ROW()-15),"")</f>
        <v>46140</v>
      </c>
      <c r="C18" s="126" t="str" cm="1">
        <f t="array" ref="C18">IFERROR(INDEX(GS_Pleins[Type],ROW()-ROW(Tableau2[#Headers])),"")</f>
        <v>Super 98</v>
      </c>
      <c r="D18" s="46">
        <f>IFERROR(INDEX(GS_Pleins[Km],ROW()-15),"")</f>
        <v>10349</v>
      </c>
      <c r="E18" s="60">
        <f>IF(AND(ISNUMBER(D17),Tableau2[[#This Row],[Km compteur]]&lt;&gt;""),Tableau2[[#This Row],[Km compteur]]-D17,"")</f>
        <v>255</v>
      </c>
      <c r="F18" s="47">
        <f>IFERROR(INDEX(GS_Pleins[Litres],ROW()-15),"")</f>
        <v>13.75</v>
      </c>
      <c r="G18" s="48">
        <f>IFERROR(INDEX(GS_Pleins[PrixL],ROW()-15),"")</f>
        <v>2.0310000000000001</v>
      </c>
      <c r="H18" s="49">
        <f t="shared" si="0"/>
        <v>5.3921568627450984</v>
      </c>
      <c r="I18" s="50">
        <f t="shared" si="1"/>
        <v>27.926250000000003</v>
      </c>
      <c r="J18" s="51">
        <f t="shared" si="2"/>
        <v>5.3921568627450984</v>
      </c>
      <c r="K18" s="52">
        <f>IF(Tableau2[[#This Row],[Type]]="Super 98",Tableau2[[#This Row],[Prix €/L]],"")</f>
        <v>2.0310000000000001</v>
      </c>
      <c r="L18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4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128" t="str" cm="1">
        <f t="array" ref="O18">IFERROR(INDEX(GS_Pleins[Station essence],ROW()-15),"")</f>
        <v>Leclerc - Douai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22.175637055530014</v>
      </c>
      <c r="S18" s="3">
        <f t="shared" si="4"/>
        <v>514.54</v>
      </c>
    </row>
    <row r="19" spans="1:19" x14ac:dyDescent="0.25">
      <c r="A19" s="45">
        <f t="shared" si="3"/>
        <v>4</v>
      </c>
      <c r="B19" s="125">
        <f>IFERROR(INDEX(GS_Pleins[Date],ROW()-15),"")</f>
        <v>46146</v>
      </c>
      <c r="C19" s="126" t="str" cm="1">
        <f t="array" ref="C19">IFERROR(INDEX(GS_Pleins[Type],ROW()-ROW(Tableau2[#Headers])),"")</f>
        <v>SuperEthanol E85</v>
      </c>
      <c r="D19" s="46">
        <f>IFERROR(INDEX(GS_Pleins[Km],ROW()-15),"")</f>
        <v>10553</v>
      </c>
      <c r="E19" s="60">
        <f>IF(AND(ISNUMBER(D18),Tableau2[[#This Row],[Km compteur]]&lt;&gt;""),Tableau2[[#This Row],[Km compteur]]-D18,"")</f>
        <v>204</v>
      </c>
      <c r="F19" s="47">
        <f>IFERROR(INDEX(GS_Pleins[Litres],ROW()-15),"")</f>
        <v>11.47</v>
      </c>
      <c r="G19" s="48">
        <f>IFERROR(INDEX(GS_Pleins[PrixL],ROW()-15),"")</f>
        <v>0.80900000000000005</v>
      </c>
      <c r="H19" s="49">
        <f t="shared" si="0"/>
        <v>5.6225490196078436</v>
      </c>
      <c r="I19" s="50">
        <f t="shared" si="1"/>
        <v>9.2792300000000019</v>
      </c>
      <c r="J19" s="51">
        <f t="shared" si="2"/>
        <v>5.6225490196078436</v>
      </c>
      <c r="K19" s="52">
        <v>2.0790000000000002</v>
      </c>
      <c r="L19" s="50">
        <f>IF(OR(Tableau2[[#This Row],[Type]]&lt;&gt;"SuperEthanol E85",Tableau2[[#This Row],[Nb. Litres]]="",Tableau2[[#This Row],[Prix S98 jour (€/L)]]=""),"",Tableau2[[#This Row],[Nb. Litres]]/(1+$J$7)*Tableau2[[#This Row],[Prix S98 jour (€/L)]])</f>
        <v>19.8015762707916</v>
      </c>
      <c r="M19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0.53138932612716439</v>
      </c>
      <c r="N19" s="54">
        <f>IF(Tableau2[[#This Row],[Type]]&lt;&gt;"SuperEthanol E85","",IF(Tableau2[[#This Row],[Coût Plein (€)]]="","",IF(N18&lt;&gt;"",N18+(L19-Tableau2[[#This Row],[Coût Plein (€)]]),L19-Tableau2[[#This Row],[Coût Plein (€)]])))</f>
        <v>10.522346270791598</v>
      </c>
      <c r="O19" s="128" t="str" cm="1">
        <f t="array" ref="O19">IFERROR(INDEX(GS_Pleins[Station essence],ROW()-15),"")</f>
        <v>E.Leclerc - Beuvry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37.22883903595725</v>
      </c>
      <c r="S19" s="3">
        <f t="shared" si="4"/>
        <v>514.54</v>
      </c>
    </row>
    <row r="20" spans="1:19" x14ac:dyDescent="0.25">
      <c r="A20" s="45">
        <f t="shared" si="3"/>
        <v>5</v>
      </c>
      <c r="B20" s="125">
        <f>IFERROR(INDEX(GS_Pleins[Date],ROW()-15),"")</f>
        <v>46148</v>
      </c>
      <c r="C20" s="126" t="str" cm="1">
        <f t="array" ref="C20">IFERROR(INDEX(GS_Pleins[Type],ROW()-ROW(Tableau2[#Headers])),"")</f>
        <v>SuperEthanol E85</v>
      </c>
      <c r="D20" s="46">
        <f>IFERROR(INDEX(GS_Pleins[Km],ROW()-15),"")</f>
        <v>10749</v>
      </c>
      <c r="E20" s="60">
        <f>IF(AND(ISNUMBER(D19),Tableau2[[#This Row],[Km compteur]]&lt;&gt;""),Tableau2[[#This Row],[Km compteur]]-D19,"")</f>
        <v>196</v>
      </c>
      <c r="F20" s="47">
        <f>IFERROR(INDEX(GS_Pleins[Litres],ROW()-15),"")</f>
        <v>11.71</v>
      </c>
      <c r="G20" s="48">
        <f>IFERROR(INDEX(GS_Pleins[PrixL],ROW()-15),"")</f>
        <v>0.747</v>
      </c>
      <c r="H20" s="49">
        <f t="shared" si="0"/>
        <v>5.9744897959183678</v>
      </c>
      <c r="I20" s="50">
        <f t="shared" si="1"/>
        <v>8.7473700000000001</v>
      </c>
      <c r="J20" s="51">
        <f t="shared" si="2"/>
        <v>5.9744897959183678</v>
      </c>
      <c r="K20" s="52">
        <v>2.0979999999999999</v>
      </c>
      <c r="L20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20.400660784738417</v>
      </c>
      <c r="M20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0.57122124168919852</v>
      </c>
      <c r="N20" s="54">
        <f>IF(Tableau2[[#This Row],[Type]]&lt;&gt;"SuperEthanol E85","",IF(Tableau2[[#This Row],[Coût Plein (€)]]="","",IF(N19&lt;&gt;"",N19+(L20-Tableau2[[#This Row],[Coût Plein (€)]]),L20-Tableau2[[#This Row],[Coût Plein (€)]])))</f>
        <v>22.175637055530014</v>
      </c>
      <c r="O20" s="128" t="str" cm="1">
        <f t="array" ref="O20">IFERROR(INDEX(GS_Pleins[Station essence],ROW()-15),"")</f>
        <v>E.Leclerc - Beuvry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49.839883482082435</v>
      </c>
      <c r="S20" s="3">
        <f t="shared" si="4"/>
        <v>514.54</v>
      </c>
    </row>
    <row r="21" spans="1:19" x14ac:dyDescent="0.25">
      <c r="A21" s="45">
        <f t="shared" si="3"/>
        <v>6</v>
      </c>
      <c r="B21" s="125">
        <f>IFERROR(INDEX(GS_Pleins[Date],ROW()-15),"")</f>
        <v>46151</v>
      </c>
      <c r="C21" s="126" t="str" cm="1">
        <f t="array" ref="C21">IFERROR(INDEX(GS_Pleins[Type],ROW()-ROW(Tableau2[#Headers])),"")</f>
        <v>SuperEthanol E85</v>
      </c>
      <c r="D21" s="46">
        <f>IFERROR(INDEX(GS_Pleins[Km],ROW()-15),"")</f>
        <v>10975</v>
      </c>
      <c r="E21" s="60">
        <f>IF(AND(ISNUMBER(D20),Tableau2[[#This Row],[Km compteur]]&lt;&gt;""),Tableau2[[#This Row],[Km compteur]]-D20,"")</f>
        <v>226</v>
      </c>
      <c r="F21" s="47">
        <f>IFERROR(INDEX(GS_Pleins[Litres],ROW()-15),"")</f>
        <v>15.28</v>
      </c>
      <c r="G21" s="48">
        <f>IFERROR(INDEX(GS_Pleins[PrixL],ROW()-15),"")</f>
        <v>0.75700000000000001</v>
      </c>
      <c r="H21" s="49">
        <f>IF(OR(D21="",D20="",I21="",ISTEXT(D20)),"",F21/(D21-D20)*100)</f>
        <v>6.7610619469026547</v>
      </c>
      <c r="I21" s="50">
        <f t="shared" si="1"/>
        <v>11.56696</v>
      </c>
      <c r="J21" s="51">
        <f t="shared" si="2"/>
        <v>6.7610619469026547</v>
      </c>
      <c r="K21" s="52">
        <v>2.0979999999999999</v>
      </c>
      <c r="L21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26.620161980427238</v>
      </c>
      <c r="M21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0.56548123153778207</v>
      </c>
      <c r="N21" s="54">
        <f>IF(Tableau2[[#This Row],[Type]]&lt;&gt;"SuperEthanol E85","",IF(Tableau2[[#This Row],[Coût Plein (€)]]="","",IF(N20&lt;&gt;"",N20+(L21-Tableau2[[#This Row],[Coût Plein (€)]]),L21-Tableau2[[#This Row],[Coût Plein (€)]])))</f>
        <v>37.22883903595725</v>
      </c>
      <c r="O21" s="128" t="str" cm="1">
        <f t="array" ref="O21">IFERROR(INDEX(GS_Pleins[Station essence],ROW()-15),"")</f>
        <v>E.Leclerc - Beuvry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63.512928291601355</v>
      </c>
      <c r="S21" s="3">
        <f t="shared" si="4"/>
        <v>514.54</v>
      </c>
    </row>
    <row r="22" spans="1:19" x14ac:dyDescent="0.25">
      <c r="A22" s="45">
        <f t="shared" si="3"/>
        <v>7</v>
      </c>
      <c r="B22" s="125">
        <f>IFERROR(INDEX(GS_Pleins[Date],ROW()-15),"")</f>
        <v>46154</v>
      </c>
      <c r="C22" s="127" t="str" cm="1">
        <f t="array" ref="C22">IFERROR(INDEX(GS_Pleins[Type],ROW()-ROW(Tableau2[#Headers])),"")</f>
        <v>SuperEthanol E85</v>
      </c>
      <c r="D22" s="60">
        <f>IFERROR(INDEX(GS_Pleins[Km],ROW()-15),"")</f>
        <v>11173</v>
      </c>
      <c r="E22" s="60">
        <f>IF(AND(ISNUMBER(D21),Tableau2[[#This Row],[Km compteur]]&lt;&gt;""),Tableau2[[#This Row],[Km compteur]]-D21,"")</f>
        <v>198</v>
      </c>
      <c r="F22" s="61">
        <f>IFERROR(INDEX(GS_Pleins[Litres],ROW()-15),"")</f>
        <v>13.94</v>
      </c>
      <c r="G22" s="62">
        <f>IFERROR(INDEX(GS_Pleins[PrixL],ROW()-15),"")</f>
        <v>0.83499999999999996</v>
      </c>
      <c r="H22" s="49">
        <f t="shared" si="0"/>
        <v>7.0404040404040398</v>
      </c>
      <c r="I22" s="50">
        <f>IF(F22="","",F22*G22)</f>
        <v>11.639899999999999</v>
      </c>
      <c r="J22" s="51">
        <f t="shared" si="2"/>
        <v>7.0404040404040398</v>
      </c>
      <c r="K22" s="63">
        <v>2.0950000000000002</v>
      </c>
      <c r="L22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24.250944446125185</v>
      </c>
      <c r="M22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0.5200228170140474</v>
      </c>
      <c r="N22" s="54">
        <f>IF(Tableau2[[#This Row],[Type]]&lt;&gt;"SuperEthanol E85","",IF(Tableau2[[#This Row],[Coût Plein (€)]]="","",IF(N21&lt;&gt;"",N21+(L22-Tableau2[[#This Row],[Coût Plein (€)]]),L22-Tableau2[[#This Row],[Coût Plein (€)]])))</f>
        <v>49.839883482082435</v>
      </c>
      <c r="O22" s="128" t="str" cm="1">
        <f t="array" ref="O22">IFERROR(INDEX(GS_Pleins[Station essence],ROW()-15),"")</f>
        <v>E.Leclerc - Beuvry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77.494260910737296</v>
      </c>
      <c r="S22" s="3">
        <f t="shared" si="4"/>
        <v>514.54</v>
      </c>
    </row>
    <row r="23" spans="1:19" x14ac:dyDescent="0.25">
      <c r="A23" s="45">
        <f t="shared" si="3"/>
        <v>8</v>
      </c>
      <c r="B23" s="125">
        <f>IFERROR(INDEX(GS_Pleins[Date],ROW()-15),"")</f>
        <v>46157</v>
      </c>
      <c r="C23" s="126" t="str" cm="1">
        <f t="array" ref="C23">IFERROR(INDEX(GS_Pleins[Type],ROW()-ROW(Tableau2[#Headers])),"")</f>
        <v>SuperEthanol E85</v>
      </c>
      <c r="D23" s="46">
        <f>IFERROR(INDEX(GS_Pleins[Km],ROW()-15),"")</f>
        <v>11376</v>
      </c>
      <c r="E23" s="60">
        <f>IF(AND(ISNUMBER(D22),Tableau2[[#This Row],[Km compteur]]&lt;&gt;""),Tableau2[[#This Row],[Km compteur]]-D22,"")</f>
        <v>203</v>
      </c>
      <c r="F23" s="47">
        <f>IFERROR(INDEX(GS_Pleins[Litres],ROW()-15),"")</f>
        <v>13.37</v>
      </c>
      <c r="G23" s="48">
        <f>IFERROR(INDEX(GS_Pleins[PrixL],ROW()-15),"")</f>
        <v>0.71699999999999997</v>
      </c>
      <c r="H23" s="49">
        <f t="shared" si="0"/>
        <v>6.5862068965517233</v>
      </c>
      <c r="I23" s="50">
        <f t="shared" si="1"/>
        <v>9.5862899999999982</v>
      </c>
      <c r="J23" s="51">
        <f t="shared" si="2"/>
        <v>6.5862068965517233</v>
      </c>
      <c r="K23" s="52">
        <v>2.0950000000000002</v>
      </c>
      <c r="L23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23.259334809518919</v>
      </c>
      <c r="M23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0.58785192790308027</v>
      </c>
      <c r="N23" s="54">
        <f>IF(Tableau2[[#This Row],[Type]]&lt;&gt;"SuperEthanol E85","",IF(Tableau2[[#This Row],[Coût Plein (€)]]="","",IF(N22&lt;&gt;"",N22+(L23-Tableau2[[#This Row],[Coût Plein (€)]]),L23-Tableau2[[#This Row],[Coût Plein (€)]])))</f>
        <v>63.512928291601355</v>
      </c>
      <c r="O23" s="128" t="str" cm="1">
        <f t="array" ref="O23">IFERROR(INDEX(GS_Pleins[Station essence],ROW()-15),"")</f>
        <v>E.Leclerc - Beuvry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93.093198134956467</v>
      </c>
      <c r="S23" s="3">
        <f t="shared" si="4"/>
        <v>514.54</v>
      </c>
    </row>
    <row r="24" spans="1:19" x14ac:dyDescent="0.25">
      <c r="A24" s="74">
        <f>IF(B24="","",A23+1)</f>
        <v>9</v>
      </c>
      <c r="B24" s="125">
        <f>IFERROR(INDEX(GS_Pleins[Date],ROW()-15),"")</f>
        <v>46161</v>
      </c>
      <c r="C24" s="127" t="str" cm="1">
        <f t="array" ref="C24">IFERROR(INDEX(GS_Pleins[Type],ROW()-ROW(Tableau2[#Headers])),"")</f>
        <v>SuperEthanol E85</v>
      </c>
      <c r="D24" s="60">
        <f>IFERROR(INDEX(GS_Pleins[Km],ROW()-15),"")</f>
        <v>11596</v>
      </c>
      <c r="E24" s="60">
        <f>IF(AND(ISNUMBER(D23),Tableau2[[#This Row],[Km compteur]]&lt;&gt;""),Tableau2[[#This Row],[Km compteur]]-D23,"")</f>
        <v>220</v>
      </c>
      <c r="F24" s="61">
        <f>IFERROR(INDEX(GS_Pleins[Litres],ROW()-15),"")</f>
        <v>14.9</v>
      </c>
      <c r="G24" s="62">
        <f>IFERROR(INDEX(GS_Pleins[PrixL],ROW()-15),"")</f>
        <v>0.79800000000000004</v>
      </c>
      <c r="H24" s="73">
        <f>IF(OR(D24="",D23="",I24="",ISTEXT(D23)),"",F24/(D24-D23)*100)</f>
        <v>6.7727272727272734</v>
      </c>
      <c r="I24" s="50">
        <f>IF(F24="","",F24*G24)</f>
        <v>11.8902</v>
      </c>
      <c r="J24" s="51">
        <f>IF(OR(D24="",D23="",F24="",ISTEXT(D23)),"",F24/(D24-D23)*100)</f>
        <v>6.7727272727272734</v>
      </c>
      <c r="K24" s="63">
        <v>2.0910000000000002</v>
      </c>
      <c r="L24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25.871532619135941</v>
      </c>
      <c r="M24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0.54041377544037006</v>
      </c>
      <c r="N24" s="54">
        <f>IF(Tableau2[[#This Row],[Type]]&lt;&gt;"SuperEthanol E85","",IF(Tableau2[[#This Row],[Coût Plein (€)]]="","",IF(N23&lt;&gt;"",N23+(L24-Tableau2[[#This Row],[Coût Plein (€)]]),L24-Tableau2[[#This Row],[Coût Plein (€)]])))</f>
        <v>77.494260910737296</v>
      </c>
      <c r="O24" s="128" t="str" cm="1">
        <f t="array" ref="O24">IFERROR(INDEX(GS_Pleins[Station essence],ROW()-15),"")</f>
        <v>E.Leclerc - Beuvry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4">
        <f>IF(B25="","",A24+1)</f>
        <v>10</v>
      </c>
      <c r="B25" s="125">
        <f>IFERROR(INDEX(GS_Pleins[Date],ROW()-15),"")</f>
        <v>46164</v>
      </c>
      <c r="C25" s="127" t="str" cm="1">
        <f t="array" ref="C25">IFERROR(INDEX(GS_Pleins[Type],ROW()-ROW(Tableau2[#Headers])),"")</f>
        <v>SuperEthanol E85</v>
      </c>
      <c r="D25" s="60">
        <f>IFERROR(INDEX(GS_Pleins[Km],ROW()-15),"")</f>
        <v>11831</v>
      </c>
      <c r="E25" s="60">
        <f>IF(AND(ISNUMBER(D24),Tableau2[[#This Row],[Km compteur]]&lt;&gt;""),Tableau2[[#This Row],[Km compteur]]-D24,"")</f>
        <v>235</v>
      </c>
      <c r="F25" s="61">
        <f>IFERROR(INDEX(GS_Pleins[Litres],ROW()-15),"")</f>
        <v>16.25</v>
      </c>
      <c r="G25" s="62">
        <f>IFERROR(INDEX(GS_Pleins[PrixL],ROW()-15),"")</f>
        <v>0.79800000000000004</v>
      </c>
      <c r="H25" s="73">
        <f>IF(OR(D25="",D24="",I25="",ISTEXT(D24)),"",F25/(D25-D24)*100)</f>
        <v>6.9148936170212769</v>
      </c>
      <c r="I25" s="50">
        <f>IF(F25="","",F25*G25)</f>
        <v>12.967500000000001</v>
      </c>
      <c r="J25" s="51">
        <f>IF(OR(D25="",D24="",F25="",ISTEXT(D24)),"",F25/(D25-D24)*100)</f>
        <v>6.9148936170212769</v>
      </c>
      <c r="K25" s="63">
        <v>2.117</v>
      </c>
      <c r="L25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28.566437224219172</v>
      </c>
      <c r="M25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0.54605819765980801</v>
      </c>
      <c r="N25" s="50">
        <f>IF(Tableau2[[#This Row],[Type]]&lt;&gt;"SuperEthanol E85","",IF(Tableau2[[#This Row],[Coût Plein (€)]]="","",IF(N24&lt;&gt;"",N24+(L25-Tableau2[[#This Row],[Coût Plein (€)]]),L25-Tableau2[[#This Row],[Coût Plein (€)]])))</f>
        <v>93.093198134956467</v>
      </c>
      <c r="O25" s="128" t="str" cm="1">
        <f t="array" ref="O25">IFERROR(INDEX(GS_Pleins[Station essence],ROW()-15),"")</f>
        <v>E.Leclerc - Beuvry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4">
        <f>IF(B26="","",A25+1)</f>
        <v>11</v>
      </c>
      <c r="B26" s="125">
        <f>IFERROR(INDEX(GS_Pleins[Date],ROW()-15),"")</f>
        <v>46170</v>
      </c>
      <c r="C26" s="127" t="str" cm="1">
        <f t="array" ref="C26">IFERROR(INDEX(GS_Pleins[Type],ROW()-ROW(Tableau2[#Headers])),"")</f>
        <v>SuperEthanol E85</v>
      </c>
      <c r="D26" s="60">
        <f>IFERROR(INDEX(GS_Pleins[Km],ROW()-15),"")</f>
        <v>12041</v>
      </c>
      <c r="E26" s="60">
        <f>IF(AND(ISNUMBER(D25),Tableau2[[#This Row],[Km compteur]]&lt;&gt;""),Tableau2[[#This Row],[Km compteur]]-D25,"")</f>
        <v>210</v>
      </c>
      <c r="F26" s="61">
        <f>IFERROR(INDEX(GS_Pleins[Litres],ROW()-15),"")</f>
        <v>13.23</v>
      </c>
      <c r="G26" s="62">
        <f>IFERROR(INDEX(GS_Pleins[PrixL],ROW()-15),"")</f>
        <v>0.84899999999999998</v>
      </c>
      <c r="H26" s="73">
        <f>IF(OR(D26="",D25="",I26="",ISTEXT(D25)),"",F26/(D26-D25)*100)</f>
        <v>6.3</v>
      </c>
      <c r="I26" s="50">
        <f>IF(F26="","",F26*G26)</f>
        <v>11.23227</v>
      </c>
      <c r="J26" s="51">
        <f>IF(OR(D26="",D25="",F26="",ISTEXT(D25)),"",F26/(D26-D25)*100)</f>
        <v>6.3</v>
      </c>
      <c r="K26" s="63">
        <v>2.1789999999999998</v>
      </c>
      <c r="L26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23.938610038708429</v>
      </c>
      <c r="M26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0.53078854696084854</v>
      </c>
      <c r="N26" s="50">
        <f>IF(Tableau2[[#This Row],[Type]]&lt;&gt;"SuperEthanol E85","",IF(Tableau2[[#This Row],[Coût Plein (€)]]="","",IF(N25&lt;&gt;"",N25+(L26-Tableau2[[#This Row],[Coût Plein (€)]]),L26-Tableau2[[#This Row],[Coût Plein (€)]])))</f>
        <v>105.7995381736649</v>
      </c>
      <c r="O26" s="128" t="str" cm="1">
        <f t="array" ref="O26">IFERROR(INDEX(GS_Pleins[Station essence],ROW()-15),"")</f>
        <v>Carrefour - Flers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ht="18.75" x14ac:dyDescent="0.25">
      <c r="A28" s="132" t="s">
        <v>15</v>
      </c>
      <c r="B28" s="5"/>
      <c r="C28" s="5"/>
      <c r="D28" s="5"/>
      <c r="E28" s="5"/>
      <c r="F28" s="4"/>
      <c r="G28" s="15" t="s">
        <v>19</v>
      </c>
      <c r="H28" s="16"/>
      <c r="I28" s="16"/>
      <c r="J28" s="16"/>
      <c r="K28" s="16"/>
      <c r="L28" s="16"/>
      <c r="M28" s="4"/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6" t="s">
        <v>67</v>
      </c>
      <c r="B29" s="8">
        <f>COUNTIF(C16:C26,"SuperEthanol E85")</f>
        <v>8</v>
      </c>
      <c r="C29" s="8"/>
      <c r="D29" s="8"/>
      <c r="E29" s="8"/>
      <c r="F29" s="4"/>
      <c r="G29" s="17" t="s">
        <v>20</v>
      </c>
      <c r="H29" s="17"/>
      <c r="I29" s="17"/>
      <c r="J29" s="64">
        <f>SUM(L16:L26)</f>
        <v>192.70925817366492</v>
      </c>
      <c r="K29" s="17"/>
      <c r="L29" s="17"/>
      <c r="M29" s="7" t="s">
        <v>21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9" t="s">
        <v>66</v>
      </c>
      <c r="B30" s="20">
        <f>COUNTIF(C16:C26,"Super 98")</f>
        <v>3</v>
      </c>
      <c r="C30" s="10"/>
      <c r="D30" s="10"/>
      <c r="E30" s="10"/>
      <c r="F30" s="4"/>
      <c r="G30" s="18" t="s">
        <v>22</v>
      </c>
      <c r="H30" s="18"/>
      <c r="I30" s="18"/>
      <c r="J30" s="65">
        <f>IF(J29=0,"",J29-B35)</f>
        <v>105.79953817366493</v>
      </c>
      <c r="K30" s="18"/>
      <c r="L30" s="18"/>
      <c r="M30" s="7" t="s">
        <v>23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" t="s">
        <v>16</v>
      </c>
      <c r="B31" s="21">
        <f>IF(COUNTA(D16:D26)&lt;2,"",MAX(D16:D26)-MIN(D16:D26))</f>
        <v>2229</v>
      </c>
      <c r="C31" s="11"/>
      <c r="D31" s="11"/>
      <c r="E31" s="11"/>
      <c r="F31" s="4"/>
      <c r="G31" s="19" t="s">
        <v>24</v>
      </c>
      <c r="H31" s="17"/>
      <c r="I31" s="17"/>
      <c r="J31" s="66">
        <f>IF(J30="","",J30-B5)</f>
        <v>-408.74046182633504</v>
      </c>
      <c r="K31" s="17"/>
      <c r="L31" s="17"/>
      <c r="M31" s="7" t="s">
        <v>25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57" t="s">
        <v>182</v>
      </c>
      <c r="B32" s="58">
        <f>IFERROR((LOOKUP(9.99999999999999E+307,Tableau2[Km compteur])-INDEX(Tableau2[Km compteur],1))/(LOOKUP(9.99999999999999E+307,Tableau2[Date])-INDEX(Tableau2[Date],1))*7,"-")</f>
        <v>400.07692307692309</v>
      </c>
      <c r="C32" s="10"/>
      <c r="D32" s="10"/>
      <c r="E32" s="10"/>
      <c r="F32" s="4"/>
      <c r="G32" s="18" t="s">
        <v>26</v>
      </c>
      <c r="H32" s="18"/>
      <c r="I32" s="18"/>
      <c r="J32" s="67">
        <f>IF(OR(B5="",B5=0,J30=""),"",MIN(J30/B5,1))</f>
        <v>0.20561965672963217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6" t="s">
        <v>183</v>
      </c>
      <c r="B33" s="56">
        <f>IFERROR((LOOKUP(9.99999999999999E+307,Tableau2[Km compteur])-INDEX(Tableau2[Km compteur],1))/(LOOKUP(9.99999999999999E+307,Tableau2[Date])-INDEX(Tableau2[Date],1))*30.4375,"-")</f>
        <v>1739.6201923076924</v>
      </c>
      <c r="C33" s="11"/>
      <c r="D33" s="11"/>
      <c r="E33" s="11"/>
      <c r="F33" s="4"/>
      <c r="G33" s="17" t="s">
        <v>27</v>
      </c>
      <c r="H33" s="17"/>
      <c r="I33" s="17"/>
      <c r="J33" s="17" t="str">
        <f>IF(J31="","",IF(J31&gt;=0,"✅ OUI ! Rentabilisé !","❌ Pas encore... Encore "&amp;TEXT(ABS(J31),"#,##")&amp;" € à économiser"))</f>
        <v>❌ Pas encore... Encore 408,74 € à économiser</v>
      </c>
      <c r="K33" s="17"/>
      <c r="L33" s="17"/>
      <c r="M33" s="4"/>
    </row>
    <row r="34" spans="1:27" x14ac:dyDescent="0.25">
      <c r="A34" s="9" t="s">
        <v>17</v>
      </c>
      <c r="B34" s="22">
        <f>SUMIF(C16:C26,"SuperEthanol E85",F16:F26)</f>
        <v>110.15</v>
      </c>
      <c r="C34" s="12"/>
      <c r="D34" s="12"/>
      <c r="E34" s="12"/>
      <c r="F34" s="4"/>
      <c r="G34" s="68"/>
      <c r="H34" s="68"/>
      <c r="I34" s="68"/>
      <c r="J34" s="68"/>
      <c r="K34" s="68"/>
      <c r="L34" s="68"/>
      <c r="M34" s="4"/>
    </row>
    <row r="35" spans="1:27" x14ac:dyDescent="0.25">
      <c r="A35" s="6" t="s">
        <v>18</v>
      </c>
      <c r="B35" s="23">
        <f>SUMIF(C16:C26,"SuperEthanol E85",I16:I26)</f>
        <v>86.909719999999993</v>
      </c>
      <c r="C35" s="11"/>
      <c r="D35" s="11"/>
      <c r="E35" s="11"/>
      <c r="F35" s="4"/>
      <c r="G35" s="17" t="s">
        <v>40</v>
      </c>
      <c r="H35" s="17"/>
      <c r="I35" s="17"/>
      <c r="J35" s="70">
        <f>IF(OR(J30="",B31="",B31=0),"",J30/B31*100)</f>
        <v>4.7465023855390278</v>
      </c>
      <c r="K35" s="17"/>
      <c r="L35" s="17"/>
      <c r="M35" s="4"/>
    </row>
    <row r="36" spans="1:27" x14ac:dyDescent="0.25">
      <c r="A36" s="9" t="s">
        <v>60</v>
      </c>
      <c r="B36" s="22">
        <f>IFERROR(AVERAGEIFS(J16:J26,C16:C26,"SuperEthanol E85"),"")</f>
        <v>6.4965415736416467</v>
      </c>
      <c r="C36" s="13"/>
      <c r="D36" s="13"/>
      <c r="E36" s="13"/>
      <c r="F36" s="4"/>
      <c r="G36" s="18" t="s">
        <v>184</v>
      </c>
      <c r="H36" s="18"/>
      <c r="I36" s="18"/>
      <c r="J36" s="69">
        <f>IF(OR(J35="",J35&lt;=0,J31=""),"",IF(J31&gt;=0,0,ROUNDUP(ABS(J31)/J35*100,0)))</f>
        <v>8612</v>
      </c>
      <c r="K36" s="18"/>
      <c r="L36" s="18"/>
      <c r="M36" s="4"/>
    </row>
    <row r="37" spans="1:27" x14ac:dyDescent="0.25">
      <c r="A37" s="6" t="s">
        <v>61</v>
      </c>
      <c r="B37" s="11">
        <f>IFERROR(AVERAGEIFS(J16:J26,C16:C26,"Super 98"),"")</f>
        <v>5.394659991656237</v>
      </c>
      <c r="C37" s="14"/>
      <c r="D37" s="14"/>
      <c r="E37" s="14"/>
      <c r="F37" s="4"/>
      <c r="G37" s="4"/>
      <c r="H37" s="4"/>
      <c r="I37" s="4"/>
      <c r="J37" s="4"/>
      <c r="K37" s="4"/>
      <c r="L37" s="4"/>
    </row>
    <row r="38" spans="1:27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27" x14ac:dyDescent="0.25">
      <c r="AA39"/>
    </row>
  </sheetData>
  <sheetProtection sheet="1" formatColumns="0" selectLockedCells="1"/>
  <mergeCells count="2">
    <mergeCell ref="G10:H10"/>
    <mergeCell ref="A1:O1"/>
  </mergeCells>
  <phoneticPr fontId="15" type="noConversion"/>
  <conditionalFormatting sqref="K16:K26">
    <cfRule type="expression" dxfId="35" priority="2">
      <formula>AND($C16="SuperEthanol E85",$K16="")</formula>
    </cfRule>
  </conditionalFormatting>
  <conditionalFormatting sqref="G16:G26">
    <cfRule type="expression" dxfId="34" priority="3">
      <formula>AND($G16&lt;&gt;"",ISNUMBER($G16),$G16&lt;AVERAGEIFS(G:G,C:C,$C16,G:G,"&gt;="&amp;$G16-30,G:G," &lt;="&amp;$G16))</formula>
    </cfRule>
    <cfRule type="expression" dxfId="33" priority="4">
      <formula>AND($G16&lt;&gt;"",ISNUMBER($G16),$G16&gt;AVERAGEIFS(G:G,C:C,$C16,G:G,"&gt;="&amp;$G16-30,G:G," &lt;="&amp;$G16))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6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6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C6" sqref="C6"/>
    </sheetView>
  </sheetViews>
  <sheetFormatPr baseColWidth="10" defaultColWidth="9" defaultRowHeight="15.75" x14ac:dyDescent="0.25"/>
  <cols>
    <col min="1" max="1" width="3" style="77" customWidth="1"/>
    <col min="2" max="2" width="43.125" style="77" customWidth="1"/>
    <col min="3" max="6" width="16" style="77" customWidth="1"/>
    <col min="7" max="9" width="13" style="77" customWidth="1"/>
    <col min="10" max="16384" width="9" style="77"/>
  </cols>
  <sheetData>
    <row r="1" spans="2:9" ht="8.1" customHeight="1" x14ac:dyDescent="0.25">
      <c r="B1" s="76"/>
      <c r="C1" s="76"/>
      <c r="D1" s="76"/>
      <c r="E1" s="76"/>
      <c r="F1" s="76"/>
      <c r="G1" s="76"/>
    </row>
    <row r="2" spans="2:9" ht="36" customHeight="1" x14ac:dyDescent="0.25">
      <c r="B2" s="143" t="s">
        <v>296</v>
      </c>
      <c r="C2" s="144"/>
      <c r="D2" s="144"/>
      <c r="E2" s="144"/>
      <c r="F2" s="144"/>
      <c r="G2" s="144"/>
    </row>
    <row r="3" spans="2:9" ht="6" customHeight="1" x14ac:dyDescent="0.25">
      <c r="B3" s="78"/>
      <c r="C3" s="78"/>
      <c r="D3" s="78"/>
      <c r="E3" s="78"/>
      <c r="F3" s="78"/>
      <c r="G3" s="78"/>
    </row>
    <row r="4" spans="2:9" ht="27.95" customHeight="1" x14ac:dyDescent="0.25">
      <c r="B4" s="145" t="s">
        <v>316</v>
      </c>
      <c r="C4" s="144"/>
      <c r="D4" s="144"/>
      <c r="E4" s="144"/>
      <c r="F4" s="144"/>
      <c r="G4" s="144"/>
    </row>
    <row r="5" spans="2:9" ht="32.1" customHeight="1" x14ac:dyDescent="0.25">
      <c r="B5" s="79" t="s">
        <v>276</v>
      </c>
      <c r="C5" s="80" t="s">
        <v>297</v>
      </c>
      <c r="D5" s="80" t="s">
        <v>298</v>
      </c>
      <c r="E5" s="80" t="s">
        <v>299</v>
      </c>
      <c r="F5" s="80" t="s">
        <v>300</v>
      </c>
      <c r="G5" s="80" t="s">
        <v>301</v>
      </c>
      <c r="H5" s="80" t="s">
        <v>302</v>
      </c>
      <c r="I5" s="79" t="s">
        <v>303</v>
      </c>
    </row>
    <row r="6" spans="2:9" ht="21.95" customHeight="1" x14ac:dyDescent="0.25">
      <c r="B6" s="82" t="str">
        <f>IF(Notes!$D$3="","",Notes!$D$3)</f>
        <v>Carrefour - Flers</v>
      </c>
      <c r="C6" s="83">
        <f>IFERROR(AVERAGEIF(GS_Pleins[Station essence],$B6,GS_Pleins[E85 station]),"")</f>
        <v>0.84899999999999998</v>
      </c>
      <c r="D6" s="83">
        <f>IFERROR(AVERAGEIF(GS_Pleins[Station essence],$B6,GS_Pleins[SP98 station]),"")</f>
        <v>2.0259999999999998</v>
      </c>
      <c r="E6" s="83">
        <f>IFERROR(AVERAGEIF(GS_Pleins[Station essence],$B6,GS_Pleins[SP95 station]),"")</f>
        <v>2.089</v>
      </c>
      <c r="F6" s="83">
        <f>IFERROR(AVERAGEIF(GS_Pleins[Station essence],$B6,GS_Pleins[E10 station]),"")</f>
        <v>2.0390000000000001</v>
      </c>
      <c r="G6" s="83">
        <f>IFERROR(AVERAGEIF(GS_Pleins[Station essence],$B6,GS_Pleins[Gazole station]),"")</f>
        <v>2.0990000000000002</v>
      </c>
      <c r="H6" s="83">
        <f>IFERROR(AVERAGEIF(GS_Pleins[Station essence],$B6,GS_Pleins[GPLc station]),"")</f>
        <v>0.96899999999999997</v>
      </c>
      <c r="I6" s="84">
        <f>IF(Notes!$D3="","",COUNTIF(GS_Pleins!$G:$G,B6))</f>
        <v>3</v>
      </c>
    </row>
    <row r="7" spans="2:9" ht="21.95" customHeight="1" x14ac:dyDescent="0.25">
      <c r="B7" s="81" t="str">
        <f>IF(Notes!$D$4="","",Notes!$D$4)</f>
        <v>E.Leclerc - Beuvry</v>
      </c>
      <c r="C7" s="83">
        <f>IFERROR(AVERAGEIF(GS_Pleins[Station essence],$B7,GS_Pleins[E85 station]),"")</f>
        <v>0.78014285714285714</v>
      </c>
      <c r="D7" s="83">
        <f>IFERROR(AVERAGEIF(GS_Pleins[Station essence],$B7,GS_Pleins[SP98 station]),"")</f>
        <v>2.0926666666666667</v>
      </c>
      <c r="E7" s="83" t="str">
        <f>IFERROR(AVERAGEIF(GS_Pleins[Station essence],$B7,GS_Pleins[SP95 station]),"")</f>
        <v/>
      </c>
      <c r="F7" s="83" t="str">
        <f>IFERROR(AVERAGEIF(GS_Pleins[Station essence],$B7,GS_Pleins[E10 station]),"")</f>
        <v/>
      </c>
      <c r="G7" s="83" t="str">
        <f>IFERROR(AVERAGEIF(GS_Pleins[Station essence],$B7,GS_Pleins[Gazole station]),"")</f>
        <v/>
      </c>
      <c r="H7" s="83" t="str">
        <f>IFERROR(AVERAGEIF(GS_Pleins[Station essence],$B7,GS_Pleins[GPLc station]),"")</f>
        <v/>
      </c>
      <c r="I7" s="84">
        <f>IF(Notes!$D4="","",COUNTIF(GS_Pleins!$G:$G,B7))</f>
        <v>7</v>
      </c>
    </row>
    <row r="8" spans="2:9" ht="21.95" customHeight="1" x14ac:dyDescent="0.25">
      <c r="B8" s="82" t="str">
        <f>IF(Notes!$D$5="","",Notes!$D$5)</f>
        <v>Leclerc - Douai</v>
      </c>
      <c r="C8" s="83" t="str">
        <f>IFERROR(AVERAGEIF(GS_Pleins[Station essence],$B8,GS_Pleins[E85 station]),"")</f>
        <v/>
      </c>
      <c r="D8" s="83">
        <f>IFERROR(AVERAGEIF(GS_Pleins[Station essence],$B8,GS_Pleins[SP98 station]),"")</f>
        <v>2.0310000000000001</v>
      </c>
      <c r="E8" s="83" t="str">
        <f>IFERROR(AVERAGEIF(GS_Pleins[Station essence],$B8,GS_Pleins[SP95 station]),"")</f>
        <v/>
      </c>
      <c r="F8" s="83" t="str">
        <f>IFERROR(AVERAGEIF(GS_Pleins[Station essence],$B8,GS_Pleins[E10 station]),"")</f>
        <v/>
      </c>
      <c r="G8" s="83" t="str">
        <f>IFERROR(AVERAGEIF(GS_Pleins[Station essence],$B8,GS_Pleins[Gazole station]),"")</f>
        <v/>
      </c>
      <c r="H8" s="83" t="str">
        <f>IFERROR(AVERAGEIF(GS_Pleins[Station essence],$B8,GS_Pleins[GPLc station]),"")</f>
        <v/>
      </c>
      <c r="I8" s="84">
        <f>IF(Notes!$D5="","",COUNTIF(GS_Pleins!$G:$G,B8))</f>
        <v>1</v>
      </c>
    </row>
    <row r="9" spans="2:9" ht="21.95" customHeight="1" x14ac:dyDescent="0.25">
      <c r="B9" s="81" t="str">
        <f>IF(Notes!$D$6="","",Notes!$D$6)</f>
        <v>Total - Waziers</v>
      </c>
      <c r="C9" s="83" t="str">
        <f>IFERROR(AVERAGEIF(GS_Pleins[Station essence],$B9,GS_Pleins[E85 station]),"")</f>
        <v/>
      </c>
      <c r="D9" s="83" t="str">
        <f>IFERROR(AVERAGEIF(GS_Pleins[Station essence],$B9,GS_Pleins[SP98 station]),"")</f>
        <v/>
      </c>
      <c r="E9" s="83" t="str">
        <f>IFERROR(AVERAGEIF(GS_Pleins[Station essence],$B9,GS_Pleins[SP95 station]),"")</f>
        <v/>
      </c>
      <c r="F9" s="83" t="str">
        <f>IFERROR(AVERAGEIF(GS_Pleins[Station essence],$B9,GS_Pleins[E10 station]),"")</f>
        <v/>
      </c>
      <c r="G9" s="83" t="str">
        <f>IFERROR(AVERAGEIF(GS_Pleins[Station essence],$B9,GS_Pleins[Gazole station]),"")</f>
        <v/>
      </c>
      <c r="H9" s="83" t="str">
        <f>IFERROR(AVERAGEIF(GS_Pleins[Station essence],$B9,GS_Pleins[GPLc station]),"")</f>
        <v/>
      </c>
      <c r="I9" s="84">
        <f>IF(Notes!$D6="","",COUNTIF(GS_Pleins!$G:$G,B9))</f>
        <v>0</v>
      </c>
    </row>
    <row r="10" spans="2:9" ht="21.95" customHeight="1" x14ac:dyDescent="0.25">
      <c r="B10" s="82" t="str">
        <f>IF(Notes!$D$7="","",Notes!$D$7)</f>
        <v>Total Access</v>
      </c>
      <c r="C10" s="83" t="str">
        <f>IFERROR(AVERAGEIF(GS_Pleins[Station essence],$B10,GS_Pleins[E85 station]),"")</f>
        <v/>
      </c>
      <c r="D10" s="83" t="str">
        <f>IFERROR(AVERAGEIF(GS_Pleins[Station essence],$B10,GS_Pleins[SP98 station]),"")</f>
        <v/>
      </c>
      <c r="E10" s="83" t="str">
        <f>IFERROR(AVERAGEIF(GS_Pleins[Station essence],$B10,GS_Pleins[SP95 station]),"")</f>
        <v/>
      </c>
      <c r="F10" s="83" t="str">
        <f>IFERROR(AVERAGEIF(GS_Pleins[Station essence],$B10,GS_Pleins[E10 station]),"")</f>
        <v/>
      </c>
      <c r="G10" s="83" t="str">
        <f>IFERROR(AVERAGEIF(GS_Pleins[Station essence],$B10,GS_Pleins[Gazole station]),"")</f>
        <v/>
      </c>
      <c r="H10" s="83" t="str">
        <f>IFERROR(AVERAGEIF(GS_Pleins[Station essence],$B10,GS_Pleins[GPLc station]),"")</f>
        <v/>
      </c>
      <c r="I10" s="84">
        <f>IF(Notes!$D7="","",COUNTIF(GS_Pleins!$G:$G,B10))</f>
        <v>0</v>
      </c>
    </row>
    <row r="11" spans="2:9" ht="21.95" customHeight="1" x14ac:dyDescent="0.25">
      <c r="B11" s="81" t="str">
        <f>IF(Notes!$D$8="","",Notes!$D$8)</f>
        <v/>
      </c>
      <c r="C11" s="83" t="str">
        <f>IFERROR(AVERAGEIF(GS_Pleins[Station essence],$B11,GS_Pleins[E85 station]),"")</f>
        <v/>
      </c>
      <c r="D11" s="83" t="str">
        <f>IFERROR(AVERAGEIF(GS_Pleins[Station essence],$B11,GS_Pleins[SP98 station]),"")</f>
        <v/>
      </c>
      <c r="E11" s="83" t="str">
        <f>IFERROR(AVERAGEIF(GS_Pleins[Station essence],$B11,GS_Pleins[SP95 station]),"")</f>
        <v/>
      </c>
      <c r="F11" s="83" t="str">
        <f>IFERROR(AVERAGEIF(GS_Pleins[Station essence],$B11,GS_Pleins[E10 station]),"")</f>
        <v/>
      </c>
      <c r="G11" s="83" t="str">
        <f>IFERROR(AVERAGEIF(GS_Pleins[Station essence],$B11,GS_Pleins[Gazole station]),"")</f>
        <v/>
      </c>
      <c r="H11" s="83" t="str">
        <f>IFERROR(AVERAGEIF(GS_Pleins[Station essence],$B11,GS_Pleins[GPLc station]),"")</f>
        <v/>
      </c>
      <c r="I11" s="84" t="str">
        <f>IF(Notes!$D8="","",COUNTIF(GS_Pleins!$G:$G,B11))</f>
        <v/>
      </c>
    </row>
    <row r="12" spans="2:9" ht="21.95" customHeight="1" x14ac:dyDescent="0.25">
      <c r="B12" s="82" t="str">
        <f>IF(Notes!$D$9="","",Notes!$D$9)</f>
        <v/>
      </c>
      <c r="C12" s="83" t="str">
        <f>IFERROR(AVERAGEIF(GS_Pleins[Station essence],$B12,GS_Pleins[E85 station]),"")</f>
        <v/>
      </c>
      <c r="D12" s="83" t="str">
        <f>IFERROR(AVERAGEIF(GS_Pleins[Station essence],$B12,GS_Pleins[SP98 station]),"")</f>
        <v/>
      </c>
      <c r="E12" s="83" t="str">
        <f>IFERROR(AVERAGEIF(GS_Pleins[Station essence],$B12,GS_Pleins[SP95 station]),"")</f>
        <v/>
      </c>
      <c r="F12" s="83" t="str">
        <f>IFERROR(AVERAGEIF(GS_Pleins[Station essence],$B12,GS_Pleins[E10 station]),"")</f>
        <v/>
      </c>
      <c r="G12" s="83" t="str">
        <f>IFERROR(AVERAGEIF(GS_Pleins[Station essence],$B12,GS_Pleins[Gazole station]),"")</f>
        <v/>
      </c>
      <c r="H12" s="83" t="str">
        <f>IFERROR(AVERAGEIF(GS_Pleins[Station essence],$B12,GS_Pleins[GPLc station]),"")</f>
        <v/>
      </c>
      <c r="I12" s="84" t="str">
        <f>IF(Notes!$D9="","",COUNTIF(GS_Pleins!$G:$G,B12))</f>
        <v/>
      </c>
    </row>
    <row r="13" spans="2:9" ht="21.95" customHeight="1" x14ac:dyDescent="0.25">
      <c r="B13" s="81" t="str">
        <f>IF(Notes!$D$10="","",Notes!$D$10)</f>
        <v/>
      </c>
      <c r="C13" s="83" t="str">
        <f>IFERROR(AVERAGEIF(GS_Pleins[Station essence],$B13,GS_Pleins[E85 station]),"")</f>
        <v/>
      </c>
      <c r="D13" s="83" t="str">
        <f>IFERROR(AVERAGEIF(GS_Pleins[Station essence],$B13,GS_Pleins[SP98 station]),"")</f>
        <v/>
      </c>
      <c r="E13" s="83" t="str">
        <f>IFERROR(AVERAGEIF(GS_Pleins[Station essence],$B13,GS_Pleins[SP95 station]),"")</f>
        <v/>
      </c>
      <c r="F13" s="83" t="str">
        <f>IFERROR(AVERAGEIF(GS_Pleins[Station essence],$B13,GS_Pleins[E10 station]),"")</f>
        <v/>
      </c>
      <c r="G13" s="83" t="str">
        <f>IFERROR(AVERAGEIF(GS_Pleins[Station essence],$B13,GS_Pleins[Gazole station]),"")</f>
        <v/>
      </c>
      <c r="H13" s="83" t="str">
        <f>IFERROR(AVERAGEIF(GS_Pleins[Station essence],$B13,GS_Pleins[GPLc station]),"")</f>
        <v/>
      </c>
      <c r="I13" s="84" t="str">
        <f>IF(Notes!$D10="","",COUNTIF(GS_Pleins!$G:$G,B13))</f>
        <v/>
      </c>
    </row>
    <row r="14" spans="2:9" ht="21.95" customHeight="1" x14ac:dyDescent="0.25">
      <c r="B14" s="82" t="str">
        <f>IF(Notes!$D$11="","",Notes!$D$11)</f>
        <v/>
      </c>
      <c r="C14" s="83" t="str">
        <f>IFERROR(AVERAGEIF(GS_Pleins[Station essence],$B14,GS_Pleins[E85 station]),"")</f>
        <v/>
      </c>
      <c r="D14" s="83" t="str">
        <f>IFERROR(AVERAGEIF(GS_Pleins[Station essence],$B14,GS_Pleins[SP98 station]),"")</f>
        <v/>
      </c>
      <c r="E14" s="83" t="str">
        <f>IFERROR(AVERAGEIF(GS_Pleins[Station essence],$B14,GS_Pleins[SP95 station]),"")</f>
        <v/>
      </c>
      <c r="F14" s="83" t="str">
        <f>IFERROR(AVERAGEIF(GS_Pleins[Station essence],$B14,GS_Pleins[E10 station]),"")</f>
        <v/>
      </c>
      <c r="G14" s="83" t="str">
        <f>IFERROR(AVERAGEIF(GS_Pleins[Station essence],$B14,GS_Pleins[Gazole station]),"")</f>
        <v/>
      </c>
      <c r="H14" s="83" t="str">
        <f>IFERROR(AVERAGEIF(GS_Pleins[Station essence],$B14,GS_Pleins[GPLc station]),"")</f>
        <v/>
      </c>
      <c r="I14" s="84" t="str">
        <f>IF(Notes!$D11="","",COUNTIF(GS_Pleins!$G:$G,B14))</f>
        <v/>
      </c>
    </row>
    <row r="15" spans="2:9" ht="21.95" customHeight="1" x14ac:dyDescent="0.25">
      <c r="B15" s="81" t="str">
        <f>IF(Notes!$D$12="","",Notes!$D$12)</f>
        <v/>
      </c>
      <c r="C15" s="83" t="str">
        <f>IFERROR(AVERAGEIF(GS_Pleins[Station essence],$B15,GS_Pleins[E85 station]),"")</f>
        <v/>
      </c>
      <c r="D15" s="83" t="str">
        <f>IFERROR(AVERAGEIF(GS_Pleins[Station essence],$B15,GS_Pleins[SP98 station]),"")</f>
        <v/>
      </c>
      <c r="E15" s="83" t="str">
        <f>IFERROR(AVERAGEIF(GS_Pleins[Station essence],$B15,GS_Pleins[SP95 station]),"")</f>
        <v/>
      </c>
      <c r="F15" s="83" t="str">
        <f>IFERROR(AVERAGEIF(GS_Pleins[Station essence],$B15,GS_Pleins[E10 station]),"")</f>
        <v/>
      </c>
      <c r="G15" s="83" t="str">
        <f>IFERROR(AVERAGEIF(GS_Pleins[Station essence],$B15,GS_Pleins[Gazole station]),"")</f>
        <v/>
      </c>
      <c r="H15" s="83" t="str">
        <f>IFERROR(AVERAGEIF(GS_Pleins[Station essence],$B15,GS_Pleins[GPLc station]),"")</f>
        <v/>
      </c>
      <c r="I15" s="84" t="str">
        <f>IF(Notes!$D12="","",COUNTIF(GS_Pleins!$G:$G,B15))</f>
        <v/>
      </c>
    </row>
    <row r="16" spans="2:9" ht="21.95" customHeight="1" x14ac:dyDescent="0.25">
      <c r="B16" s="82" t="str">
        <f>IF(Notes!$D$13="","",Notes!$D$13)</f>
        <v/>
      </c>
      <c r="C16" s="83" t="str">
        <f>IFERROR(AVERAGEIF(GS_Pleins[Station essence],$B16,GS_Pleins[E85 station]),"")</f>
        <v/>
      </c>
      <c r="D16" s="83" t="str">
        <f>IFERROR(AVERAGEIF(GS_Pleins[Station essence],$B16,GS_Pleins[SP98 station]),"")</f>
        <v/>
      </c>
      <c r="E16" s="83" t="str">
        <f>IFERROR(AVERAGEIF(GS_Pleins[Station essence],$B16,GS_Pleins[SP95 station]),"")</f>
        <v/>
      </c>
      <c r="F16" s="83" t="str">
        <f>IFERROR(AVERAGEIF(GS_Pleins[Station essence],$B16,GS_Pleins[E10 station]),"")</f>
        <v/>
      </c>
      <c r="G16" s="83" t="str">
        <f>IFERROR(AVERAGEIF(GS_Pleins[Station essence],$B16,GS_Pleins[Gazole station]),"")</f>
        <v/>
      </c>
      <c r="H16" s="83" t="str">
        <f>IFERROR(AVERAGEIF(GS_Pleins[Station essence],$B16,GS_Pleins[GPLc station]),"")</f>
        <v/>
      </c>
      <c r="I16" s="84" t="str">
        <f>IF(Notes!$D13="","",COUNTIF(GS_Pleins!$G:$G,B16))</f>
        <v/>
      </c>
    </row>
    <row r="17" spans="2:9" ht="26.1" customHeight="1" x14ac:dyDescent="0.25">
      <c r="B17" s="85" t="s">
        <v>277</v>
      </c>
      <c r="C17" s="86" t="str">
        <f>IFERROR(AVERAGEIF(#REF!,"&gt;"&amp;0),"")</f>
        <v/>
      </c>
      <c r="D17" s="86" t="str">
        <f>IFERROR(AVERAGEIF(#REF!,"&gt;"&amp;0),"")</f>
        <v/>
      </c>
      <c r="E17" s="86" t="str">
        <f>IFERROR(AVERAGEIF(#REF!,"&gt;"&amp;0),"")</f>
        <v/>
      </c>
      <c r="F17" s="86" t="str">
        <f>IFERROR(AVERAGEIF(#REF!,"&gt;"&amp;0),"")</f>
        <v/>
      </c>
      <c r="G17" s="86" t="str">
        <f>IFERROR(AVERAGEIF(#REF!,"&gt;"&amp;0),"")</f>
        <v/>
      </c>
      <c r="H17" s="86" t="str">
        <f>IFERROR(AVERAGEIF(#REF!,"&gt;"&amp;0),"")</f>
        <v/>
      </c>
      <c r="I17" s="87"/>
    </row>
    <row r="18" spans="2:9" ht="6.75" customHeight="1" x14ac:dyDescent="0.25"/>
    <row r="19" spans="2:9" ht="20.100000000000001" customHeight="1" x14ac:dyDescent="0.25">
      <c r="B19" s="146" t="s">
        <v>304</v>
      </c>
      <c r="C19" s="147"/>
      <c r="D19" s="147"/>
      <c r="E19" s="147"/>
      <c r="F19" s="147"/>
      <c r="G19" s="147"/>
    </row>
    <row r="20" spans="2:9" ht="18" customHeight="1" x14ac:dyDescent="0.25">
      <c r="B20" s="146"/>
      <c r="C20" s="147"/>
      <c r="D20" s="147"/>
      <c r="E20" s="147"/>
      <c r="F20" s="147"/>
      <c r="G20" s="147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tabSelected="1" workbookViewId="0">
      <selection activeCell="F2" sqref="F2"/>
    </sheetView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0"/>
    </row>
    <row r="2" spans="1:3" x14ac:dyDescent="0.25">
      <c r="A2" s="149" t="s">
        <v>384</v>
      </c>
      <c r="B2" s="151"/>
    </row>
    <row r="3" spans="1:3" x14ac:dyDescent="0.25">
      <c r="A3" s="150" t="s">
        <v>385</v>
      </c>
      <c r="B3" s="151">
        <v>200</v>
      </c>
    </row>
    <row r="4" spans="1:3" x14ac:dyDescent="0.25">
      <c r="A4" s="111" t="s">
        <v>1</v>
      </c>
      <c r="B4" s="111" t="s">
        <v>361</v>
      </c>
      <c r="C4" s="111" t="s">
        <v>276</v>
      </c>
    </row>
    <row r="5" spans="1:3" x14ac:dyDescent="0.25">
      <c r="A5" s="112">
        <v>46146</v>
      </c>
      <c r="B5" s="113">
        <v>0.80900000000000005</v>
      </c>
      <c r="C5" t="s">
        <v>335</v>
      </c>
    </row>
    <row r="6" spans="1:3" x14ac:dyDescent="0.25">
      <c r="A6" s="112">
        <v>46148</v>
      </c>
      <c r="B6" s="113">
        <v>0.747</v>
      </c>
      <c r="C6" t="s">
        <v>335</v>
      </c>
    </row>
    <row r="7" spans="1:3" x14ac:dyDescent="0.25">
      <c r="A7" s="112">
        <v>46151</v>
      </c>
      <c r="B7" s="113">
        <v>0.75700000000000001</v>
      </c>
      <c r="C7" t="s">
        <v>335</v>
      </c>
    </row>
    <row r="8" spans="1:3" x14ac:dyDescent="0.25">
      <c r="A8" s="112">
        <v>46154</v>
      </c>
      <c r="B8" s="113">
        <v>0.83499999999999996</v>
      </c>
      <c r="C8" t="s">
        <v>335</v>
      </c>
    </row>
    <row r="9" spans="1:3" x14ac:dyDescent="0.25">
      <c r="A9" s="112">
        <v>46157</v>
      </c>
      <c r="B9" s="113">
        <v>0.71699999999999997</v>
      </c>
      <c r="C9" t="s">
        <v>335</v>
      </c>
    </row>
    <row r="10" spans="1:3" x14ac:dyDescent="0.25">
      <c r="A10" s="112">
        <v>46161</v>
      </c>
      <c r="B10" s="113">
        <v>0.79800000000000004</v>
      </c>
      <c r="C10" t="s">
        <v>335</v>
      </c>
    </row>
    <row r="11" spans="1:3" x14ac:dyDescent="0.25">
      <c r="A11" s="112">
        <v>46164.083333333336</v>
      </c>
      <c r="B11" s="113">
        <v>0.79800000000000004</v>
      </c>
      <c r="C11" t="s">
        <v>335</v>
      </c>
    </row>
    <row r="43" spans="1:3" x14ac:dyDescent="0.25">
      <c r="A43" s="114" t="s">
        <v>362</v>
      </c>
    </row>
    <row r="44" spans="1:3" x14ac:dyDescent="0.25">
      <c r="A44" s="115" t="s">
        <v>1</v>
      </c>
      <c r="B44" s="115" t="s">
        <v>363</v>
      </c>
      <c r="C44" s="115" t="s">
        <v>308</v>
      </c>
    </row>
    <row r="45" spans="1:3" x14ac:dyDescent="0.25">
      <c r="A45" s="112">
        <v>46135</v>
      </c>
      <c r="B45" s="116">
        <v>5.4</v>
      </c>
      <c r="C45" t="s">
        <v>315</v>
      </c>
    </row>
    <row r="46" spans="1:3" x14ac:dyDescent="0.25">
      <c r="A46" s="112">
        <v>46140</v>
      </c>
      <c r="B46" s="116">
        <v>5.39</v>
      </c>
      <c r="C46" t="s">
        <v>315</v>
      </c>
    </row>
    <row r="47" spans="1:3" x14ac:dyDescent="0.25">
      <c r="A47" s="112">
        <v>46146</v>
      </c>
      <c r="B47" s="116">
        <v>5.62</v>
      </c>
      <c r="C47" t="s">
        <v>315</v>
      </c>
    </row>
    <row r="48" spans="1:3" x14ac:dyDescent="0.25">
      <c r="A48" s="112">
        <v>46148</v>
      </c>
      <c r="B48" s="116">
        <v>5.97</v>
      </c>
      <c r="C48" t="s">
        <v>315</v>
      </c>
    </row>
    <row r="49" spans="1:3" x14ac:dyDescent="0.25">
      <c r="A49" s="112">
        <v>46151</v>
      </c>
      <c r="B49" s="116">
        <v>6.76</v>
      </c>
      <c r="C49" t="s">
        <v>315</v>
      </c>
    </row>
    <row r="50" spans="1:3" x14ac:dyDescent="0.25">
      <c r="A50" s="112">
        <v>46154</v>
      </c>
      <c r="B50" s="116">
        <v>7.04</v>
      </c>
      <c r="C50" t="s">
        <v>315</v>
      </c>
    </row>
    <row r="51" spans="1:3" x14ac:dyDescent="0.25">
      <c r="A51" s="112">
        <v>46157</v>
      </c>
      <c r="B51" s="116">
        <v>6.59</v>
      </c>
      <c r="C51" t="s">
        <v>315</v>
      </c>
    </row>
    <row r="52" spans="1:3" x14ac:dyDescent="0.25">
      <c r="A52" s="112">
        <v>46161</v>
      </c>
      <c r="B52" s="116">
        <v>6.77</v>
      </c>
      <c r="C52" t="s">
        <v>315</v>
      </c>
    </row>
    <row r="53" spans="1:3" x14ac:dyDescent="0.25">
      <c r="A53" s="112">
        <v>46164.083333333336</v>
      </c>
      <c r="B53" s="116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G40" sqref="G40"/>
    </sheetView>
  </sheetViews>
  <sheetFormatPr baseColWidth="10" defaultColWidth="14" defaultRowHeight="15.75" x14ac:dyDescent="0.25"/>
  <cols>
    <col min="1" max="1" width="3.25" style="75" customWidth="1"/>
    <col min="2" max="2" width="19.375" style="75" customWidth="1"/>
    <col min="3" max="3" width="1.125" style="75" customWidth="1"/>
    <col min="4" max="4" width="31.5" style="75" customWidth="1"/>
    <col min="5" max="16384" width="14" style="75"/>
  </cols>
  <sheetData>
    <row r="1" spans="2:4" ht="9.75" customHeight="1" x14ac:dyDescent="0.25"/>
    <row r="2" spans="2:4" x14ac:dyDescent="0.25">
      <c r="B2" s="75" t="s">
        <v>272</v>
      </c>
      <c r="D2" s="75" t="s">
        <v>275</v>
      </c>
    </row>
    <row r="3" spans="2:4" x14ac:dyDescent="0.25">
      <c r="B3" s="75" t="s">
        <v>274</v>
      </c>
      <c r="D3" s="75" t="s">
        <v>345</v>
      </c>
    </row>
    <row r="4" spans="2:4" x14ac:dyDescent="0.25">
      <c r="B4" s="75" t="s">
        <v>273</v>
      </c>
      <c r="D4" s="75" t="s">
        <v>335</v>
      </c>
    </row>
    <row r="5" spans="2:4" x14ac:dyDescent="0.25">
      <c r="B5" s="75" t="s">
        <v>81</v>
      </c>
      <c r="D5" s="75" t="s">
        <v>346</v>
      </c>
    </row>
    <row r="6" spans="2:4" x14ac:dyDescent="0.25">
      <c r="B6" s="75" t="s">
        <v>100</v>
      </c>
      <c r="D6" s="75" t="s">
        <v>367</v>
      </c>
    </row>
    <row r="7" spans="2:4" x14ac:dyDescent="0.25">
      <c r="D7" s="130" t="s">
        <v>295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7D1D1-76AC-4AB0-BD73-E47081F63388}">
  <sheetPr codeName="Feuil9"/>
  <dimension ref="A1:AA12"/>
  <sheetViews>
    <sheetView workbookViewId="0"/>
  </sheetViews>
  <sheetFormatPr baseColWidth="10" defaultRowHeight="15.75" x14ac:dyDescent="0.25"/>
  <cols>
    <col min="7" max="7" width="11" style="152"/>
    <col min="12" max="12" width="11" style="152"/>
  </cols>
  <sheetData>
    <row r="1" spans="1:27" x14ac:dyDescent="0.25">
      <c r="A1" t="s">
        <v>386</v>
      </c>
      <c r="B1" t="s">
        <v>387</v>
      </c>
      <c r="C1" t="s">
        <v>388</v>
      </c>
      <c r="D1" t="s">
        <v>389</v>
      </c>
      <c r="E1" t="s">
        <v>390</v>
      </c>
      <c r="G1" s="152" t="s">
        <v>1</v>
      </c>
      <c r="H1" t="s">
        <v>391</v>
      </c>
      <c r="I1" t="s">
        <v>392</v>
      </c>
      <c r="J1" t="s">
        <v>393</v>
      </c>
      <c r="L1" s="152" t="s">
        <v>1</v>
      </c>
      <c r="M1" t="s">
        <v>363</v>
      </c>
      <c r="O1" t="s">
        <v>308</v>
      </c>
      <c r="P1" t="s">
        <v>394</v>
      </c>
      <c r="Q1" t="s">
        <v>395</v>
      </c>
      <c r="S1" t="s">
        <v>386</v>
      </c>
      <c r="T1" t="s">
        <v>396</v>
      </c>
      <c r="U1" t="s">
        <v>397</v>
      </c>
      <c r="W1" t="s">
        <v>398</v>
      </c>
      <c r="X1" t="s">
        <v>399</v>
      </c>
      <c r="Z1" t="s">
        <v>406</v>
      </c>
      <c r="AA1" t="s">
        <v>407</v>
      </c>
    </row>
    <row r="2" spans="1:27" x14ac:dyDescent="0.25">
      <c r="A2" t="s">
        <v>400</v>
      </c>
      <c r="B2">
        <v>79.73</v>
      </c>
      <c r="C2">
        <v>0</v>
      </c>
      <c r="D2">
        <v>0</v>
      </c>
      <c r="E2">
        <v>16.7</v>
      </c>
      <c r="G2" s="152">
        <v>46131</v>
      </c>
      <c r="J2">
        <v>1.9730000000000001</v>
      </c>
      <c r="L2" s="152">
        <v>46135</v>
      </c>
      <c r="M2">
        <v>5.3971631205673765</v>
      </c>
      <c r="O2" t="s">
        <v>315</v>
      </c>
      <c r="P2">
        <v>6.75</v>
      </c>
      <c r="Q2">
        <v>7.48</v>
      </c>
      <c r="S2" t="s">
        <v>400</v>
      </c>
      <c r="T2">
        <v>79.73</v>
      </c>
      <c r="W2" t="s">
        <v>402</v>
      </c>
      <c r="X2">
        <v>2026</v>
      </c>
      <c r="Z2" t="s">
        <v>408</v>
      </c>
      <c r="AA2">
        <v>80</v>
      </c>
    </row>
    <row r="3" spans="1:27" x14ac:dyDescent="0.25">
      <c r="A3" t="s">
        <v>401</v>
      </c>
      <c r="B3">
        <v>86.91</v>
      </c>
      <c r="C3">
        <v>80.400000000000006</v>
      </c>
      <c r="D3">
        <v>80.400000000000006</v>
      </c>
      <c r="E3">
        <v>33.299999999999997</v>
      </c>
      <c r="G3" s="152">
        <v>46135</v>
      </c>
      <c r="J3">
        <v>1.9259999999999999</v>
      </c>
      <c r="L3" s="152">
        <v>46140</v>
      </c>
      <c r="M3">
        <v>5.3921568627450984</v>
      </c>
      <c r="S3" t="s">
        <v>401</v>
      </c>
      <c r="T3">
        <v>86.91</v>
      </c>
      <c r="W3" t="s">
        <v>403</v>
      </c>
      <c r="X3">
        <v>11</v>
      </c>
      <c r="Z3" t="s">
        <v>409</v>
      </c>
      <c r="AA3">
        <v>200</v>
      </c>
    </row>
    <row r="4" spans="1:27" x14ac:dyDescent="0.25">
      <c r="G4" s="152">
        <v>46140</v>
      </c>
      <c r="J4">
        <v>2.0310000000000001</v>
      </c>
      <c r="L4" s="152">
        <v>46146</v>
      </c>
      <c r="M4">
        <v>5.6225490196078436</v>
      </c>
      <c r="W4" t="s">
        <v>306</v>
      </c>
      <c r="X4">
        <v>150.5</v>
      </c>
    </row>
    <row r="5" spans="1:27" x14ac:dyDescent="0.25">
      <c r="G5" s="152">
        <v>46146</v>
      </c>
      <c r="H5">
        <v>0.80900000000000005</v>
      </c>
      <c r="L5" s="152">
        <v>46148</v>
      </c>
      <c r="M5">
        <v>5.9744897959183678</v>
      </c>
      <c r="W5" t="s">
        <v>404</v>
      </c>
      <c r="X5">
        <v>167</v>
      </c>
    </row>
    <row r="6" spans="1:27" x14ac:dyDescent="0.25">
      <c r="G6" s="152">
        <v>46148</v>
      </c>
      <c r="H6">
        <v>0.747</v>
      </c>
      <c r="L6" s="152">
        <v>46151</v>
      </c>
      <c r="M6">
        <v>6.7610619469026547</v>
      </c>
      <c r="W6" t="s">
        <v>360</v>
      </c>
      <c r="X6">
        <v>2229</v>
      </c>
    </row>
    <row r="7" spans="1:27" x14ac:dyDescent="0.25">
      <c r="G7" s="152">
        <v>46151</v>
      </c>
      <c r="H7">
        <v>0.75700000000000001</v>
      </c>
      <c r="L7" s="152">
        <v>46154</v>
      </c>
      <c r="M7">
        <v>7.0404040404040398</v>
      </c>
      <c r="W7" t="s">
        <v>405</v>
      </c>
      <c r="X7" t="s">
        <v>335</v>
      </c>
    </row>
    <row r="8" spans="1:27" x14ac:dyDescent="0.25">
      <c r="G8" s="152">
        <v>46154</v>
      </c>
      <c r="H8">
        <v>0.83499999999999996</v>
      </c>
      <c r="L8" s="152">
        <v>46157</v>
      </c>
      <c r="M8">
        <v>6.5862068965517233</v>
      </c>
    </row>
    <row r="9" spans="1:27" x14ac:dyDescent="0.25">
      <c r="G9" s="152">
        <v>46157</v>
      </c>
      <c r="H9">
        <v>0.71699999999999997</v>
      </c>
      <c r="L9" s="152">
        <v>46161</v>
      </c>
      <c r="M9">
        <v>6.7727272727272734</v>
      </c>
    </row>
    <row r="10" spans="1:27" x14ac:dyDescent="0.25">
      <c r="G10" s="152">
        <v>46161</v>
      </c>
      <c r="H10">
        <v>0.79800000000000004</v>
      </c>
      <c r="L10" s="152">
        <v>46164</v>
      </c>
      <c r="M10">
        <v>6.9148936170212769</v>
      </c>
    </row>
    <row r="11" spans="1:27" x14ac:dyDescent="0.25">
      <c r="G11" s="152">
        <v>46164</v>
      </c>
      <c r="H11">
        <v>0.79800000000000004</v>
      </c>
      <c r="L11" s="152">
        <v>46170</v>
      </c>
      <c r="M11">
        <v>6.3</v>
      </c>
    </row>
    <row r="12" spans="1:27" x14ac:dyDescent="0.25">
      <c r="G12" s="152">
        <v>46170</v>
      </c>
      <c r="H12">
        <v>0.84899999999999998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Claude Log</vt:lpstr>
      <vt:lpstr>Tableau de bord</vt:lpstr>
      <vt:lpstr>GS_Pleins</vt:lpstr>
      <vt:lpstr>Suivi (auto)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2026-05-31T02:54:56Z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