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96E13C2E-400B-42FF-821D-4449F7B5E888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Tableau de bord" sheetId="10" r:id="rId2"/>
    <sheet name="GS_Pleins" sheetId="8" state="hidden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GS_Pleins!$A$1:$O$12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D16" i="2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B16" i="2"/>
  <c r="B17" i="2"/>
  <c r="B18" i="2"/>
  <c r="B19" i="2"/>
  <c r="B20" i="2"/>
  <c r="B21" i="2"/>
  <c r="B22" i="2"/>
  <c r="B23" i="2"/>
  <c r="B24" i="2"/>
  <c r="B25" i="2"/>
  <c r="B26" i="2"/>
  <c r="J15" i="11"/>
  <c r="G15" i="11"/>
  <c r="F15" i="11"/>
  <c r="H15" i="11" s="1"/>
  <c r="D15" i="11"/>
  <c r="C15" i="11"/>
  <c r="B15" i="11"/>
  <c r="A15" i="11"/>
  <c r="J14" i="11"/>
  <c r="G14" i="11"/>
  <c r="F14" i="11"/>
  <c r="H14" i="11" s="1"/>
  <c r="D14" i="11"/>
  <c r="C14" i="11"/>
  <c r="B14" i="11"/>
  <c r="A14" i="11"/>
  <c r="J13" i="11"/>
  <c r="G13" i="11"/>
  <c r="F13" i="11"/>
  <c r="D13" i="11"/>
  <c r="C13" i="11"/>
  <c r="B13" i="11"/>
  <c r="A13" i="11"/>
  <c r="J12" i="11"/>
  <c r="H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H10" i="11" s="1"/>
  <c r="D10" i="11"/>
  <c r="C10" i="11"/>
  <c r="B10" i="11"/>
  <c r="A10" i="11"/>
  <c r="J9" i="11"/>
  <c r="G9" i="11"/>
  <c r="F9" i="11"/>
  <c r="H9" i="11" s="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H6" i="11" s="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E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5" i="11" l="1"/>
  <c r="H7" i="11"/>
  <c r="E12" i="11"/>
  <c r="I12" i="11" s="1"/>
  <c r="E13" i="11"/>
  <c r="I13" i="11" s="1"/>
  <c r="H8" i="11"/>
  <c r="E10" i="11"/>
  <c r="I10" i="11" s="1"/>
  <c r="E11" i="11"/>
  <c r="I11" i="11" s="1"/>
  <c r="I26" i="2"/>
  <c r="H26" i="2" s="1"/>
  <c r="E8" i="11"/>
  <c r="I8" i="11" s="1"/>
  <c r="E9" i="11"/>
  <c r="I9" i="11" s="1"/>
  <c r="H13" i="11"/>
  <c r="E6" i="11"/>
  <c r="I6" i="11" s="1"/>
  <c r="E7" i="11"/>
  <c r="I7" i="11" s="1"/>
  <c r="H11" i="11"/>
  <c r="E14" i="11"/>
  <c r="I14" i="11" s="1"/>
  <c r="E15" i="11"/>
  <c r="I15" i="11" s="1"/>
  <c r="B31" i="2"/>
  <c r="J26" i="2"/>
  <c r="B29" i="2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L16" i="2" s="1"/>
  <c r="K18" i="2"/>
  <c r="I18" i="2"/>
  <c r="H18" i="2" s="1"/>
  <c r="I19" i="2"/>
  <c r="I20" i="2"/>
  <c r="H20" i="2" s="1"/>
  <c r="I21" i="2"/>
  <c r="H21" i="2" s="1"/>
  <c r="I23" i="2"/>
  <c r="H23" i="2" s="1"/>
  <c r="I16" i="2"/>
  <c r="H16" i="2" l="1"/>
  <c r="N16" i="2"/>
  <c r="B35" i="2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N26" i="2" l="1"/>
  <c r="Q24" i="2" s="1" a="1"/>
  <c r="Q24" i="2" s="1"/>
  <c r="S24" i="2" s="1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Q32" i="2" l="1" a="1"/>
  <c r="Q32" i="2" s="1"/>
  <c r="R25" i="2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<sst xmlns="http://schemas.openxmlformats.org/spreadsheetml/2006/main" count="518" uniqueCount="397">
  <si>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</si>
  <si>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</si>
  <si>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</si>
  <si>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</si>
  <si>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</si>
  <si>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</si>
  <si>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</si>
  <si>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</si>
  <si>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</si>
  <si>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</si>
  <si>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</si>
  <si>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</si>
  <si>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</si>
  <si>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</si>
  <si>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</si>
  <si>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</si>
  <si>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</si>
  <si>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</si>
  <si>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</si>
  <si>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</si>
  <si>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</si>
  <si>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</si>
  <si>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</si>
  <si>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</si>
  <si>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</si>
  <si>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</si>
  <si>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</si>
  <si>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</si>
  <si>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</si>
  <si>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</si>
  <si>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</si>
  <si>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</si>
  <si>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</si>
  <si>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</si>
  <si>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</si>
  <si>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</si>
  <si>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</si>
  <si>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</si>
  <si>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</si>
  <si>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</si>
  <si>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</si>
  <si>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</si>
  <si>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</si>
  <si>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</si>
  <si>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</si>
  <si>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</si>
  <si>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</si>
  <si>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</si>
  <si>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</si>
  <si>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</si>
  <si>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</si>
  <si>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</si>
  <si>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</si>
  <si>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</si>
  <si>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</si>
  <si>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</si>
  <si>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</si>
  <si>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</si>
  <si>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</si>
  <si>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</si>
  <si>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</si>
  <si>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</si>
  <si>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</si>
  <si>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</si>
  <si>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</si>
  <si>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</si>
  <si>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</si>
  <si>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</si>
  <si>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</si>
  <si>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</si>
  <si>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</si>
  <si>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</si>
  <si>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</si>
  <si>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</si>
  <si>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</si>
  <si>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</si>
  <si>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</si>
  <si>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</si>
  <si>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</si>
  <si>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</si>
  <si>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</si>
  <si>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</si>
  <si>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</si>
  <si>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</si>
  <si>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</si>
  <si>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</si>
  <si>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</si>
  <si>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</si>
  <si>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</si>
  <si>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</si>
  <si>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</si>
  <si>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</si>
  <si>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</si>
  <si>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</si>
  <si>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</si>
  <si>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</si>
  <si>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</si>
  <si>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</si>
  <si>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</si>
  <si>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</si>
  <si>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</si>
  <si>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</si>
  <si>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</si>
  <si>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</si>
  <si>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</si>
  <si>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</si>
  <si>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</si>
  <si>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</si>
  <si>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</si>
  <si>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</si>
  <si>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</si>
  <si>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</si>
  <si>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</si>
  <si>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</si>
  <si>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</si>
  <si>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</si>
  <si>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</si>
  <si>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</si>
  <si>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</si>
  <si>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</si>
  <si>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</si>
  <si>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</si>
  <si>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</si>
  <si>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</si>
  <si>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</si>
  <si>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</si>
  <si>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</si>
  <si>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</si>
  <si>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</si>
  <si>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</si>
  <si>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</si>
  <si>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</si>
  <si>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</si>
  <si>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</si>
  <si>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</si>
  <si>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</si>
  <si>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</si>
  <si>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</si>
  <si>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</si>
  <si>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</si>
  <si>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</si>
  <si>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</si>
  <si>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</si>
  <si>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</si>
  <si>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</si>
  <si>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</si>
  <si>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</si>
  <si>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</si>
  <si>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</si>
  <si>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</si>
  <si>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</si>
  <si>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</si>
  <si>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</si>
  <si>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</si>
  <si>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</si>
  <si>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</si>
  <si>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</si>
  <si>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</si>
  <si>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</si>
  <si>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</si>
  <si>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</si>
  <si>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</si>
  <si>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</si>
  <si>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</si>
  <si>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</si>
  <si>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</si>
  <si>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</si>
  <si>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</si>
  <si>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</si>
  <si>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</si>
  <si>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</si>
  <si>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</si>
  <si>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</si>
  <si>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</si>
  <si>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</si>
  <si>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</si>
  <si>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</si>
  <si>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</si>
  <si>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</si>
  <si>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</si>
  <si>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</si>
  <si>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</si>
  <si>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</si>
  <si>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</si>
  <si>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</si>
  <si>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</si>
  <si>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</si>
  <si>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</si>
  <si>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</si>
  <si>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</si>
  <si>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</si>
  <si>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</si>
  <si>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</si>
  <si>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</si>
  <si>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</si>
  <si>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</si>
  <si>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</si>
  <si>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</si>
  <si>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</si>
  <si>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</si>
  <si>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</si>
  <si>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</si>
  <si>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</si>
  <si>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</si>
  <si>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</si>
  <si>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</si>
  <si>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</si>
  <si>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</si>
  <si>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</si>
  <si>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</si>
  <si>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</si>
  <si>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</si>
  <si>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</si>
  <si>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</si>
  <si>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</si>
  <si>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</si>
  <si>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</si>
  <si>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</si>
  <si>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</si>
  <si>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</si>
  <si>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</si>
  <si>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</si>
  <si>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</si>
  <si>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</si>
  <si>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</si>
  <si>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</si>
  <si>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</si>
  <si>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</si>
  <si>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</si>
  <si>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</si>
  <si>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</si>
  <si>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</si>
  <si>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</si>
  <si>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</si>
  <si>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</si>
  <si>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</si>
  <si>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</si>
  <si>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</si>
  <si>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</si>
  <si>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</si>
  <si>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</si>
  <si>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</si>
  <si>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</si>
  <si>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</si>
  <si>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</si>
  <si>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</si>
  <si>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</si>
  <si>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</si>
  <si>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</si>
  <si>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</si>
  <si>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</si>
  <si>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</si>
  <si>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</si>
  <si>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</si>
  <si>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</si>
  <si>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</si>
  <si>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</si>
  <si>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</si>
  <si>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</si>
  <si>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</si>
  <si>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</si>
  <si>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</si>
  <si>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</si>
  <si>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</si>
  <si>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</si>
  <si>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</si>
  <si>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</si>
  <si>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</si>
  <si>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</si>
  <si>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</si>
  <si>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</si>
  <si>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</si>
  <si>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</si>
  <si>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</si>
  <si>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</si>
  <si>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</si>
  <si>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</si>
  <si>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</si>
  <si>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</si>
  <si>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</si>
  <si>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</si>
  <si>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</si>
  <si>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</si>
  <si>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</si>
  <si>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</si>
  <si>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</si>
  <si>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</si>
  <si>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</si>
  <si>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</si>
  <si>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</si>
  <si>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</si>
  <si>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</si>
  <si>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</si>
  <si>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</si>
  <si>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</si>
  <si>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</si>
  <si>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</si>
  <si>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</si>
  <si>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</si>
  <si>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</si>
  <si>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</si>
  <si>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</si>
  <si>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</si>
  <si>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</si>
  <si>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</si>
  <si>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</si>
  <si>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</si>
  <si>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</si>
  <si>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</si>
  <si>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</si>
  <si>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</si>
  <si>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</si>
  <si>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</si>
  <si>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</si>
  <si>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</si>
  <si>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</si>
  <si>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</si>
  <si>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</si>
  <si>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</si>
  <si>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</si>
  <si>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</si>
  <si>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</si>
  <si>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</si>
  <si>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</si>
  <si>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</si>
  <si>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</si>
  <si>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</si>
  <si>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</si>
  <si>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</si>
  <si>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</si>
  <si>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</si>
  <si>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</si>
  <si>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</si>
  <si>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</si>
  <si>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</si>
  <si>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</si>
  <si>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</si>
  <si>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</si>
  <si>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</si>
  <si>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</si>
  <si>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</si>
  <si>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</si>
  <si>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</si>
  <si>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</si>
  <si>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</si>
  <si>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</si>
  <si>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</si>
  <si>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</si>
  <si>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</si>
  <si>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</si>
  <si>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</si>
  <si>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</si>
  <si>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</si>
  <si>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</si>
  <si>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</si>
  <si>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</si>
  <si>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</si>
  <si>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</si>
  <si>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</si>
  <si>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</si>
  <si>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</si>
  <si>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</si>
  <si>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</si>
  <si>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</si>
  <si>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</si>
  <si>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</si>
  <si>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</si>
  <si>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</si>
  <si>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</si>
  <si>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</si>
  <si>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</si>
  <si>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</si>
  <si>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</si>
  <si>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</si>
  <si>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</si>
  <si>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5/22/2026 2:00:00</t>
  </si>
  <si>
    <t>4/19/2026</t>
  </si>
  <si>
    <t>4/19/2026 2:00:00</t>
  </si>
  <si>
    <t>4/23/2026</t>
  </si>
  <si>
    <t>4/23/2026 2:00:00</t>
  </si>
  <si>
    <t>4/28/2026</t>
  </si>
  <si>
    <t>4/28/2026 2:00:00</t>
  </si>
  <si>
    <t>5/4/2026</t>
  </si>
  <si>
    <t>5/4/2026 2:00:00</t>
  </si>
  <si>
    <t>5/6/2026</t>
  </si>
  <si>
    <t>5/6/2026 2:00:00</t>
  </si>
  <si>
    <t>5/9/2026</t>
  </si>
  <si>
    <t>5/9/2026 2:00:00</t>
  </si>
  <si>
    <t>5/12/2026</t>
  </si>
  <si>
    <t>5/12/2026 2:00:00</t>
  </si>
  <si>
    <t>5/15/2026</t>
  </si>
  <si>
    <t>5/15/2026 2:00:00</t>
  </si>
  <si>
    <t>5/19/2026</t>
  </si>
  <si>
    <t>5/19/2026 2:00:00</t>
  </si>
  <si>
    <t>5/29/2026 3:54:38</t>
  </si>
  <si>
    <t>5/28/2026 2:00:00</t>
  </si>
  <si>
    <t>sync_id2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</si>
</sst>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9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0" fillId="0" borderId="0" xfId="0" applyAlignment="1">
      <alignment horizontal="center"/>
    </xf>
    <xf numFmtId="14" fontId="0" fillId="0" borderId="12" xfId="0" applyNumberFormat="1" applyBorder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31" fillId="3" borderId="0" xfId="0" applyFont="1" applyFill="1" applyAlignment="1" applyProtection="1">
      <alignment horizontal="left" vertical="center"/>
    </xf>
    <xf numFmtId="0" fontId="31" fillId="3" borderId="0" xfId="0" applyFont="1" applyFill="1" applyAlignment="1" applyProtection="1">
      <alignment vertical="center"/>
    </xf>
    <xf numFmtId="0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1" fillId="22" borderId="0" xfId="0" applyFont="1" applyFill="1"/>
    <xf numFmtId="0" fontId="32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2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0" unboundColumnsRight="2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Q12" tableType="queryTable" totalsRowShown="0" headerRowDxfId="49" dataDxfId="48">
  <autoFilter ref="A1:Q12" xr:uid="{74CBBEF5-DAC6-4FFF-B9BF-F912C02B05A8}"/>
  <sortState xmlns:xlrd2="http://schemas.microsoft.com/office/spreadsheetml/2017/richdata2" ref="A2:Q12">
    <sortCondition ref="B1:B12"/>
  </sortState>
  <tableColumns count="17">
    <tableColumn id="1" xr3:uid="{D1245828-BB9F-457F-9D89-03E146E97A20}" uniqueName="1" name="Horodatage" queryTableFieldId="1" dataDxfId="7"/>
    <tableColumn id="2" xr3:uid="{6AFDA1AD-8B7E-4056-B820-4B105507BC22}" uniqueName="2" name="Date" queryTableFieldId="2" dataDxfId="5"/>
    <tableColumn id="3" xr3:uid="{0E3159AD-DEC3-4CB0-8263-673EE4364DE4}" uniqueName="3" name="Type" queryTableFieldId="3" dataDxfId="6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4"/>
    <tableColumn id="16" xr3:uid="{DD5EAF57-67B9-4006-88AF-5A82745A6E1D}" uniqueName="16" name="sync_id2" queryTableFieldId="16" dataDxfId="2"/>
    <tableColumn id="7" xr3:uid="{217649AA-00FB-44C2-B916-78329111BFA4}" uniqueName="7" name="Modifie_local" queryTableFieldId="18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62D522-DDD0-4DCC-92E6-EDF444A90830}" name="DonneesExternes_1" displayName="DonneesExternes_1" ref="A1:Y12" totalsRowShown="0">
  <autoFilter ref="A1:Y12" xr:uid="{9D62D522-DDD0-4DCC-92E6-EDF444A90830}"/>
  <tableColumns count="25">
    <tableColumn id="1" xr3:uid="{818D903C-60A4-437F-AF92-01AFCAA66521}" name="Horodatage" dataDxfId="1"/>
    <tableColumn id="2" xr3:uid="{C805A44C-5846-4271-82EF-6AE38473DB04}" name="Date" dataDxfId="0"/>
    <tableColumn id="3" xr3:uid="{53BD9609-96F8-4E32-9041-AFD97DCC0B8A}" name="Type"/>
    <tableColumn id="4" xr3:uid="{D7A7B853-659B-4AE9-B809-75FBABF6A17A}" name="Km compteur"/>
    <tableColumn id="5" xr3:uid="{13E945BB-F3B7-435C-A079-CCDD1FF848D3}" name="Nb. Litres"/>
    <tableColumn id="6" xr3:uid="{F740E72A-6063-4F36-8EAD-BDF4A7F97505}" name="Prix €/L"/>
    <tableColumn id="7" xr3:uid="{780D816F-7B11-49FD-A509-A653E593D5B5}" name="Station essence"/>
    <tableColumn id="8" xr3:uid="{9C371EC6-076F-4AFF-80CF-C5F98365EE84}" name="Véhicule"/>
    <tableColumn id="9" xr3:uid="{1B78F71D-D74C-4DD8-A887-35C9AADB8470}" name="E85 station (€/L)"/>
    <tableColumn id="10" xr3:uid="{B088AF6D-B690-4658-8DC0-BF584668C90D}" name="SP98 station (€/L)"/>
    <tableColumn id="11" xr3:uid="{CAC03C0B-F5AF-41BF-95C9-41B63770CCAB}" name="SP95 station (€/L)"/>
    <tableColumn id="12" xr3:uid="{C0FF16DF-8EA6-4474-8AF5-6F9FED31CD42}" name="E10 station (€/L)"/>
    <tableColumn id="13" xr3:uid="{79F273ED-72E7-48CD-A1A0-F97405564794}" name="Gazole station (€/L)"/>
    <tableColumn id="14" xr3:uid="{B5B1D5FF-3F3F-4630-AB02-C753142E0E36}" name="GPLc station (€/L)"/>
    <tableColumn id="15" xr3:uid="{DB5EAA7E-E5A1-474C-B016-B45D4D6BFDD1}" name="sync_id"/>
    <tableColumn id="16" xr3:uid="{4542BF5C-29EB-41A8-B14B-3A00EB01D5C7}" name="Photo ticket"/>
    <tableColumn id="17" xr3:uid="{A06AE65E-3031-42AA-AE4C-B65E980D926F}" name="Colonne1"/>
    <tableColumn id="18" xr3:uid="{10ABFF74-7AFA-4E1E-BB63-2ED8844E9C2E}" name="Colonne2"/>
    <tableColumn id="19" xr3:uid="{D7CB63B4-25C5-4112-897C-9292476ECDB7}" name="Colonne3"/>
    <tableColumn id="20" xr3:uid="{28D03FB3-29A2-4DBC-9A6A-C8283A5DC723}" name="Colonne4"/>
    <tableColumn id="21" xr3:uid="{EF69BEB8-1EB0-40B7-BABC-E700E66CD539}" name="Colonne5"/>
    <tableColumn id="22" xr3:uid="{F2F1DB1C-B84B-4658-9284-C89FF76F17E8}" name="Colonne6"/>
    <tableColumn id="23" xr3:uid="{1B281790-0323-4412-840B-E6044D85E31F}" name="Colonne7"/>
    <tableColumn id="24" xr3:uid="{8D9462D3-56CD-48F0-98C4-7A77F899946A}" name="Colonne8"/>
    <tableColumn id="25" xr3:uid="{0240993F-08B1-434A-982A-45D8A5E97728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33" dataDxfId="31" headerRowBorderDxfId="32" tableBorderDxfId="30" totalsRowBorderDxfId="29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8">
      <calculatedColumnFormula>IF(B16="","",A15+1)</calculatedColumnFormula>
    </tableColumn>
    <tableColumn id="2" xr3:uid="{D9E9EBFF-BC9D-4E59-9822-91D7DEC1E7CE}" name="Date" dataDxfId="27">
      <calculatedColumnFormula>IFERROR(INDEX(GS_Pleins[Date],ROW()-15),"")</calculatedColumnFormula>
    </tableColumn>
    <tableColumn id="11" xr3:uid="{A77486BA-32D8-4661-BA23-1144AE2FD0EC}" name="Type" dataDxfId="26">
      <calculatedColumnFormula array="1">IFERROR(INDEX(GS_Pleins[Type],ROW()-ROW(Tableau2[#Headers])),"")</calculatedColumnFormula>
    </tableColumn>
    <tableColumn id="3" xr3:uid="{6C87F133-7224-4AAB-ACB2-666E8B7315B5}" name="Km compteur" dataDxfId="25">
      <calculatedColumnFormula>IFERROR(INDEX(GS_Pleins[Km],ROW()-15),"")</calculatedColumnFormula>
    </tableColumn>
    <tableColumn id="15" xr3:uid="{E9E70181-907F-4D1A-BD9D-156B992A2880}" name="Nb. km" dataDxfId="24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3">
      <calculatedColumnFormula>IFERROR(INDEX(GS_Pleins[Litres],ROW()-15),"")</calculatedColumnFormula>
    </tableColumn>
    <tableColumn id="5" xr3:uid="{A61BA34E-E60B-4F70-A1D9-62090C37C449}" name="Prix €/L" dataDxfId="22">
      <calculatedColumnFormula>IFERROR(INDEX(GS_Pleins[PrixL],ROW()-15),"")</calculatedColumnFormula>
    </tableColumn>
    <tableColumn id="13" xr3:uid="{C796B9E8-7AC6-4345-B44F-194876D2515D}" name="Coût c€/km" dataDxfId="21">
      <calculatedColumnFormula>IF(OR(D16="",D15="",I16="",ISTEXT(D15)),"",F16/(D16-D15)*100)</calculatedColumnFormula>
    </tableColumn>
    <tableColumn id="6" xr3:uid="{7A10B093-08A0-4955-A678-47B342940366}" name="Coût Plein (€)" dataDxfId="20">
      <calculatedColumnFormula>IF(F16="","",F16*G16)</calculatedColumnFormula>
    </tableColumn>
    <tableColumn id="7" xr3:uid="{0D4F331E-E5DE-4D78-8EE4-6B964BF0DB88}" name="Conso. (L/100km)" dataDxfId="19">
      <calculatedColumnFormula>IF(OR(D16="",D15="",F16="",ISTEXT(D15)),"",F16/(D16-D15)*100)</calculatedColumnFormula>
    </tableColumn>
    <tableColumn id="8" xr3:uid="{8C4BCB7E-42BC-494E-A304-19A9848326C2}" name="Prix S98 jour (€/L)" dataDxfId="18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7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6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5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4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3" dataDxfId="1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10" dataDxfId="9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6" t="s">
        <v>347</v>
      </c>
      <c r="B1" s="137"/>
    </row>
    <row r="2" spans="1:2" x14ac:dyDescent="0.25">
      <c r="A2" s="138" t="s">
        <v>348</v>
      </c>
      <c r="B2" s="137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 t="e">
        <f ca="1">SUMPRODUCT((YEAR(GS_Pleins[Date])=YEAR(TODAY()))*GS_Pleins[Litres]*GS_Pleins[PrixL])</f>
        <v>#VALUE!</v>
      </c>
    </row>
    <row r="8" spans="1:2" ht="26.1" customHeight="1" x14ac:dyDescent="0.3">
      <c r="A8" s="100" t="s">
        <v>354</v>
      </c>
      <c r="B8" s="103" t="e">
        <f ca="1">SUMPRODUCT((YEAR(GS_Pleins[Date])=YEAR(TODAY()))*1)</f>
        <v>#VALUE!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140.74416250000002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</v>
      </c>
    </row>
    <row r="12" spans="1:2" ht="26.1" customHeight="1" x14ac:dyDescent="0.3">
      <c r="A12" s="100" t="s">
        <v>358</v>
      </c>
      <c r="B12" s="107">
        <f>IFERROR(MAX(GS_Pleins[Horodatage]),"")</f>
        <v>0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2"/>
  <sheetViews>
    <sheetView zoomScale="70" zoomScaleNormal="70" workbookViewId="0">
      <selection activeCell="C19" sqref="C19"/>
    </sheetView>
  </sheetViews>
  <sheetFormatPr baseColWidth="10" defaultRowHeight="15.75" x14ac:dyDescent="0.25"/>
  <cols>
    <col min="1" max="1" width="18.125" style="92" bestFit="1" customWidth="1"/>
    <col min="2" max="2" width="16.875" style="92" bestFit="1" customWidth="1"/>
    <col min="3" max="3" width="15.875" style="92" bestFit="1" customWidth="1"/>
    <col min="4" max="4" width="9.625" style="92" customWidth="1"/>
    <col min="5" max="5" width="11.5" style="92" bestFit="1" customWidth="1"/>
    <col min="6" max="6" width="11" style="92" bestFit="1" customWidth="1"/>
    <col min="7" max="7" width="19.7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36.25" style="125" bestFit="1" customWidth="1"/>
    <col min="16" max="16" width="36.25" style="119" bestFit="1" customWidth="1"/>
    <col min="17" max="17" width="19" style="119" bestFit="1" customWidth="1"/>
    <col min="18" max="16384" width="11" style="92"/>
  </cols>
  <sheetData>
    <row r="1" spans="1:17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t="s">
        <v>333</v>
      </c>
      <c r="P1" s="95" t="s">
        <v>396</v>
      </c>
      <c r="Q1" s="118" t="s">
        <v>366</v>
      </c>
    </row>
    <row r="2" spans="1:17" x14ac:dyDescent="0.25">
      <c r="A2" s="95" t="s">
        <v>376</v>
      </c>
      <c r="B2" s="148" t="s">
        <v>377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135" t="s">
        <v>336</v>
      </c>
      <c r="P2" s="95"/>
      <c r="Q2" s="95"/>
    </row>
    <row r="3" spans="1:17" x14ac:dyDescent="0.25">
      <c r="A3" s="95" t="s">
        <v>378</v>
      </c>
      <c r="B3" s="148" t="s">
        <v>379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135" t="s">
        <v>337</v>
      </c>
      <c r="P3" s="95"/>
      <c r="Q3" s="95"/>
    </row>
    <row r="4" spans="1:17" x14ac:dyDescent="0.25">
      <c r="A4" s="95" t="s">
        <v>380</v>
      </c>
      <c r="B4" s="148" t="s">
        <v>381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135" t="s">
        <v>338</v>
      </c>
      <c r="P4" s="95"/>
      <c r="Q4" s="95"/>
    </row>
    <row r="5" spans="1:17" x14ac:dyDescent="0.25">
      <c r="A5" s="95" t="s">
        <v>388</v>
      </c>
      <c r="B5" s="148" t="s">
        <v>389</v>
      </c>
      <c r="C5" s="93" t="s">
        <v>100</v>
      </c>
      <c r="D5" s="93">
        <v>11173</v>
      </c>
      <c r="E5" s="93">
        <v>13.94</v>
      </c>
      <c r="F5" s="93">
        <v>0.83499999999999996</v>
      </c>
      <c r="G5" s="93" t="s">
        <v>335</v>
      </c>
      <c r="H5" s="93" t="s">
        <v>315</v>
      </c>
      <c r="I5" s="93">
        <v>0.83499999999999996</v>
      </c>
      <c r="J5" s="93">
        <v>2.0950000000000002</v>
      </c>
      <c r="K5" s="93"/>
      <c r="L5" s="93"/>
      <c r="M5" s="93"/>
      <c r="N5" s="93"/>
      <c r="O5" s="135" t="s">
        <v>342</v>
      </c>
      <c r="P5" s="95"/>
      <c r="Q5" s="95"/>
    </row>
    <row r="6" spans="1:17" x14ac:dyDescent="0.25">
      <c r="A6" s="95" t="s">
        <v>390</v>
      </c>
      <c r="B6" s="148" t="s">
        <v>391</v>
      </c>
      <c r="C6" s="93" t="s">
        <v>100</v>
      </c>
      <c r="D6" s="93">
        <v>11376</v>
      </c>
      <c r="E6" s="93">
        <v>13.37</v>
      </c>
      <c r="F6" s="93">
        <v>0.71699999999999997</v>
      </c>
      <c r="G6" s="93" t="s">
        <v>335</v>
      </c>
      <c r="H6" s="93" t="s">
        <v>315</v>
      </c>
      <c r="I6" s="93">
        <v>0.71699999999999997</v>
      </c>
      <c r="J6" s="93">
        <v>2.0950000000000002</v>
      </c>
      <c r="K6" s="93"/>
      <c r="L6" s="93"/>
      <c r="M6" s="93"/>
      <c r="N6" s="93"/>
      <c r="O6" s="135" t="s">
        <v>343</v>
      </c>
      <c r="P6" s="95"/>
      <c r="Q6" s="95"/>
    </row>
    <row r="7" spans="1:17" x14ac:dyDescent="0.25">
      <c r="A7" s="95" t="s">
        <v>392</v>
      </c>
      <c r="B7" s="148" t="s">
        <v>393</v>
      </c>
      <c r="C7" s="93" t="s">
        <v>100</v>
      </c>
      <c r="D7" s="93">
        <v>11596</v>
      </c>
      <c r="E7" s="93">
        <v>14.9</v>
      </c>
      <c r="F7" s="93">
        <v>0.79800000000000004</v>
      </c>
      <c r="G7" s="93" t="s">
        <v>335</v>
      </c>
      <c r="H7" s="93" t="s">
        <v>315</v>
      </c>
      <c r="I7" s="93">
        <v>0.79800000000000004</v>
      </c>
      <c r="J7" s="93">
        <v>2.0910000000000002</v>
      </c>
      <c r="K7" s="93"/>
      <c r="L7" s="93"/>
      <c r="M7" s="93"/>
      <c r="N7" s="93"/>
      <c r="O7" s="135" t="s">
        <v>344</v>
      </c>
      <c r="P7" s="95"/>
      <c r="Q7" s="95"/>
    </row>
    <row r="8" spans="1:17" x14ac:dyDescent="0.25">
      <c r="A8" s="95" t="s">
        <v>374</v>
      </c>
      <c r="B8" s="148" t="s">
        <v>375</v>
      </c>
      <c r="C8" s="93" t="s">
        <v>100</v>
      </c>
      <c r="D8" s="93">
        <v>11831</v>
      </c>
      <c r="E8" s="93">
        <v>16.25</v>
      </c>
      <c r="F8" s="93">
        <v>0.79800000000000004</v>
      </c>
      <c r="G8" s="93" t="s">
        <v>335</v>
      </c>
      <c r="H8" s="93" t="s">
        <v>315</v>
      </c>
      <c r="I8" s="93">
        <v>0.79800000000000004</v>
      </c>
      <c r="J8" s="93"/>
      <c r="K8" s="93"/>
      <c r="L8" s="93"/>
      <c r="M8" s="93"/>
      <c r="N8" s="93"/>
      <c r="O8" s="135" t="s">
        <v>334</v>
      </c>
      <c r="P8" s="95"/>
      <c r="Q8" s="95"/>
    </row>
    <row r="9" spans="1:17" x14ac:dyDescent="0.25">
      <c r="A9" s="95" t="s">
        <v>394</v>
      </c>
      <c r="B9" s="148" t="s">
        <v>395</v>
      </c>
      <c r="C9" s="93" t="s">
        <v>100</v>
      </c>
      <c r="D9" s="93">
        <v>12041</v>
      </c>
      <c r="E9" s="93">
        <v>13.23</v>
      </c>
      <c r="F9" s="93">
        <v>0.84899999999999998</v>
      </c>
      <c r="G9" s="93" t="s">
        <v>345</v>
      </c>
      <c r="H9" s="93" t="s">
        <v>315</v>
      </c>
      <c r="I9" s="93">
        <v>0.84899999999999998</v>
      </c>
      <c r="J9" s="93">
        <v>2.1789999999999998</v>
      </c>
      <c r="K9" s="93">
        <v>2.089</v>
      </c>
      <c r="L9" s="93">
        <v>2.0390000000000001</v>
      </c>
      <c r="M9" s="93">
        <v>2.0990000000000002</v>
      </c>
      <c r="N9" s="93">
        <v>0.96899999999999997</v>
      </c>
      <c r="O9" s="135" t="s">
        <v>367</v>
      </c>
      <c r="P9" s="95"/>
      <c r="Q9" s="95"/>
    </row>
    <row r="10" spans="1:17" x14ac:dyDescent="0.25">
      <c r="A10" s="95" t="s">
        <v>382</v>
      </c>
      <c r="B10" s="148" t="s">
        <v>383</v>
      </c>
      <c r="C10" s="93" t="s">
        <v>100</v>
      </c>
      <c r="D10" s="93">
        <v>10553</v>
      </c>
      <c r="E10" s="93">
        <v>11.47</v>
      </c>
      <c r="F10" s="93">
        <v>0.80900000000000005</v>
      </c>
      <c r="G10" s="93" t="s">
        <v>335</v>
      </c>
      <c r="H10" s="93" t="s">
        <v>315</v>
      </c>
      <c r="I10" s="93">
        <v>0.80900000000000005</v>
      </c>
      <c r="J10" s="93">
        <v>2.0790000000000002</v>
      </c>
      <c r="K10" s="93"/>
      <c r="L10" s="93"/>
      <c r="M10" s="93"/>
      <c r="N10" s="93"/>
      <c r="O10" s="135" t="s">
        <v>339</v>
      </c>
      <c r="P10" s="95"/>
      <c r="Q10" s="95"/>
    </row>
    <row r="11" spans="1:17" x14ac:dyDescent="0.25">
      <c r="A11" s="95" t="s">
        <v>384</v>
      </c>
      <c r="B11" s="148" t="s">
        <v>385</v>
      </c>
      <c r="C11" s="93" t="s">
        <v>100</v>
      </c>
      <c r="D11" s="93">
        <v>10749</v>
      </c>
      <c r="E11" s="93">
        <v>11.71</v>
      </c>
      <c r="F11" s="93">
        <v>0.747</v>
      </c>
      <c r="G11" s="93" t="s">
        <v>335</v>
      </c>
      <c r="H11" s="93" t="s">
        <v>315</v>
      </c>
      <c r="I11" s="93">
        <v>0.747</v>
      </c>
      <c r="J11" s="93">
        <v>2.0979999999999999</v>
      </c>
      <c r="K11" s="93"/>
      <c r="L11" s="93"/>
      <c r="M11" s="93"/>
      <c r="N11" s="93"/>
      <c r="O11" s="135" t="s">
        <v>340</v>
      </c>
      <c r="P11" s="95"/>
      <c r="Q11" s="95"/>
    </row>
    <row r="12" spans="1:17" x14ac:dyDescent="0.25">
      <c r="A12" s="95" t="s">
        <v>386</v>
      </c>
      <c r="B12" s="148" t="s">
        <v>387</v>
      </c>
      <c r="C12" s="93" t="s">
        <v>100</v>
      </c>
      <c r="D12" s="93">
        <v>10975</v>
      </c>
      <c r="E12" s="93">
        <v>15.28</v>
      </c>
      <c r="F12" s="93">
        <v>0.75700000000000001</v>
      </c>
      <c r="G12" s="93" t="s">
        <v>335</v>
      </c>
      <c r="H12" s="93" t="s">
        <v>315</v>
      </c>
      <c r="I12" s="93">
        <v>0.75700000000000001</v>
      </c>
      <c r="J12" s="93">
        <v>2.0979999999999999</v>
      </c>
      <c r="K12" s="93"/>
      <c r="L12" s="93"/>
      <c r="M12" s="93"/>
      <c r="N12" s="93"/>
      <c r="O12" s="135" t="s">
        <v>341</v>
      </c>
      <c r="P12" s="95"/>
      <c r="Q12" s="95"/>
    </row>
  </sheetData>
  <conditionalFormatting sqref="F2:F12">
    <cfRule type="expression" dxfId="51" priority="1">
      <formula>AND($F2&lt;&gt;"",ISNUMBER($F2),$F2&lt;AVERAGEIFS(F:F,C:C,$C2,B:B,"&gt;="&amp;$B2-30,B:B," &lt;="&amp;$B2))</formula>
    </cfRule>
    <cfRule type="expression" dxfId="50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9" t="s">
        <v>370</v>
      </c>
      <c r="B1" s="139"/>
      <c r="C1" s="139"/>
      <c r="D1" s="139"/>
      <c r="E1" s="139"/>
      <c r="F1" s="139"/>
      <c r="G1" s="139"/>
      <c r="H1" s="139"/>
      <c r="I1" s="139"/>
      <c r="J1" s="139"/>
    </row>
    <row r="2" spans="1:10" ht="16.5" customHeight="1" x14ac:dyDescent="0.25">
      <c r="A2" s="140" t="s">
        <v>371</v>
      </c>
      <c r="B2" s="140"/>
      <c r="C2" s="140"/>
      <c r="D2" s="140"/>
      <c r="E2" s="140"/>
      <c r="F2" s="140"/>
      <c r="G2" s="140"/>
      <c r="H2" s="140"/>
      <c r="I2" s="140"/>
      <c r="J2" s="140"/>
    </row>
    <row r="3" spans="1:10" ht="6" customHeight="1" x14ac:dyDescent="0.25"/>
    <row r="4" spans="1:10" ht="24" customHeight="1" x14ac:dyDescent="0.25">
      <c r="A4" s="120" t="s">
        <v>1</v>
      </c>
      <c r="B4" s="120" t="s">
        <v>55</v>
      </c>
      <c r="C4" s="120" t="s">
        <v>308</v>
      </c>
      <c r="D4" s="120" t="s">
        <v>12</v>
      </c>
      <c r="E4" s="120" t="s">
        <v>372</v>
      </c>
      <c r="F4" s="120" t="s">
        <v>56</v>
      </c>
      <c r="G4" s="120" t="s">
        <v>57</v>
      </c>
      <c r="H4" s="120" t="s">
        <v>373</v>
      </c>
      <c r="I4" s="120" t="s">
        <v>365</v>
      </c>
      <c r="J4" s="120" t="s">
        <v>271</v>
      </c>
    </row>
    <row r="5" spans="1:10" x14ac:dyDescent="0.25">
      <c r="A5" s="126" t="str">
        <f>IFERROR(INDEX(GS_Pleins[Date],1),"")</f>
        <v>4/19/2026 2:00:00</v>
      </c>
      <c r="B5" s="121" t="str">
        <f>IFERROR(INDEX(GS_Pleins[Type],1),"")</f>
        <v>Super 98</v>
      </c>
      <c r="C5" s="121" t="str">
        <f>IFERROR(INDEX(GS_Pleins[Vehicule],1),"")</f>
        <v>Z900</v>
      </c>
      <c r="D5" s="122">
        <f>IFERROR(INDEX(GS_Pleins[Km],1),"")</f>
        <v>9812</v>
      </c>
      <c r="E5" s="122"/>
      <c r="F5" s="123">
        <f>IFERROR(INDEX(GS_Pleins[Litres],1),"")</f>
        <v>11.4</v>
      </c>
      <c r="G5" s="124">
        <f>IFERROR(INDEX(GS_Pleins[PrixL],1),"")</f>
        <v>1.9730000000000001</v>
      </c>
      <c r="H5" s="123">
        <f t="shared" ref="H5:H15" si="0">IFERROR($F5*$G5,"")</f>
        <v>22.4922</v>
      </c>
      <c r="I5" s="123" t="str">
        <f t="shared" ref="I5:I15" si="1">IFERROR(IF(AND(ISNUMBER($E5),$E5&gt;0),$F5/$E5*100,""),"")</f>
        <v/>
      </c>
      <c r="J5" s="121" t="str">
        <f>IFERROR(INDEX(GS_Pleins[Station essence],1),"")</f>
        <v>Carrefour - Flers</v>
      </c>
    </row>
    <row r="6" spans="1:10" x14ac:dyDescent="0.25">
      <c r="A6" s="126" t="str">
        <f>IFERROR(INDEX(GS_Pleins[Date],2),"")</f>
        <v>4/23/2026 2:00:00</v>
      </c>
      <c r="B6" s="121" t="str">
        <f>IFERROR(INDEX(GS_Pleins[Type],2),"")</f>
        <v>Super 98</v>
      </c>
      <c r="C6" s="121" t="str">
        <f>IFERROR(INDEX(GS_Pleins[Vehicule],2),"")</f>
        <v>Z900</v>
      </c>
      <c r="D6" s="122">
        <f>IFERROR(INDEX(GS_Pleins[Km],2),"")</f>
        <v>10094</v>
      </c>
      <c r="E6" s="122">
        <f t="shared" ref="E6:E15" si="2">IFERROR(IF($C6=$C5,$D6-$D5,""),"")</f>
        <v>282</v>
      </c>
      <c r="F6" s="123">
        <f>IFERROR(INDEX(GS_Pleins[Litres],2),"")</f>
        <v>15.22</v>
      </c>
      <c r="G6" s="124">
        <f>IFERROR(INDEX(GS_Pleins[PrixL],2),"")</f>
        <v>1.9259999999999999</v>
      </c>
      <c r="H6" s="123">
        <f t="shared" si="0"/>
        <v>29.31372</v>
      </c>
      <c r="I6" s="123">
        <f t="shared" si="1"/>
        <v>5.3971631205673765</v>
      </c>
      <c r="J6" s="121" t="str">
        <f>IFERROR(INDEX(GS_Pleins[Station essence],2),"")</f>
        <v>Carrefour - Flers</v>
      </c>
    </row>
    <row r="7" spans="1:10" x14ac:dyDescent="0.25">
      <c r="A7" s="126" t="str">
        <f>IFERROR(INDEX(GS_Pleins[Date],3),"")</f>
        <v>4/28/2026 2:00:00</v>
      </c>
      <c r="B7" s="121" t="str">
        <f>IFERROR(INDEX(GS_Pleins[Type],3),"")</f>
        <v>Super 98</v>
      </c>
      <c r="C7" s="121" t="str">
        <f>IFERROR(INDEX(GS_Pleins[Vehicule],3),"")</f>
        <v>Z900</v>
      </c>
      <c r="D7" s="122">
        <f>IFERROR(INDEX(GS_Pleins[Km],3),"")</f>
        <v>10349</v>
      </c>
      <c r="E7" s="122">
        <f t="shared" si="2"/>
        <v>255</v>
      </c>
      <c r="F7" s="123">
        <f>IFERROR(INDEX(GS_Pleins[Litres],3),"")</f>
        <v>13.75</v>
      </c>
      <c r="G7" s="124">
        <f>IFERROR(INDEX(GS_Pleins[PrixL],3),"")</f>
        <v>2.0310000000000001</v>
      </c>
      <c r="H7" s="123">
        <f t="shared" si="0"/>
        <v>27.926250000000003</v>
      </c>
      <c r="I7" s="123">
        <f t="shared" si="1"/>
        <v>5.3921568627450984</v>
      </c>
      <c r="J7" s="121" t="str">
        <f>IFERROR(INDEX(GS_Pleins[Station essence],3),"")</f>
        <v>Leclerc - Douai</v>
      </c>
    </row>
    <row r="8" spans="1:10" x14ac:dyDescent="0.25">
      <c r="A8" s="126" t="str">
        <f>IFERROR(INDEX(GS_Pleins[Date],4),"")</f>
        <v>5/12/2026 2:00:00</v>
      </c>
      <c r="B8" s="121" t="str">
        <f>IFERROR(INDEX(GS_Pleins[Type],4),"")</f>
        <v>SuperEthanol E85</v>
      </c>
      <c r="C8" s="121" t="str">
        <f>IFERROR(INDEX(GS_Pleins[Vehicule],4),"")</f>
        <v>Z900</v>
      </c>
      <c r="D8" s="122">
        <f>IFERROR(INDEX(GS_Pleins[Km],4),"")</f>
        <v>11173</v>
      </c>
      <c r="E8" s="122">
        <f t="shared" si="2"/>
        <v>824</v>
      </c>
      <c r="F8" s="123">
        <f>IFERROR(INDEX(GS_Pleins[Litres],4),"")</f>
        <v>13.94</v>
      </c>
      <c r="G8" s="124">
        <f>IFERROR(INDEX(GS_Pleins[PrixL],4),"")</f>
        <v>0.83499999999999996</v>
      </c>
      <c r="H8" s="123">
        <f t="shared" si="0"/>
        <v>11.639899999999999</v>
      </c>
      <c r="I8" s="123">
        <f t="shared" si="1"/>
        <v>1.691747572815534</v>
      </c>
      <c r="J8" s="121" t="str">
        <f>IFERROR(INDEX(GS_Pleins[Station essence],4),"")</f>
        <v>E.Leclerc - Beuvry</v>
      </c>
    </row>
    <row r="9" spans="1:10" x14ac:dyDescent="0.25">
      <c r="A9" s="126" t="str">
        <f>IFERROR(INDEX(GS_Pleins[Date],5),"")</f>
        <v>5/15/2026 2:00:00</v>
      </c>
      <c r="B9" s="121" t="str">
        <f>IFERROR(INDEX(GS_Pleins[Type],5),"")</f>
        <v>SuperEthanol E85</v>
      </c>
      <c r="C9" s="121" t="str">
        <f>IFERROR(INDEX(GS_Pleins[Vehicule],5),"")</f>
        <v>Z900</v>
      </c>
      <c r="D9" s="122">
        <f>IFERROR(INDEX(GS_Pleins[Km],5),"")</f>
        <v>11376</v>
      </c>
      <c r="E9" s="122">
        <f t="shared" si="2"/>
        <v>203</v>
      </c>
      <c r="F9" s="123">
        <f>IFERROR(INDEX(GS_Pleins[Litres],5),"")</f>
        <v>13.37</v>
      </c>
      <c r="G9" s="124">
        <f>IFERROR(INDEX(GS_Pleins[PrixL],5),"")</f>
        <v>0.71699999999999997</v>
      </c>
      <c r="H9" s="123">
        <f t="shared" si="0"/>
        <v>9.5862899999999982</v>
      </c>
      <c r="I9" s="123">
        <f t="shared" si="1"/>
        <v>6.5862068965517233</v>
      </c>
      <c r="J9" s="121" t="str">
        <f>IFERROR(INDEX(GS_Pleins[Station essence],5),"")</f>
        <v>E.Leclerc - Beuvry</v>
      </c>
    </row>
    <row r="10" spans="1:10" x14ac:dyDescent="0.25">
      <c r="A10" s="126" t="str">
        <f>IFERROR(INDEX(GS_Pleins[Date],6),"")</f>
        <v>5/19/2026 2:00:00</v>
      </c>
      <c r="B10" s="121" t="str">
        <f>IFERROR(INDEX(GS_Pleins[Type],6),"")</f>
        <v>SuperEthanol E85</v>
      </c>
      <c r="C10" s="121" t="str">
        <f>IFERROR(INDEX(GS_Pleins[Vehicule],6),"")</f>
        <v>Z900</v>
      </c>
      <c r="D10" s="122">
        <f>IFERROR(INDEX(GS_Pleins[Km],6),"")</f>
        <v>11596</v>
      </c>
      <c r="E10" s="122">
        <f t="shared" si="2"/>
        <v>220</v>
      </c>
      <c r="F10" s="123">
        <f>IFERROR(INDEX(GS_Pleins[Litres],6),"")</f>
        <v>14.9</v>
      </c>
      <c r="G10" s="124">
        <f>IFERROR(INDEX(GS_Pleins[PrixL],6),"")</f>
        <v>0.79800000000000004</v>
      </c>
      <c r="H10" s="123">
        <f t="shared" si="0"/>
        <v>11.8902</v>
      </c>
      <c r="I10" s="123">
        <f t="shared" si="1"/>
        <v>6.7727272727272734</v>
      </c>
      <c r="J10" s="121" t="str">
        <f>IFERROR(INDEX(GS_Pleins[Station essence],6),"")</f>
        <v>E.Leclerc - Beuvry</v>
      </c>
    </row>
    <row r="11" spans="1:10" x14ac:dyDescent="0.25">
      <c r="A11" s="126" t="str">
        <f>IFERROR(INDEX(GS_Pleins[Date],7),"")</f>
        <v>5/22/2026 2:00:00</v>
      </c>
      <c r="B11" s="121" t="str">
        <f>IFERROR(INDEX(GS_Pleins[Type],7),"")</f>
        <v>SuperEthanol E85</v>
      </c>
      <c r="C11" s="121" t="str">
        <f>IFERROR(INDEX(GS_Pleins[Vehicule],7),"")</f>
        <v>Z900</v>
      </c>
      <c r="D11" s="122">
        <f>IFERROR(INDEX(GS_Pleins[Km],7),"")</f>
        <v>11831</v>
      </c>
      <c r="E11" s="122">
        <f t="shared" si="2"/>
        <v>235</v>
      </c>
      <c r="F11" s="123">
        <f>IFERROR(INDEX(GS_Pleins[Litres],7),"")</f>
        <v>16.25</v>
      </c>
      <c r="G11" s="124">
        <f>IFERROR(INDEX(GS_Pleins[PrixL],7),"")</f>
        <v>0.79800000000000004</v>
      </c>
      <c r="H11" s="123">
        <f t="shared" si="0"/>
        <v>12.967500000000001</v>
      </c>
      <c r="I11" s="123">
        <f t="shared" si="1"/>
        <v>6.9148936170212769</v>
      </c>
      <c r="J11" s="121" t="str">
        <f>IFERROR(INDEX(GS_Pleins[Station essence],7),"")</f>
        <v>E.Leclerc - Beuvry</v>
      </c>
    </row>
    <row r="12" spans="1:10" x14ac:dyDescent="0.25">
      <c r="A12" s="126" t="str">
        <f>IFERROR(INDEX(GS_Pleins[Date],8),"")</f>
        <v>5/28/2026 2:00:00</v>
      </c>
      <c r="B12" s="121" t="str">
        <f>IFERROR(INDEX(GS_Pleins[Type],8),"")</f>
        <v>SuperEthanol E85</v>
      </c>
      <c r="C12" s="121" t="str">
        <f>IFERROR(INDEX(GS_Pleins[Vehicule],8),"")</f>
        <v>Z900</v>
      </c>
      <c r="D12" s="122">
        <f>IFERROR(INDEX(GS_Pleins[Km],8),"")</f>
        <v>12041</v>
      </c>
      <c r="E12" s="122">
        <f t="shared" si="2"/>
        <v>210</v>
      </c>
      <c r="F12" s="123">
        <f>IFERROR(INDEX(GS_Pleins[Litres],8),"")</f>
        <v>13.23</v>
      </c>
      <c r="G12" s="124">
        <f>IFERROR(INDEX(GS_Pleins[PrixL],8),"")</f>
        <v>0.84899999999999998</v>
      </c>
      <c r="H12" s="123">
        <f t="shared" si="0"/>
        <v>11.23227</v>
      </c>
      <c r="I12" s="123">
        <f t="shared" si="1"/>
        <v>6.3</v>
      </c>
      <c r="J12" s="121" t="str">
        <f>IFERROR(INDEX(GS_Pleins[Station essence],8),"")</f>
        <v>Carrefour - Flers</v>
      </c>
    </row>
    <row r="13" spans="1:10" x14ac:dyDescent="0.25">
      <c r="A13" s="126" t="str">
        <f>IFERROR(INDEX(GS_Pleins[Date],9),"")</f>
        <v>5/4/2026 2:00:00</v>
      </c>
      <c r="B13" s="121" t="str">
        <f>IFERROR(INDEX(GS_Pleins[Type],9),"")</f>
        <v>SuperEthanol E85</v>
      </c>
      <c r="C13" s="121" t="str">
        <f>IFERROR(INDEX(GS_Pleins[Vehicule],9),"")</f>
        <v>Z900</v>
      </c>
      <c r="D13" s="122">
        <f>IFERROR(INDEX(GS_Pleins[Km],9),"")</f>
        <v>10553</v>
      </c>
      <c r="E13" s="122">
        <f t="shared" si="2"/>
        <v>-1488</v>
      </c>
      <c r="F13" s="123">
        <f>IFERROR(INDEX(GS_Pleins[Litres],9),"")</f>
        <v>11.47</v>
      </c>
      <c r="G13" s="124">
        <f>IFERROR(INDEX(GS_Pleins[PrixL],9),"")</f>
        <v>0.80900000000000005</v>
      </c>
      <c r="H13" s="123">
        <f t="shared" si="0"/>
        <v>9.2792300000000019</v>
      </c>
      <c r="I13" s="123" t="str">
        <f t="shared" si="1"/>
        <v/>
      </c>
      <c r="J13" s="121" t="str">
        <f>IFERROR(INDEX(GS_Pleins[Station essence],9),"")</f>
        <v>E.Leclerc - Beuvry</v>
      </c>
    </row>
    <row r="14" spans="1:10" x14ac:dyDescent="0.25">
      <c r="A14" s="126" t="str">
        <f>IFERROR(INDEX(GS_Pleins[Date],10),"")</f>
        <v>5/6/2026 2:00:00</v>
      </c>
      <c r="B14" s="121" t="str">
        <f>IFERROR(INDEX(GS_Pleins[Type],10),"")</f>
        <v>SuperEthanol E85</v>
      </c>
      <c r="C14" s="121" t="str">
        <f>IFERROR(INDEX(GS_Pleins[Vehicule],10),"")</f>
        <v>Z900</v>
      </c>
      <c r="D14" s="122">
        <f>IFERROR(INDEX(GS_Pleins[Km],10),"")</f>
        <v>10749</v>
      </c>
      <c r="E14" s="122">
        <f t="shared" si="2"/>
        <v>196</v>
      </c>
      <c r="F14" s="123">
        <f>IFERROR(INDEX(GS_Pleins[Litres],10),"")</f>
        <v>11.71</v>
      </c>
      <c r="G14" s="124">
        <f>IFERROR(INDEX(GS_Pleins[PrixL],10),"")</f>
        <v>0.747</v>
      </c>
      <c r="H14" s="123">
        <f t="shared" si="0"/>
        <v>8.7473700000000001</v>
      </c>
      <c r="I14" s="123">
        <f t="shared" si="1"/>
        <v>5.9744897959183678</v>
      </c>
      <c r="J14" s="121" t="str">
        <f>IFERROR(INDEX(GS_Pleins[Station essence],10),"")</f>
        <v>E.Leclerc - Beuvry</v>
      </c>
    </row>
    <row r="15" spans="1:10" x14ac:dyDescent="0.25">
      <c r="A15" s="126" t="str">
        <f>IFERROR(INDEX(GS_Pleins[Date],11),"")</f>
        <v>5/9/2026 2:00:00</v>
      </c>
      <c r="B15" s="121" t="str">
        <f>IFERROR(INDEX(GS_Pleins[Type],11),"")</f>
        <v>SuperEthanol E85</v>
      </c>
      <c r="C15" s="121" t="str">
        <f>IFERROR(INDEX(GS_Pleins[Vehicule],11),"")</f>
        <v>Z900</v>
      </c>
      <c r="D15" s="122">
        <f>IFERROR(INDEX(GS_Pleins[Km],11),"")</f>
        <v>10975</v>
      </c>
      <c r="E15" s="122">
        <f t="shared" si="2"/>
        <v>226</v>
      </c>
      <c r="F15" s="123">
        <f>IFERROR(INDEX(GS_Pleins[Litres],11),"")</f>
        <v>15.28</v>
      </c>
      <c r="G15" s="124">
        <f>IFERROR(INDEX(GS_Pleins[PrixL],11),"")</f>
        <v>0.75700000000000001</v>
      </c>
      <c r="H15" s="123">
        <f t="shared" si="0"/>
        <v>11.56696</v>
      </c>
      <c r="I15" s="123">
        <f t="shared" si="1"/>
        <v>6.7610619469026547</v>
      </c>
      <c r="J15" s="121" t="str">
        <f>IFERROR(INDEX(GS_Pleins[Station essence],11),"")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3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3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3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3">
        <v>46146</v>
      </c>
      <c r="B6" s="94">
        <v>46117.083333333336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3">
        <v>46148</v>
      </c>
      <c r="B7" s="94">
        <v>46178.083333333336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3">
        <v>46151</v>
      </c>
      <c r="B8" s="94">
        <v>46270.083333333336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3">
        <v>46154</v>
      </c>
      <c r="B9" s="94">
        <v>46361.041666666664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3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3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selection activeCell="F12" sqref="F1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42" t="s">
        <v>72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34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5.0287867210754378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2.6490064546148817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-6.7821377278027617E-2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33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162.09972340710493</v>
      </c>
      <c r="C10" s="7" t="s">
        <v>104</v>
      </c>
      <c r="D10" s="4"/>
      <c r="E10" s="4"/>
      <c r="F10" s="4"/>
      <c r="G10" s="141" t="s">
        <v>107</v>
      </c>
      <c r="H10" s="141"/>
      <c r="I10" s="41"/>
      <c r="J10" s="37" t="str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En attente de plus de pleins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352.44027659289503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12336.061009296467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0.25894524505927308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0.31503813776791884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33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27" t="str">
        <f>IFERROR(INDEX(GS_Pleins[Date],ROW()-15),"")</f>
        <v>4/19/2026 2:00:00</v>
      </c>
      <c r="C16" s="128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30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27" t="str">
        <f>IFERROR(INDEX(GS_Pleins[Date],ROW()-15),"")</f>
        <v>4/23/2026 2:00:00</v>
      </c>
      <c r="C17" s="128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31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19.449914005146766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27" t="str">
        <f>IFERROR(INDEX(GS_Pleins[Date],ROW()-15),"")</f>
        <v>4/28/2026 2:00:00</v>
      </c>
      <c r="C18" s="128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30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39.954702384623985</v>
      </c>
      <c r="S18" s="3">
        <f t="shared" si="4"/>
        <v>514.54</v>
      </c>
    </row>
    <row r="19" spans="1:19" x14ac:dyDescent="0.25">
      <c r="A19" s="45">
        <f t="shared" si="3"/>
        <v>4</v>
      </c>
      <c r="B19" s="127" t="str">
        <f>IFERROR(INDEX(GS_Pleins[Date],ROW()-15),"")</f>
        <v>5/12/2026 2:00:00</v>
      </c>
      <c r="C19" s="128" t="str" cm="1">
        <f t="array" ref="C19">IFERROR(INDEX(GS_Pleins[Type],ROW()-ROW(Tableau2[#Headers])),"")</f>
        <v>SuperEthanol E85</v>
      </c>
      <c r="D19" s="46">
        <f>IFERROR(INDEX(GS_Pleins[Km],ROW()-15),"")</f>
        <v>11173</v>
      </c>
      <c r="E19" s="60">
        <f>IF(AND(ISNUMBER(D18),Tableau2[[#This Row],[Km compteur]]&lt;&gt;""),Tableau2[[#This Row],[Km compteur]]-D18,"")</f>
        <v>824</v>
      </c>
      <c r="F19" s="47">
        <f>IFERROR(INDEX(GS_Pleins[Litres],ROW()-15),"")</f>
        <v>13.94</v>
      </c>
      <c r="G19" s="48">
        <f>IFERROR(INDEX(GS_Pleins[PrixL],ROW()-15),"")</f>
        <v>0.83499999999999996</v>
      </c>
      <c r="H19" s="49">
        <f t="shared" si="0"/>
        <v>1.691747572815534</v>
      </c>
      <c r="I19" s="50">
        <f t="shared" si="1"/>
        <v>11.639899999999999</v>
      </c>
      <c r="J19" s="51">
        <f t="shared" si="2"/>
        <v>1.691747572815534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31.089814005146767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0.62560406446712513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19.449914005146766</v>
      </c>
      <c r="O19" s="130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61.599062433555218</v>
      </c>
      <c r="S19" s="3">
        <f t="shared" si="4"/>
        <v>514.54</v>
      </c>
    </row>
    <row r="20" spans="1:19" x14ac:dyDescent="0.25">
      <c r="A20" s="45">
        <f t="shared" si="3"/>
        <v>5</v>
      </c>
      <c r="B20" s="127" t="str">
        <f>IFERROR(INDEX(GS_Pleins[Date],ROW()-15),"")</f>
        <v>5/15/2026 2:00:00</v>
      </c>
      <c r="C20" s="128" t="str" cm="1">
        <f t="array" ref="C20">IFERROR(INDEX(GS_Pleins[Type],ROW()-ROW(Tableau2[#Headers])),"")</f>
        <v>SuperEthanol E85</v>
      </c>
      <c r="D20" s="46">
        <f>IFERROR(INDEX(GS_Pleins[Km],ROW()-15),"")</f>
        <v>11376</v>
      </c>
      <c r="E20" s="60">
        <f>IF(AND(ISNUMBER(D19),Tableau2[[#This Row],[Km compteur]]&lt;&gt;""),Tableau2[[#This Row],[Km compteur]]-D19,"")</f>
        <v>203</v>
      </c>
      <c r="F20" s="47">
        <f>IFERROR(INDEX(GS_Pleins[Litres],ROW()-15),"")</f>
        <v>13.37</v>
      </c>
      <c r="G20" s="48">
        <f>IFERROR(INDEX(GS_Pleins[PrixL],ROW()-15),"")</f>
        <v>0.71699999999999997</v>
      </c>
      <c r="H20" s="49">
        <f t="shared" si="0"/>
        <v>6.5862068965517233</v>
      </c>
      <c r="I20" s="50">
        <f t="shared" si="1"/>
        <v>9.5862899999999982</v>
      </c>
      <c r="J20" s="51">
        <f t="shared" si="2"/>
        <v>6.5862068965517233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30.091078379477221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0.68142417898395891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39.954702384623985</v>
      </c>
      <c r="O20" s="130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85.152191817430008</v>
      </c>
      <c r="S20" s="3">
        <f t="shared" si="4"/>
        <v>514.54</v>
      </c>
    </row>
    <row r="21" spans="1:19" x14ac:dyDescent="0.25">
      <c r="A21" s="45">
        <f t="shared" si="3"/>
        <v>6</v>
      </c>
      <c r="B21" s="127" t="str">
        <f>IFERROR(INDEX(GS_Pleins[Date],ROW()-15),"")</f>
        <v>5/19/2026 2:00:00</v>
      </c>
      <c r="C21" s="128" t="str" cm="1">
        <f t="array" ref="C21">IFERROR(INDEX(GS_Pleins[Type],ROW()-ROW(Tableau2[#Headers])),"")</f>
        <v>SuperEthanol E85</v>
      </c>
      <c r="D21" s="46">
        <f>IFERROR(INDEX(GS_Pleins[Km],ROW()-15),"")</f>
        <v>11596</v>
      </c>
      <c r="E21" s="60">
        <f>IF(AND(ISNUMBER(D20),Tableau2[[#This Row],[Km compteur]]&lt;&gt;""),Tableau2[[#This Row],[Km compteur]]-D20,"")</f>
        <v>220</v>
      </c>
      <c r="F21" s="47">
        <f>IFERROR(INDEX(GS_Pleins[Litres],ROW()-15),"")</f>
        <v>14.9</v>
      </c>
      <c r="G21" s="48">
        <f>IFERROR(INDEX(GS_Pleins[PrixL],ROW()-15),"")</f>
        <v>0.79800000000000004</v>
      </c>
      <c r="H21" s="49">
        <f>IF(OR(D21="",D20="",I21="",ISTEXT(D20)),"",F21/(D21-D20)*100)</f>
        <v>6.7727272727272734</v>
      </c>
      <c r="I21" s="50">
        <f t="shared" si="1"/>
        <v>11.8902</v>
      </c>
      <c r="J21" s="51">
        <f t="shared" si="2"/>
        <v>6.7727272727272734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33.534560048931233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0.64543444188172827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61.599062433555218</v>
      </c>
      <c r="O21" s="130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103.65333269427084</v>
      </c>
      <c r="S21" s="3">
        <f t="shared" si="4"/>
        <v>514.54</v>
      </c>
    </row>
    <row r="22" spans="1:19" x14ac:dyDescent="0.25">
      <c r="A22" s="45">
        <f t="shared" si="3"/>
        <v>7</v>
      </c>
      <c r="B22" s="127" t="str">
        <f>IFERROR(INDEX(GS_Pleins[Date],ROW()-15),"")</f>
        <v>5/22/2026 2:00:00</v>
      </c>
      <c r="C22" s="129" t="str" cm="1">
        <f t="array" ref="C22">IFERROR(INDEX(GS_Pleins[Type],ROW()-ROW(Tableau2[#Headers])),"")</f>
        <v>SuperEthanol E85</v>
      </c>
      <c r="D22" s="60">
        <f>IFERROR(INDEX(GS_Pleins[Km],ROW()-15),"")</f>
        <v>11831</v>
      </c>
      <c r="E22" s="60">
        <f>IF(AND(ISNUMBER(D21),Tableau2[[#This Row],[Km compteur]]&lt;&gt;""),Tableau2[[#This Row],[Km compteur]]-D21,"")</f>
        <v>235</v>
      </c>
      <c r="F22" s="61">
        <f>IFERROR(INDEX(GS_Pleins[Litres],ROW()-15),"")</f>
        <v>16.25</v>
      </c>
      <c r="G22" s="62">
        <f>IFERROR(INDEX(GS_Pleins[PrixL],ROW()-15),"")</f>
        <v>0.79800000000000004</v>
      </c>
      <c r="H22" s="49">
        <f t="shared" si="0"/>
        <v>6.9148936170212769</v>
      </c>
      <c r="I22" s="50">
        <f>IF(F22="","",F22*G22)</f>
        <v>12.967500000000001</v>
      </c>
      <c r="J22" s="51">
        <f t="shared" si="2"/>
        <v>6.9148936170212769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36.520629383874798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0.64492671077225106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85.152191817430008</v>
      </c>
      <c r="O22" s="130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120.10283044600486</v>
      </c>
      <c r="S22" s="3">
        <f t="shared" si="4"/>
        <v>514.54</v>
      </c>
    </row>
    <row r="23" spans="1:19" x14ac:dyDescent="0.25">
      <c r="A23" s="45">
        <f t="shared" si="3"/>
        <v>8</v>
      </c>
      <c r="B23" s="127" t="str">
        <f>IFERROR(INDEX(GS_Pleins[Date],ROW()-15),"")</f>
        <v>5/28/2026 2:00:00</v>
      </c>
      <c r="C23" s="128" t="str" cm="1">
        <f t="array" ref="C23">IFERROR(INDEX(GS_Pleins[Type],ROW()-ROW(Tableau2[#Headers])),"")</f>
        <v>SuperEthanol E85</v>
      </c>
      <c r="D23" s="46">
        <f>IFERROR(INDEX(GS_Pleins[Km],ROW()-15),"")</f>
        <v>12041</v>
      </c>
      <c r="E23" s="60">
        <f>IF(AND(ISNUMBER(D22),Tableau2[[#This Row],[Km compteur]]&lt;&gt;""),Tableau2[[#This Row],[Km compteur]]-D22,"")</f>
        <v>210</v>
      </c>
      <c r="F23" s="47">
        <f>IFERROR(INDEX(GS_Pleins[Litres],ROW()-15),"")</f>
        <v>13.23</v>
      </c>
      <c r="G23" s="48">
        <f>IFERROR(INDEX(GS_Pleins[PrixL],ROW()-15),"")</f>
        <v>0.84899999999999998</v>
      </c>
      <c r="H23" s="49">
        <f t="shared" si="0"/>
        <v>6.3</v>
      </c>
      <c r="I23" s="50">
        <f t="shared" si="1"/>
        <v>11.23227</v>
      </c>
      <c r="J23" s="51">
        <f t="shared" si="2"/>
        <v>6.3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29.733410876840836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0.62223405694942513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103.65333269427084</v>
      </c>
      <c r="O23" s="130" t="str" cm="1">
        <f t="array" ref="O23">IFERROR(INDEX(GS_Pleins[Station essence],ROW()-15),"")</f>
        <v>Carrefour - Flers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137.9491511783805</v>
      </c>
      <c r="S23" s="3">
        <f t="shared" si="4"/>
        <v>514.54</v>
      </c>
    </row>
    <row r="24" spans="1:19" x14ac:dyDescent="0.25">
      <c r="A24" s="74">
        <f>IF(B24="","",A23+1)</f>
        <v>9</v>
      </c>
      <c r="B24" s="127" t="str">
        <f>IFERROR(INDEX(GS_Pleins[Date],ROW()-15),"")</f>
        <v>5/4/2026 2:00:00</v>
      </c>
      <c r="C24" s="129" t="str" cm="1">
        <f t="array" ref="C24">IFERROR(INDEX(GS_Pleins[Type],ROW()-ROW(Tableau2[#Headers])),"")</f>
        <v>SuperEthanol E85</v>
      </c>
      <c r="D24" s="60">
        <f>IFERROR(INDEX(GS_Pleins[Km],ROW()-15),"")</f>
        <v>10553</v>
      </c>
      <c r="E24" s="60">
        <f>IF(AND(ISNUMBER(D23),Tableau2[[#This Row],[Km compteur]]&lt;&gt;""),Tableau2[[#This Row],[Km compteur]]-D23,"")</f>
        <v>-1488</v>
      </c>
      <c r="F24" s="61">
        <f>IFERROR(INDEX(GS_Pleins[Litres],ROW()-15),"")</f>
        <v>11.47</v>
      </c>
      <c r="G24" s="62">
        <f>IFERROR(INDEX(GS_Pleins[PrixL],ROW()-15),"")</f>
        <v>0.80900000000000005</v>
      </c>
      <c r="H24" s="73">
        <f>IF(OR(D24="",D23="",I24="",ISTEXT(D23)),"",F24/(D24-D23)*100)</f>
        <v>-0.77083333333333337</v>
      </c>
      <c r="I24" s="50">
        <f>IF(F24="","",F24*G24)</f>
        <v>9.2792300000000019</v>
      </c>
      <c r="J24" s="51">
        <f>IF(OR(D24="",D23="",F24="",ISTEXT(D23)),"",F24/(D24-D23)*100)</f>
        <v>-0.77083333333333337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25.728727751734016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0.63934361272975815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120.10283044600486</v>
      </c>
      <c r="O24" s="130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27" t="str">
        <f>IFERROR(INDEX(GS_Pleins[Date],ROW()-15),"")</f>
        <v>5/6/2026 2:00:00</v>
      </c>
      <c r="C25" s="129" t="str" cm="1">
        <f t="array" ref="C25">IFERROR(INDEX(GS_Pleins[Type],ROW()-ROW(Tableau2[#Headers])),"")</f>
        <v>SuperEthanol E85</v>
      </c>
      <c r="D25" s="60">
        <f>IFERROR(INDEX(GS_Pleins[Km],ROW()-15),"")</f>
        <v>10749</v>
      </c>
      <c r="E25" s="60">
        <f>IF(AND(ISNUMBER(D24),Tableau2[[#This Row],[Km compteur]]&lt;&gt;""),Tableau2[[#This Row],[Km compteur]]-D24,"")</f>
        <v>196</v>
      </c>
      <c r="F25" s="61">
        <f>IFERROR(INDEX(GS_Pleins[Litres],ROW()-15),"")</f>
        <v>11.71</v>
      </c>
      <c r="G25" s="62">
        <f>IFERROR(INDEX(GS_Pleins[PrixL],ROW()-15),"")</f>
        <v>0.747</v>
      </c>
      <c r="H25" s="73">
        <f>IF(OR(D25="",D24="",I25="",ISTEXT(D24)),"",F25/(D25-D24)*100)</f>
        <v>5.9744897959183678</v>
      </c>
      <c r="I25" s="50">
        <f>IF(F25="","",F25*G25)</f>
        <v>8.7473700000000001</v>
      </c>
      <c r="J25" s="51">
        <f>IF(OR(D25="",D24="",F25="",ISTEXT(D24)),"",F25/(D25-D24)*100)</f>
        <v>5.9744897959183678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26.593690732375634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0.67107348551095258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137.9491511783805</v>
      </c>
      <c r="O25" s="130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27" t="str">
        <f>IFERROR(INDEX(GS_Pleins[Date],ROW()-15),"")</f>
        <v>5/9/2026 2:00:00</v>
      </c>
      <c r="C26" s="129" t="str" cm="1">
        <f t="array" ref="C26">IFERROR(INDEX(GS_Pleins[Type],ROW()-ROW(Tableau2[#Headers])),"")</f>
        <v>SuperEthanol E85</v>
      </c>
      <c r="D26" s="60">
        <f>IFERROR(INDEX(GS_Pleins[Km],ROW()-15),"")</f>
        <v>10975</v>
      </c>
      <c r="E26" s="60">
        <f>IF(AND(ISNUMBER(D25),Tableau2[[#This Row],[Km compteur]]&lt;&gt;""),Tableau2[[#This Row],[Km compteur]]-D25,"")</f>
        <v>226</v>
      </c>
      <c r="F26" s="61">
        <f>IFERROR(INDEX(GS_Pleins[Litres],ROW()-15),"")</f>
        <v>15.28</v>
      </c>
      <c r="G26" s="62">
        <f>IFERROR(INDEX(GS_Pleins[PrixL],ROW()-15),"")</f>
        <v>0.75700000000000001</v>
      </c>
      <c r="H26" s="73">
        <f>IF(OR(D26="",D25="",I26="",ISTEXT(D25)),"",F26/(D26-D25)*100)</f>
        <v>6.7610619469026547</v>
      </c>
      <c r="I26" s="50">
        <f>IF(F26="","",F26*G26)</f>
        <v>11.56696</v>
      </c>
      <c r="J26" s="51">
        <f>IF(OR(D26="",D25="",F26="",ISTEXT(D25)),"",F26/(D26-D25)*100)</f>
        <v>6.7610619469026547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35.717532228724423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0.67615455832926419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162.09972340710493</v>
      </c>
      <c r="O26" s="130" t="str" cm="1">
        <f t="array" ref="O26">IFERROR(INDEX(GS_Pleins[Station essence],ROW()-15),"")</f>
        <v>E.Leclerc - Beuvry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34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249.00944340710495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162.09972340710496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-352.44027659289497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 t="str">
        <f>IFERROR((LOOKUP(9.99999999999999E+307,Tableau2[Km compteur])-INDEX(Tableau2[Km compteur],1))/(LOOKUP(9.99999999999999E+307,Tableau2[Date])-INDEX(Tableau2[Date],1))*7,"-")</f>
        <v>-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0.31503813776791884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 t="str">
        <f>IFERROR((LOOKUP(9.99999999999999E+307,Tableau2[Km compteur])-INDEX(Tableau2[Km compteur],1))/(LOOKUP(9.99999999999999E+307,Tableau2[Date])-INDEX(Tableau2[Date],1))*30.4375,"-")</f>
        <v>-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352,44 €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7.2723070169181225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5.0287867210754378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4847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36" priority="2">
      <formula>AND($C16="SuperEthanol E85",$K16="")</formula>
    </cfRule>
  </conditionalFormatting>
  <conditionalFormatting sqref="G16:G26">
    <cfRule type="expression" dxfId="35" priority="3">
      <formula>AND($G16&lt;&gt;"",ISNUMBER($G16),$G16&lt;AVERAGEIFS(G:G,C:C,$C16,G:G,"&gt;="&amp;$G16-30,G:G," &lt;="&amp;$G16))</formula>
    </cfRule>
    <cfRule type="expression" dxfId="34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43" t="s">
        <v>296</v>
      </c>
      <c r="C2" s="144"/>
      <c r="D2" s="144"/>
      <c r="E2" s="144"/>
      <c r="F2" s="144"/>
      <c r="G2" s="144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45" t="s">
        <v>316</v>
      </c>
      <c r="C4" s="144"/>
      <c r="D4" s="144"/>
      <c r="E4" s="144"/>
      <c r="F4" s="144"/>
      <c r="G4" s="144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2.0926666666666667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46" t="s">
        <v>304</v>
      </c>
      <c r="C19" s="147"/>
      <c r="D19" s="147"/>
      <c r="E19" s="147"/>
      <c r="F19" s="147"/>
      <c r="G19" s="147"/>
    </row>
    <row r="20" spans="2:9" ht="18" customHeight="1" x14ac:dyDescent="0.25">
      <c r="B20" s="146"/>
      <c r="C20" s="147"/>
      <c r="D20" s="147"/>
      <c r="E20" s="147"/>
      <c r="F20" s="147"/>
      <c r="G20" s="147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 t="s">
        <v>362</v>
      </c>
    </row>
    <row r="3" spans="1:3" x14ac:dyDescent="0.25">
      <c r="A3" s="111" t="s">
        <v>363</v>
      </c>
    </row>
    <row r="4" spans="1:3" x14ac:dyDescent="0.25">
      <c r="A4" s="112" t="s">
        <v>1</v>
      </c>
      <c r="B4" s="112" t="s">
        <v>361</v>
      </c>
      <c r="C4" s="112" t="s">
        <v>276</v>
      </c>
    </row>
    <row r="5" spans="1:3" x14ac:dyDescent="0.25">
      <c r="A5" s="113">
        <v>46146</v>
      </c>
      <c r="B5" s="114">
        <v>0.80900000000000005</v>
      </c>
      <c r="C5" t="s">
        <v>335</v>
      </c>
    </row>
    <row r="6" spans="1:3" x14ac:dyDescent="0.25">
      <c r="A6" s="113">
        <v>46148</v>
      </c>
      <c r="B6" s="114">
        <v>0.747</v>
      </c>
      <c r="C6" t="s">
        <v>335</v>
      </c>
    </row>
    <row r="7" spans="1:3" x14ac:dyDescent="0.25">
      <c r="A7" s="113">
        <v>46151</v>
      </c>
      <c r="B7" s="114">
        <v>0.75700000000000001</v>
      </c>
      <c r="C7" t="s">
        <v>335</v>
      </c>
    </row>
    <row r="8" spans="1:3" x14ac:dyDescent="0.25">
      <c r="A8" s="113">
        <v>46154</v>
      </c>
      <c r="B8" s="114">
        <v>0.83499999999999996</v>
      </c>
      <c r="C8" t="s">
        <v>335</v>
      </c>
    </row>
    <row r="9" spans="1:3" x14ac:dyDescent="0.25">
      <c r="A9" s="113">
        <v>46157</v>
      </c>
      <c r="B9" s="114">
        <v>0.71699999999999997</v>
      </c>
      <c r="C9" t="s">
        <v>335</v>
      </c>
    </row>
    <row r="10" spans="1:3" x14ac:dyDescent="0.25">
      <c r="A10" s="113">
        <v>46161</v>
      </c>
      <c r="B10" s="114">
        <v>0.79800000000000004</v>
      </c>
      <c r="C10" t="s">
        <v>335</v>
      </c>
    </row>
    <row r="11" spans="1:3" x14ac:dyDescent="0.25">
      <c r="A11" s="113">
        <v>46164.083333333336</v>
      </c>
      <c r="B11" s="114">
        <v>0.79800000000000004</v>
      </c>
      <c r="C11" t="s">
        <v>335</v>
      </c>
    </row>
    <row r="43" spans="1:3" x14ac:dyDescent="0.25">
      <c r="A43" s="115" t="s">
        <v>364</v>
      </c>
    </row>
    <row r="44" spans="1:3" x14ac:dyDescent="0.25">
      <c r="A44" s="116" t="s">
        <v>1</v>
      </c>
      <c r="B44" s="116" t="s">
        <v>365</v>
      </c>
      <c r="C44" s="116" t="s">
        <v>308</v>
      </c>
    </row>
    <row r="45" spans="1:3" x14ac:dyDescent="0.25">
      <c r="A45" s="113">
        <v>46135</v>
      </c>
      <c r="B45" s="117">
        <v>5.4</v>
      </c>
      <c r="C45" t="s">
        <v>315</v>
      </c>
    </row>
    <row r="46" spans="1:3" x14ac:dyDescent="0.25">
      <c r="A46" s="113">
        <v>46140</v>
      </c>
      <c r="B46" s="117">
        <v>5.39</v>
      </c>
      <c r="C46" t="s">
        <v>315</v>
      </c>
    </row>
    <row r="47" spans="1:3" x14ac:dyDescent="0.25">
      <c r="A47" s="113">
        <v>46146</v>
      </c>
      <c r="B47" s="117">
        <v>5.62</v>
      </c>
      <c r="C47" t="s">
        <v>315</v>
      </c>
    </row>
    <row r="48" spans="1:3" x14ac:dyDescent="0.25">
      <c r="A48" s="113">
        <v>46148</v>
      </c>
      <c r="B48" s="117">
        <v>5.97</v>
      </c>
      <c r="C48" t="s">
        <v>315</v>
      </c>
    </row>
    <row r="49" spans="1:3" x14ac:dyDescent="0.25">
      <c r="A49" s="113">
        <v>46151</v>
      </c>
      <c r="B49" s="117">
        <v>6.76</v>
      </c>
      <c r="C49" t="s">
        <v>315</v>
      </c>
    </row>
    <row r="50" spans="1:3" x14ac:dyDescent="0.25">
      <c r="A50" s="113">
        <v>46154</v>
      </c>
      <c r="B50" s="117">
        <v>7.04</v>
      </c>
      <c r="C50" t="s">
        <v>315</v>
      </c>
    </row>
    <row r="51" spans="1:3" x14ac:dyDescent="0.25">
      <c r="A51" s="113">
        <v>46157</v>
      </c>
      <c r="B51" s="117">
        <v>6.59</v>
      </c>
      <c r="C51" t="s">
        <v>315</v>
      </c>
    </row>
    <row r="52" spans="1:3" x14ac:dyDescent="0.25">
      <c r="A52" s="113">
        <v>46161</v>
      </c>
      <c r="B52" s="117">
        <v>6.77</v>
      </c>
      <c r="C52" t="s">
        <v>315</v>
      </c>
    </row>
    <row r="53" spans="1:3" x14ac:dyDescent="0.25">
      <c r="A53" s="113">
        <v>46164.083333333336</v>
      </c>
      <c r="B53" s="117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369</v>
      </c>
    </row>
    <row r="7" spans="2:4" x14ac:dyDescent="0.25">
      <c r="D7" s="132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2026-05-30T23:33:29Z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