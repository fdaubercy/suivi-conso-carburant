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431A52BF-ACE9-471F-80E6-51DA7EF7F397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GS_Pleins!$A$1:$O$12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H15" i="11" s="1"/>
  <c r="D15" i="11"/>
  <c r="C15" i="11"/>
  <c r="B15" i="11"/>
  <c r="A15" i="11"/>
  <c r="J14" i="11"/>
  <c r="G14" i="11"/>
  <c r="F14" i="11"/>
  <c r="H14" i="11" s="1"/>
  <c r="D14" i="11"/>
  <c r="C14" i="11"/>
  <c r="B14" i="11"/>
  <c r="A14" i="11"/>
  <c r="J13" i="11"/>
  <c r="G13" i="11"/>
  <c r="F13" i="11"/>
  <c r="D13" i="11"/>
  <c r="C13" i="11"/>
  <c r="B13" i="11"/>
  <c r="A13" i="11"/>
  <c r="J12" i="11"/>
  <c r="H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H10" i="11" s="1"/>
  <c r="D10" i="11"/>
  <c r="C10" i="11"/>
  <c r="B10" i="11"/>
  <c r="A10" i="11"/>
  <c r="J9" i="11"/>
  <c r="G9" i="11"/>
  <c r="F9" i="11"/>
  <c r="H9" i="11" s="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H6" i="11" s="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E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5" i="11" l="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<sst xmlns="http://schemas.openxmlformats.org/spreadsheetml/2006/main" count="529" uniqueCount="397">
  <si>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</si>
  <si>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</si>
  <si>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</si>
  <si>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</si>
  <si>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</si>
  <si>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</si>
  <si>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</si>
  <si>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</si>
  <si>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</si>
  <si>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</si>
  <si>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</si>
  <si>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</si>
  <si>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</si>
  <si>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</si>
  <si>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</si>
  <si>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</si>
  <si>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</si>
  <si>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</si>
  <si>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</si>
  <si>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</si>
  <si>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</si>
  <si>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</si>
  <si>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</si>
  <si>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</si>
  <si>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</si>
  <si>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</si>
  <si>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</si>
  <si>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</si>
  <si>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</si>
  <si>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</si>
  <si>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</si>
  <si>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</si>
  <si>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</si>
  <si>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</si>
  <si>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</si>
  <si>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</si>
  <si>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</si>
  <si>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</si>
  <si>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</si>
  <si>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</si>
  <si>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</si>
  <si>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</si>
  <si>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</si>
  <si>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</si>
  <si>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</si>
  <si>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</si>
  <si>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</si>
  <si>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</si>
  <si>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</si>
  <si>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</si>
  <si>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</si>
  <si>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</si>
  <si>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</si>
  <si>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</si>
  <si>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</si>
  <si>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</si>
  <si>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</si>
  <si>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</si>
  <si>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</si>
  <si>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</si>
  <si>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</si>
  <si>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</si>
  <si>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</si>
  <si>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</si>
  <si>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</si>
  <si>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</si>
  <si>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</si>
  <si>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</si>
  <si>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</si>
  <si>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</si>
  <si>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</si>
  <si>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</si>
  <si>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</si>
  <si>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</si>
  <si>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</si>
  <si>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</si>
  <si>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</si>
  <si>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</si>
  <si>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</si>
  <si>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</si>
  <si>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</si>
  <si>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</si>
  <si>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</si>
  <si>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</si>
  <si>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</si>
  <si>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</si>
  <si>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</si>
  <si>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</si>
  <si>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</si>
  <si>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</si>
  <si>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</si>
  <si>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</si>
  <si>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</si>
  <si>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</si>
  <si>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</si>
  <si>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</si>
  <si>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</si>
  <si>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</si>
  <si>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</si>
  <si>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</si>
  <si>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</si>
  <si>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</si>
  <si>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</si>
  <si>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</si>
  <si>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</si>
  <si>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</si>
  <si>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</si>
  <si>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</si>
  <si>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</si>
  <si>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</si>
  <si>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</si>
  <si>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</si>
  <si>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</si>
  <si>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</si>
  <si>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</si>
  <si>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</si>
  <si>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</si>
  <si>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</si>
  <si>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</si>
  <si>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</si>
  <si>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</si>
  <si>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</si>
  <si>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</si>
  <si>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</si>
  <si>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</si>
  <si>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</si>
  <si>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</si>
  <si>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</si>
  <si>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</si>
  <si>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</si>
  <si>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</si>
  <si>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</si>
  <si>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</si>
  <si>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</si>
  <si>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</si>
  <si>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</si>
  <si>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</si>
  <si>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</si>
  <si>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</si>
  <si>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</si>
  <si>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</si>
  <si>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</si>
  <si>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</si>
  <si>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</si>
  <si>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</si>
  <si>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</si>
  <si>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</si>
  <si>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</si>
  <si>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</si>
  <si>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</si>
  <si>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</si>
  <si>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</si>
  <si>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</si>
  <si>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</si>
  <si>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</si>
  <si>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</si>
  <si>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</si>
  <si>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</si>
  <si>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</si>
  <si>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</si>
  <si>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</si>
  <si>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</si>
  <si>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</si>
  <si>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</si>
  <si>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</si>
  <si>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</si>
  <si>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</si>
  <si>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</si>
  <si>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</si>
  <si>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</si>
  <si>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</si>
  <si>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</si>
  <si>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</si>
  <si>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</si>
  <si>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</si>
  <si>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</si>
  <si>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</si>
  <si>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</si>
  <si>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</si>
  <si>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</si>
  <si>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</si>
  <si>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</si>
  <si>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</si>
  <si>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</si>
  <si>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</si>
  <si>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</si>
  <si>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</si>
  <si>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</si>
  <si>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</si>
  <si>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</si>
  <si>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</si>
  <si>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</si>
  <si>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</si>
  <si>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</si>
  <si>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</si>
  <si>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</si>
  <si>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</si>
  <si>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</si>
  <si>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</si>
  <si>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</si>
  <si>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</si>
  <si>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</si>
  <si>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</si>
  <si>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</si>
  <si>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</si>
  <si>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</si>
  <si>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</si>
  <si>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</si>
  <si>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</si>
  <si>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</si>
  <si>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</si>
  <si>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</si>
  <si>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</si>
  <si>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</si>
  <si>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</si>
  <si>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</si>
  <si>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</si>
  <si>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</si>
  <si>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</si>
  <si>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</si>
  <si>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</si>
  <si>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</si>
  <si>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</si>
  <si>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</si>
  <si>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</si>
  <si>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</si>
  <si>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</si>
  <si>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</si>
  <si>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</si>
  <si>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</si>
  <si>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</si>
  <si>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</si>
  <si>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</si>
  <si>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</si>
  <si>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</si>
  <si>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</si>
  <si>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</si>
  <si>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</si>
  <si>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</si>
  <si>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</si>
  <si>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</si>
  <si>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</si>
  <si>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</si>
  <si>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</si>
  <si>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</si>
  <si>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</si>
  <si>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</si>
  <si>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</si>
  <si>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</si>
  <si>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</si>
  <si>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</si>
  <si>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</si>
  <si>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</si>
  <si>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</si>
  <si>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</si>
  <si>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</si>
  <si>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</si>
  <si>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</si>
  <si>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</si>
  <si>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</si>
  <si>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</si>
  <si>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</si>
  <si>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</si>
  <si>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</si>
  <si>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</si>
  <si>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</si>
  <si>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</si>
  <si>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</si>
  <si>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</si>
  <si>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</si>
  <si>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</si>
  <si>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</si>
  <si>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</si>
  <si>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</si>
  <si>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</si>
  <si>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</si>
  <si>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</si>
  <si>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</si>
  <si>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</si>
  <si>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</si>
  <si>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</si>
  <si>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</si>
  <si>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</si>
  <si>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</si>
  <si>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</si>
  <si>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</si>
  <si>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</si>
  <si>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</si>
  <si>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</si>
  <si>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</si>
  <si>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</si>
  <si>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</si>
  <si>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</si>
  <si>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</si>
  <si>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</si>
  <si>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</si>
  <si>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</si>
  <si>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</si>
  <si>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</si>
  <si>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</si>
  <si>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</si>
  <si>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</si>
  <si>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</si>
  <si>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</si>
  <si>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</si>
  <si>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</si>
  <si>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</si>
  <si>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</si>
  <si>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</si>
  <si>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</si>
  <si>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</si>
  <si>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</si>
  <si>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</si>
  <si>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</si>
  <si>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</si>
  <si>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</si>
  <si>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</si>
  <si>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</si>
  <si>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</si>
  <si>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</si>
  <si>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</si>
  <si>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</si>
  <si>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</si>
  <si>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</si>
  <si>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</si>
  <si>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</si>
  <si>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</si>
  <si>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</si>
  <si>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</si>
  <si>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</si>
  <si>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</si>
  <si>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</si>
  <si>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</si>
  <si>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</si>
  <si>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</si>
  <si>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</si>
  <si>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</si>
  <si>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</si>
  <si>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</si>
  <si>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</si>
  <si>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</si>
  <si>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</si>
  <si>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</si>
  <si>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</si>
  <si>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</si>
  <si>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</si>
  <si>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</si>
  <si>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</si>
  <si>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</si>
  <si>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</si>
  <si>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</si>
  <si>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</si>
  <si>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</si>
  <si>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</si>
  <si>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</si>
  <si>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</si>
  <si>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</si>
  <si>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</si>
  <si>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</si>
  <si>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</si>
  <si>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</si>
  <si>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</si>
  <si>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</si>
  <si>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</si>
  <si>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</si>
  <si>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</si>
  <si>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</si>
  <si>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</si>
  <si>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</si>
  <si>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</si>
  <si>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</si>
  <si>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</si>
  <si>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</si>
  <si>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</si>
  <si>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</si>
  <si>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5/22/2026 2:00:00</t>
  </si>
  <si>
    <t>4/19/2026</t>
  </si>
  <si>
    <t>4/19/2026 2:00:00</t>
  </si>
  <si>
    <t>4/23/2026</t>
  </si>
  <si>
    <t>4/23/2026 2:00:00</t>
  </si>
  <si>
    <t>4/28/2026</t>
  </si>
  <si>
    <t>4/28/2026 2:00:00</t>
  </si>
  <si>
    <t>5/4/2026</t>
  </si>
  <si>
    <t>5/4/2026 2:00:00</t>
  </si>
  <si>
    <t>5/6/2026</t>
  </si>
  <si>
    <t>5/6/2026 2:00:00</t>
  </si>
  <si>
    <t>5/9/2026</t>
  </si>
  <si>
    <t>5/9/2026 2:00:00</t>
  </si>
  <si>
    <t>5/12/2026</t>
  </si>
  <si>
    <t>5/12/2026 2:00:00</t>
  </si>
  <si>
    <t>5/15/2026</t>
  </si>
  <si>
    <t>5/15/2026 2:00:00</t>
  </si>
  <si>
    <t>5/19/2026</t>
  </si>
  <si>
    <t>5/19/2026 2:00:00</t>
  </si>
  <si>
    <t>5/29/2026 3:54:38</t>
  </si>
  <si>
    <t>5/28/2026 2:00:00</t>
  </si>
  <si>
    <t>sync_id2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</si>
</sst>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27" formatCode="dd/mm/yyyy\ hh:mm"/>
    </dxf>
    <dxf>
      <numFmt numFmtId="19" formatCode="dd/mm/yyyy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0" unboundColumnsRight="2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51" dataDxfId="50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16"/>
    <tableColumn id="2" xr3:uid="{6AFDA1AD-8B7E-4056-B820-4B105507BC22}" uniqueName="2" name="Date" queryTableFieldId="2" dataDxfId="15"/>
    <tableColumn id="3" xr3:uid="{0E3159AD-DEC3-4CB0-8263-673EE4364DE4}" uniqueName="3" name="Type" queryTableFieldId="3" dataDxfId="14"/>
    <tableColumn id="4" xr3:uid="{9CA1100B-4402-4A99-881C-A70EA8E0EBA0}" uniqueName="4" name="Km" queryTableFieldId="4" dataDxfId="13"/>
    <tableColumn id="5" xr3:uid="{3DC79D37-A57D-45A6-B68B-28F91AE90D1B}" uniqueName="5" name="Litres" queryTableFieldId="5" dataDxfId="12"/>
    <tableColumn id="6" xr3:uid="{E20F9B47-933F-4695-AC5B-7BFCB43AA70B}" uniqueName="6" name="PrixL" queryTableFieldId="6" dataDxfId="11"/>
    <tableColumn id="8" xr3:uid="{1810D7F1-75C0-4692-B633-9344880F4391}" uniqueName="8" name="Station essence" queryTableFieldId="8" dataDxfId="10"/>
    <tableColumn id="9" xr3:uid="{B958E2B1-5DEB-4CEF-B30E-3537BD55A8E8}" uniqueName="9" name="Vehicule" queryTableFieldId="9" dataDxfId="9"/>
    <tableColumn id="10" xr3:uid="{7955E5A1-C834-43AD-B7C1-739EA1C9FB0B}" uniqueName="10" name="E85 station" queryTableFieldId="10" dataDxfId="8"/>
    <tableColumn id="11" xr3:uid="{168A26EB-A626-4924-B067-7D0EE30B248F}" uniqueName="11" name="SP98 station" queryTableFieldId="11" dataDxfId="7"/>
    <tableColumn id="12" xr3:uid="{18AADF40-972E-454B-9FD3-FD2D10CCF4B9}" uniqueName="12" name="SP95 station" queryTableFieldId="12" dataDxfId="6"/>
    <tableColumn id="13" xr3:uid="{A1195D38-1809-462B-9D20-AE18F43CBC4B}" uniqueName="13" name="E10 station" queryTableFieldId="13" dataDxfId="5"/>
    <tableColumn id="14" xr3:uid="{9F059A0B-5171-4FB9-8BF4-0CBD57021E52}" uniqueName="14" name="Gazole station" queryTableFieldId="14" dataDxfId="4"/>
    <tableColumn id="15" xr3:uid="{BE30AC6F-80E2-4B6C-B72A-506C9FC60853}" uniqueName="15" name="GPLc station" queryTableFieldId="15" dataDxfId="3"/>
    <tableColumn id="17" xr3:uid="{0EA69162-CC6C-4F87-9EDF-5B650CD8B3F0}" uniqueName="17" name="sync_id" queryTableFieldId="19" dataDxfId="2"/>
    <tableColumn id="16" xr3:uid="{DD5EAF57-67B9-4006-88AF-5A82745A6E1D}" uniqueName="16" name="sync_id2" queryTableFieldId="16" dataDxfId="1"/>
    <tableColumn id="7" xr3:uid="{217649AA-00FB-44C2-B916-78329111BFA4}" uniqueName="7" name="Modifie_local" queryTableFieldId="18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293FB3-ED93-4C3C-BF45-2D84CE6A41DE}" name="DonneesExternes_1" displayName="DonneesExternes_1" ref="A1:Y12" totalsRowShown="0">
  <autoFilter ref="A1:Y12" xr:uid="{2D293FB3-ED93-4C3C-BF45-2D84CE6A41DE}"/>
  <tableColumns count="25">
    <tableColumn id="1" xr3:uid="{6E761EB4-C15E-492A-AFE2-F795ED3E1192}" name="Horodatage" dataDxfId="23"/>
    <tableColumn id="2" xr3:uid="{7F9C419B-0F65-4259-AE49-EBBFA737345F}" name="Date" dataDxfId="22"/>
    <tableColumn id="3" xr3:uid="{6AD7AFE2-E002-4CE4-9209-4604565458B9}" name="Type"/>
    <tableColumn id="4" xr3:uid="{8D9C1C17-E20D-478A-9D24-CFAA3D1FD9EA}" name="Km compteur"/>
    <tableColumn id="5" xr3:uid="{0B84E16B-E912-4B86-9A39-BBAA0AFD4E42}" name="Nb. Litres"/>
    <tableColumn id="6" xr3:uid="{C7301252-6FCA-419D-AF7D-9575FF4B5A99}" name="Prix €/L"/>
    <tableColumn id="7" xr3:uid="{02400DCF-1AD3-47DF-A96A-ACDD3F647327}" name="Station essence"/>
    <tableColumn id="8" xr3:uid="{39A54C13-A444-405F-96AF-9E152C5A2CAD}" name="Véhicule"/>
    <tableColumn id="9" xr3:uid="{18977C93-4C0C-4E2A-98CC-612D254353E1}" name="E85 station (€/L)"/>
    <tableColumn id="10" xr3:uid="{042288BB-A6D6-4588-8474-B3805999E2D5}" name="SP98 station (€/L)"/>
    <tableColumn id="11" xr3:uid="{BBC33F55-2FA6-48E0-ADD4-5A3580D157AB}" name="SP95 station (€/L)"/>
    <tableColumn id="12" xr3:uid="{156A6EC7-D28F-4155-BF57-8526B97E4DE5}" name="E10 station (€/L)"/>
    <tableColumn id="13" xr3:uid="{BDEEA445-89DE-4C9B-A015-53D4AA36A3A9}" name="Gazole station (€/L)"/>
    <tableColumn id="14" xr3:uid="{7B63659C-AE43-40DA-ADFF-6346C77DBFD0}" name="GPLc station (€/L)"/>
    <tableColumn id="15" xr3:uid="{7CBE2A55-8739-456E-88F3-DF2A4DBDD218}" name="sync_id"/>
    <tableColumn id="16" xr3:uid="{7EFAEBE8-8087-4DFE-99F8-585A7E854D16}" name="Photo ticket"/>
    <tableColumn id="17" xr3:uid="{592F1AE4-8292-4FCB-BE4C-2822A15B69D4}" name="Colonne1"/>
    <tableColumn id="18" xr3:uid="{75CAB825-4157-4F6B-9FF8-02B1F34B66F0}" name="Colonne2"/>
    <tableColumn id="19" xr3:uid="{8717B6D5-7AD3-4C0E-847B-E3E614435E2D}" name="Colonne3"/>
    <tableColumn id="20" xr3:uid="{437EBB8A-076C-4BA5-84F6-B644708D354B}" name="Colonne4"/>
    <tableColumn id="21" xr3:uid="{43C8962D-2E2F-4B9A-A667-647EF7A14752}" name="Colonne5"/>
    <tableColumn id="22" xr3:uid="{38F4EFF0-042A-4C95-91CA-DB890B3B239C}" name="Colonne6"/>
    <tableColumn id="23" xr3:uid="{2107534D-6D44-46EF-B4A9-02CA29031AC3}" name="Colonne7"/>
    <tableColumn id="24" xr3:uid="{C2E03B11-7D7C-4350-946F-CF394FDA8E98}" name="Colonne8"/>
    <tableColumn id="25" xr3:uid="{01D15E0A-337D-4B4D-B2A0-101954B4904C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9" dataDxfId="47" headerRowBorderDxfId="48" tableBorderDxfId="46" totalsRowBorderDxfId="45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44">
      <calculatedColumnFormula>IF(B16="","",A15+1)</calculatedColumnFormula>
    </tableColumn>
    <tableColumn id="2" xr3:uid="{D9E9EBFF-BC9D-4E59-9822-91D7DEC1E7CE}" name="Date" dataDxfId="43">
      <calculatedColumnFormula>IFERROR(INDEX(GS_Pleins[Date],ROW()-15),"")</calculatedColumnFormula>
    </tableColumn>
    <tableColumn id="11" xr3:uid="{A77486BA-32D8-4661-BA23-1144AE2FD0EC}" name="Type" dataDxfId="42">
      <calculatedColumnFormula array="1">IFERROR(INDEX(GS_Pleins[Type],ROW()-ROW(Tableau2[#Headers])),"")</calculatedColumnFormula>
    </tableColumn>
    <tableColumn id="3" xr3:uid="{6C87F133-7224-4AAB-ACB2-666E8B7315B5}" name="Km compteur" dataDxfId="41">
      <calculatedColumnFormula>IFERROR(INDEX(GS_Pleins[Km],ROW()-15),"")</calculatedColumnFormula>
    </tableColumn>
    <tableColumn id="15" xr3:uid="{E9E70181-907F-4D1A-BD9D-156B992A2880}" name="Nb. km" dataDxfId="40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9">
      <calculatedColumnFormula>IFERROR(INDEX(GS_Pleins[Litres],ROW()-15),"")</calculatedColumnFormula>
    </tableColumn>
    <tableColumn id="5" xr3:uid="{A61BA34E-E60B-4F70-A1D9-62090C37C449}" name="Prix €/L" dataDxfId="38">
      <calculatedColumnFormula>IFERROR(INDEX(GS_Pleins[PrixL],ROW()-15),"")</calculatedColumnFormula>
    </tableColumn>
    <tableColumn id="13" xr3:uid="{C796B9E8-7AC6-4345-B44F-194876D2515D}" name="Coût c€/km" dataDxfId="37">
      <calculatedColumnFormula>IF(OR(D16="",D15="",I16="",ISTEXT(D15)),"",F16/(D16-D15)*100)</calculatedColumnFormula>
    </tableColumn>
    <tableColumn id="6" xr3:uid="{7A10B093-08A0-4955-A678-47B342940366}" name="Coût Plein (€)" dataDxfId="36">
      <calculatedColumnFormula>IF(F16="","",F16*G16)</calculatedColumnFormula>
    </tableColumn>
    <tableColumn id="7" xr3:uid="{0D4F331E-E5DE-4D78-8EE4-6B964BF0DB88}" name="Conso. (L/100km)" dataDxfId="35">
      <calculatedColumnFormula>IF(OR(D16="",D15="",F16="",ISTEXT(D15)),"",F16/(D16-D15)*100)</calculatedColumnFormula>
    </tableColumn>
    <tableColumn id="8" xr3:uid="{8C4BCB7E-42BC-494E-A304-19A9848326C2}" name="Prix S98 jour (€/L)" dataDxfId="34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33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32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31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30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9" dataDxfId="28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26" dataDxfId="25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5" t="s">
        <v>347</v>
      </c>
      <c r="B1" s="136"/>
    </row>
    <row r="2" spans="1:2" x14ac:dyDescent="0.25">
      <c r="A2" s="137" t="s">
        <v>348</v>
      </c>
      <c r="B2" s="136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 t="e">
        <f ca="1">SUMPRODUCT((YEAR(GS_Pleins[Date])=YEAR(TODAY()))*GS_Pleins[Litres]*GS_Pleins[PrixL])</f>
        <v>#VALUE!</v>
      </c>
    </row>
    <row r="8" spans="1:2" ht="26.1" customHeight="1" x14ac:dyDescent="0.3">
      <c r="A8" s="100" t="s">
        <v>354</v>
      </c>
      <c r="B8" s="103" t="e">
        <f ca="1">SUMPRODUCT((YEAR(GS_Pleins[Date])=YEAR(TODAY()))*1)</f>
        <v>#VALUE!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140.74416250000002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18.125" style="92" bestFit="1" customWidth="1"/>
    <col min="2" max="2" width="16.87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5" bestFit="1" customWidth="1"/>
    <col min="16" max="16" width="36.25" style="92" bestFit="1" customWidth="1"/>
    <col min="17" max="17" width="19" style="119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s="75" t="s">
        <v>396</v>
      </c>
      <c r="Q1" s="118" t="s">
        <v>366</v>
      </c>
    </row>
    <row r="2" spans="1:17" x14ac:dyDescent="0.25">
      <c r="A2" s="95" t="s">
        <v>376</v>
      </c>
      <c r="B2" s="147" t="s">
        <v>377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48" t="s">
        <v>336</v>
      </c>
      <c r="P2" s="93" t="s">
        <v>337</v>
      </c>
      <c r="Q2" s="95"/>
    </row>
    <row r="3" spans="1:17" x14ac:dyDescent="0.25">
      <c r="A3" s="95" t="s">
        <v>378</v>
      </c>
      <c r="B3" s="147" t="s">
        <v>379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48" t="s">
        <v>337</v>
      </c>
      <c r="P3" s="93" t="s">
        <v>338</v>
      </c>
      <c r="Q3" s="95"/>
    </row>
    <row r="4" spans="1:17" x14ac:dyDescent="0.25">
      <c r="A4" s="95" t="s">
        <v>380</v>
      </c>
      <c r="B4" s="147" t="s">
        <v>381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48" t="s">
        <v>338</v>
      </c>
      <c r="P4" s="93" t="s">
        <v>339</v>
      </c>
      <c r="Q4" s="95"/>
    </row>
    <row r="5" spans="1:17" x14ac:dyDescent="0.25">
      <c r="A5" s="95" t="s">
        <v>388</v>
      </c>
      <c r="B5" s="147" t="s">
        <v>389</v>
      </c>
      <c r="C5" s="93" t="s">
        <v>100</v>
      </c>
      <c r="D5" s="93">
        <v>11173</v>
      </c>
      <c r="E5" s="93">
        <v>13.94</v>
      </c>
      <c r="F5" s="93">
        <v>0.83499999999999996</v>
      </c>
      <c r="G5" s="93" t="s">
        <v>335</v>
      </c>
      <c r="H5" s="93" t="s">
        <v>315</v>
      </c>
      <c r="I5" s="93">
        <v>0.83499999999999996</v>
      </c>
      <c r="J5" s="93">
        <v>2.0950000000000002</v>
      </c>
      <c r="K5" s="93"/>
      <c r="L5" s="93"/>
      <c r="M5" s="93"/>
      <c r="N5" s="93"/>
      <c r="O5" s="148" t="s">
        <v>342</v>
      </c>
      <c r="P5" s="93" t="s">
        <v>343</v>
      </c>
      <c r="Q5" s="95"/>
    </row>
    <row r="6" spans="1:17" x14ac:dyDescent="0.25">
      <c r="A6" s="95" t="s">
        <v>390</v>
      </c>
      <c r="B6" s="147" t="s">
        <v>391</v>
      </c>
      <c r="C6" s="93" t="s">
        <v>100</v>
      </c>
      <c r="D6" s="93">
        <v>11376</v>
      </c>
      <c r="E6" s="93">
        <v>13.37</v>
      </c>
      <c r="F6" s="93">
        <v>0.71699999999999997</v>
      </c>
      <c r="G6" s="93" t="s">
        <v>335</v>
      </c>
      <c r="H6" s="93" t="s">
        <v>315</v>
      </c>
      <c r="I6" s="93">
        <v>0.71699999999999997</v>
      </c>
      <c r="J6" s="93">
        <v>2.0950000000000002</v>
      </c>
      <c r="K6" s="93"/>
      <c r="L6" s="93"/>
      <c r="M6" s="93"/>
      <c r="N6" s="93"/>
      <c r="O6" s="148" t="s">
        <v>343</v>
      </c>
      <c r="P6" s="93" t="s">
        <v>344</v>
      </c>
      <c r="Q6" s="95"/>
    </row>
    <row r="7" spans="1:17" x14ac:dyDescent="0.25">
      <c r="A7" s="95" t="s">
        <v>392</v>
      </c>
      <c r="B7" s="147" t="s">
        <v>393</v>
      </c>
      <c r="C7" s="93" t="s">
        <v>100</v>
      </c>
      <c r="D7" s="93">
        <v>11596</v>
      </c>
      <c r="E7" s="93">
        <v>14.9</v>
      </c>
      <c r="F7" s="93">
        <v>0.79800000000000004</v>
      </c>
      <c r="G7" s="93" t="s">
        <v>335</v>
      </c>
      <c r="H7" s="93" t="s">
        <v>315</v>
      </c>
      <c r="I7" s="93">
        <v>0.79800000000000004</v>
      </c>
      <c r="J7" s="93">
        <v>2.0910000000000002</v>
      </c>
      <c r="K7" s="93"/>
      <c r="L7" s="93"/>
      <c r="M7" s="93"/>
      <c r="N7" s="93"/>
      <c r="O7" s="148" t="s">
        <v>344</v>
      </c>
      <c r="P7" s="93" t="s">
        <v>334</v>
      </c>
      <c r="Q7" s="95"/>
    </row>
    <row r="8" spans="1:17" x14ac:dyDescent="0.25">
      <c r="A8" s="95" t="s">
        <v>374</v>
      </c>
      <c r="B8" s="147" t="s">
        <v>375</v>
      </c>
      <c r="C8" s="93" t="s">
        <v>100</v>
      </c>
      <c r="D8" s="93">
        <v>11831</v>
      </c>
      <c r="E8" s="93">
        <v>16.25</v>
      </c>
      <c r="F8" s="93">
        <v>0.79800000000000004</v>
      </c>
      <c r="G8" s="93" t="s">
        <v>335</v>
      </c>
      <c r="H8" s="93" t="s">
        <v>315</v>
      </c>
      <c r="I8" s="93">
        <v>0.79800000000000004</v>
      </c>
      <c r="J8" s="93"/>
      <c r="K8" s="93"/>
      <c r="L8" s="93"/>
      <c r="M8" s="93"/>
      <c r="N8" s="93"/>
      <c r="O8" s="148" t="s">
        <v>334</v>
      </c>
      <c r="P8" s="93" t="s">
        <v>336</v>
      </c>
      <c r="Q8" s="95"/>
    </row>
    <row r="9" spans="1:17" x14ac:dyDescent="0.25">
      <c r="A9" s="95" t="s">
        <v>394</v>
      </c>
      <c r="B9" s="147" t="s">
        <v>395</v>
      </c>
      <c r="C9" s="93" t="s">
        <v>100</v>
      </c>
      <c r="D9" s="93">
        <v>12041</v>
      </c>
      <c r="E9" s="93">
        <v>13.23</v>
      </c>
      <c r="F9" s="93">
        <v>0.84899999999999998</v>
      </c>
      <c r="G9" s="93" t="s">
        <v>345</v>
      </c>
      <c r="H9" s="93" t="s">
        <v>315</v>
      </c>
      <c r="I9" s="93">
        <v>0.84899999999999998</v>
      </c>
      <c r="J9" s="93">
        <v>2.1789999999999998</v>
      </c>
      <c r="K9" s="93">
        <v>2.089</v>
      </c>
      <c r="L9" s="93">
        <v>2.0390000000000001</v>
      </c>
      <c r="M9" s="93">
        <v>2.0990000000000002</v>
      </c>
      <c r="N9" s="93">
        <v>0.96899999999999997</v>
      </c>
      <c r="O9" s="148" t="s">
        <v>367</v>
      </c>
      <c r="P9" s="93" t="s">
        <v>367</v>
      </c>
      <c r="Q9" s="95"/>
    </row>
    <row r="10" spans="1:17" x14ac:dyDescent="0.25">
      <c r="A10" s="95" t="s">
        <v>382</v>
      </c>
      <c r="B10" s="147" t="s">
        <v>383</v>
      </c>
      <c r="C10" s="93" t="s">
        <v>100</v>
      </c>
      <c r="D10" s="93">
        <v>10553</v>
      </c>
      <c r="E10" s="93">
        <v>11.47</v>
      </c>
      <c r="F10" s="93">
        <v>0.80900000000000005</v>
      </c>
      <c r="G10" s="93" t="s">
        <v>335</v>
      </c>
      <c r="H10" s="93" t="s">
        <v>315</v>
      </c>
      <c r="I10" s="93">
        <v>0.80900000000000005</v>
      </c>
      <c r="J10" s="93">
        <v>2.0790000000000002</v>
      </c>
      <c r="K10" s="93"/>
      <c r="L10" s="93"/>
      <c r="M10" s="93"/>
      <c r="N10" s="93"/>
      <c r="O10" s="148" t="s">
        <v>339</v>
      </c>
      <c r="P10" s="93" t="s">
        <v>340</v>
      </c>
      <c r="Q10" s="95"/>
    </row>
    <row r="11" spans="1:17" x14ac:dyDescent="0.25">
      <c r="A11" s="95" t="s">
        <v>384</v>
      </c>
      <c r="B11" s="147" t="s">
        <v>385</v>
      </c>
      <c r="C11" s="93" t="s">
        <v>100</v>
      </c>
      <c r="D11" s="93">
        <v>10749</v>
      </c>
      <c r="E11" s="93">
        <v>11.71</v>
      </c>
      <c r="F11" s="93">
        <v>0.747</v>
      </c>
      <c r="G11" s="93" t="s">
        <v>335</v>
      </c>
      <c r="H11" s="93" t="s">
        <v>315</v>
      </c>
      <c r="I11" s="93">
        <v>0.747</v>
      </c>
      <c r="J11" s="93">
        <v>2.0979999999999999</v>
      </c>
      <c r="K11" s="93"/>
      <c r="L11" s="93"/>
      <c r="M11" s="93"/>
      <c r="N11" s="93"/>
      <c r="O11" s="148" t="s">
        <v>340</v>
      </c>
      <c r="P11" s="93" t="s">
        <v>341</v>
      </c>
      <c r="Q11" s="95"/>
    </row>
    <row r="12" spans="1:17" x14ac:dyDescent="0.25">
      <c r="A12" s="95" t="s">
        <v>386</v>
      </c>
      <c r="B12" s="147" t="s">
        <v>387</v>
      </c>
      <c r="C12" s="93" t="s">
        <v>100</v>
      </c>
      <c r="D12" s="93">
        <v>10975</v>
      </c>
      <c r="E12" s="93">
        <v>15.28</v>
      </c>
      <c r="F12" s="93">
        <v>0.75700000000000001</v>
      </c>
      <c r="G12" s="93" t="s">
        <v>335</v>
      </c>
      <c r="H12" s="93" t="s">
        <v>315</v>
      </c>
      <c r="I12" s="93">
        <v>0.75700000000000001</v>
      </c>
      <c r="J12" s="93">
        <v>2.0979999999999999</v>
      </c>
      <c r="K12" s="93"/>
      <c r="L12" s="93"/>
      <c r="M12" s="93"/>
      <c r="N12" s="93"/>
      <c r="O12" s="148" t="s">
        <v>341</v>
      </c>
      <c r="P12" s="93" t="s">
        <v>342</v>
      </c>
      <c r="Q12" s="95"/>
    </row>
  </sheetData>
  <conditionalFormatting sqref="F2:F12">
    <cfRule type="expression" dxfId="21" priority="1">
      <formula>AND($F2&lt;&gt;"",ISNUMBER($F2),$F2&lt;AVERAGEIFS(F:F,C:C,$C2,B:B,"&gt;="&amp;$B2-30,B:B," &lt;="&amp;$B2))</formula>
    </cfRule>
    <cfRule type="expression" dxfId="2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8" t="s">
        <v>370</v>
      </c>
      <c r="B1" s="138"/>
      <c r="C1" s="138"/>
      <c r="D1" s="138"/>
      <c r="E1" s="138"/>
      <c r="F1" s="138"/>
      <c r="G1" s="138"/>
      <c r="H1" s="138"/>
      <c r="I1" s="138"/>
      <c r="J1" s="138"/>
    </row>
    <row r="2" spans="1:10" ht="16.5" customHeight="1" x14ac:dyDescent="0.25">
      <c r="A2" s="139" t="s">
        <v>371</v>
      </c>
      <c r="B2" s="139"/>
      <c r="C2" s="139"/>
      <c r="D2" s="139"/>
      <c r="E2" s="139"/>
      <c r="F2" s="139"/>
      <c r="G2" s="139"/>
      <c r="H2" s="139"/>
      <c r="I2" s="139"/>
      <c r="J2" s="139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26" t="str">
        <f>IFERROR(INDEX(GS_Pleins[Date],1),"")</f>
        <v>4/19/2026 2:00:00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 t="shared" ref="H5:H15" si="0">IFERROR($F5*$G5,"")</f>
        <v>22.4922</v>
      </c>
      <c r="I5" s="123" t="str">
        <f t="shared" ref="I5:I15" si="1"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26" t="str">
        <f>IFERROR(INDEX(GS_Pleins[Date],2),"")</f>
        <v>4/23/2026 2:00:00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 t="shared" ref="E6:E15" si="2"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 t="shared" si="0"/>
        <v>29.31372</v>
      </c>
      <c r="I6" s="123">
        <f t="shared" si="1"/>
        <v>5.3971631205673765</v>
      </c>
      <c r="J6" s="121" t="str">
        <f>IFERROR(INDEX(GS_Pleins[Station essence],2),"")</f>
        <v>Carrefour - Flers</v>
      </c>
    </row>
    <row r="7" spans="1:10" x14ac:dyDescent="0.25">
      <c r="A7" s="126" t="str">
        <f>IFERROR(INDEX(GS_Pleins[Date],3),"")</f>
        <v>4/28/2026 2:00:00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 t="shared" si="2"/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 t="shared" si="0"/>
        <v>27.926250000000003</v>
      </c>
      <c r="I7" s="123">
        <f t="shared" si="1"/>
        <v>5.3921568627450984</v>
      </c>
      <c r="J7" s="121" t="str">
        <f>IFERROR(INDEX(GS_Pleins[Station essence],3),"")</f>
        <v>Leclerc - Douai</v>
      </c>
    </row>
    <row r="8" spans="1:10" x14ac:dyDescent="0.25">
      <c r="A8" s="126" t="str">
        <f>IFERROR(INDEX(GS_Pleins[Date],4),"")</f>
        <v>5/12/2026 2:00:00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11173</v>
      </c>
      <c r="E8" s="122">
        <f t="shared" si="2"/>
        <v>824</v>
      </c>
      <c r="F8" s="123">
        <f>IFERROR(INDEX(GS_Pleins[Litres],4),"")</f>
        <v>13.94</v>
      </c>
      <c r="G8" s="124">
        <f>IFERROR(INDEX(GS_Pleins[PrixL],4),"")</f>
        <v>0.83499999999999996</v>
      </c>
      <c r="H8" s="123">
        <f t="shared" si="0"/>
        <v>11.639899999999999</v>
      </c>
      <c r="I8" s="123">
        <f t="shared" si="1"/>
        <v>1.691747572815534</v>
      </c>
      <c r="J8" s="121" t="str">
        <f>IFERROR(INDEX(GS_Pleins[Station essence],4),"")</f>
        <v>E.Leclerc - Beuvry</v>
      </c>
    </row>
    <row r="9" spans="1:10" x14ac:dyDescent="0.25">
      <c r="A9" s="126" t="str">
        <f>IFERROR(INDEX(GS_Pleins[Date],5),"")</f>
        <v>5/15/2026 2:00:00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11376</v>
      </c>
      <c r="E9" s="122">
        <f t="shared" si="2"/>
        <v>203</v>
      </c>
      <c r="F9" s="123">
        <f>IFERROR(INDEX(GS_Pleins[Litres],5),"")</f>
        <v>13.37</v>
      </c>
      <c r="G9" s="124">
        <f>IFERROR(INDEX(GS_Pleins[PrixL],5),"")</f>
        <v>0.71699999999999997</v>
      </c>
      <c r="H9" s="123">
        <f t="shared" si="0"/>
        <v>9.5862899999999982</v>
      </c>
      <c r="I9" s="123">
        <f t="shared" si="1"/>
        <v>6.5862068965517233</v>
      </c>
      <c r="J9" s="121" t="str">
        <f>IFERROR(INDEX(GS_Pleins[Station essence],5),"")</f>
        <v>E.Leclerc - Beuvry</v>
      </c>
    </row>
    <row r="10" spans="1:10" x14ac:dyDescent="0.25">
      <c r="A10" s="126" t="str">
        <f>IFERROR(INDEX(GS_Pleins[Date],6),"")</f>
        <v>5/19/2026 2:00:00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11596</v>
      </c>
      <c r="E10" s="122">
        <f t="shared" si="2"/>
        <v>220</v>
      </c>
      <c r="F10" s="123">
        <f>IFERROR(INDEX(GS_Pleins[Litres],6),"")</f>
        <v>14.9</v>
      </c>
      <c r="G10" s="124">
        <f>IFERROR(INDEX(GS_Pleins[PrixL],6),"")</f>
        <v>0.79800000000000004</v>
      </c>
      <c r="H10" s="123">
        <f t="shared" si="0"/>
        <v>11.8902</v>
      </c>
      <c r="I10" s="123">
        <f t="shared" si="1"/>
        <v>6.7727272727272734</v>
      </c>
      <c r="J10" s="121" t="str">
        <f>IFERROR(INDEX(GS_Pleins[Station essence],6),"")</f>
        <v>E.Leclerc - Beuvry</v>
      </c>
    </row>
    <row r="11" spans="1:10" x14ac:dyDescent="0.25">
      <c r="A11" s="126" t="str">
        <f>IFERROR(INDEX(GS_Pleins[Date],7),"")</f>
        <v>5/22/2026 2:00:00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11831</v>
      </c>
      <c r="E11" s="122">
        <f t="shared" si="2"/>
        <v>235</v>
      </c>
      <c r="F11" s="123">
        <f>IFERROR(INDEX(GS_Pleins[Litres],7),"")</f>
        <v>16.25</v>
      </c>
      <c r="G11" s="124">
        <f>IFERROR(INDEX(GS_Pleins[PrixL],7),"")</f>
        <v>0.79800000000000004</v>
      </c>
      <c r="H11" s="123">
        <f t="shared" si="0"/>
        <v>12.967500000000001</v>
      </c>
      <c r="I11" s="123">
        <f t="shared" si="1"/>
        <v>6.9148936170212769</v>
      </c>
      <c r="J11" s="121" t="str">
        <f>IFERROR(INDEX(GS_Pleins[Station essence],7),"")</f>
        <v>E.Leclerc - Beuvry</v>
      </c>
    </row>
    <row r="12" spans="1:10" x14ac:dyDescent="0.25">
      <c r="A12" s="126" t="str">
        <f>IFERROR(INDEX(GS_Pleins[Date],8),"")</f>
        <v>5/28/2026 2:00:00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12041</v>
      </c>
      <c r="E12" s="122">
        <f t="shared" si="2"/>
        <v>210</v>
      </c>
      <c r="F12" s="123">
        <f>IFERROR(INDEX(GS_Pleins[Litres],8),"")</f>
        <v>13.23</v>
      </c>
      <c r="G12" s="124">
        <f>IFERROR(INDEX(GS_Pleins[PrixL],8),"")</f>
        <v>0.84899999999999998</v>
      </c>
      <c r="H12" s="123">
        <f t="shared" si="0"/>
        <v>11.23227</v>
      </c>
      <c r="I12" s="123">
        <f t="shared" si="1"/>
        <v>6.3</v>
      </c>
      <c r="J12" s="121" t="str">
        <f>IFERROR(INDEX(GS_Pleins[Station essence],8),"")</f>
        <v>Carrefour - Flers</v>
      </c>
    </row>
    <row r="13" spans="1:10" x14ac:dyDescent="0.25">
      <c r="A13" s="126" t="str">
        <f>IFERROR(INDEX(GS_Pleins[Date],9),"")</f>
        <v>5/4/2026 2:00:00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10553</v>
      </c>
      <c r="E13" s="122">
        <f t="shared" si="2"/>
        <v>-1488</v>
      </c>
      <c r="F13" s="123">
        <f>IFERROR(INDEX(GS_Pleins[Litres],9),"")</f>
        <v>11.47</v>
      </c>
      <c r="G13" s="124">
        <f>IFERROR(INDEX(GS_Pleins[PrixL],9),"")</f>
        <v>0.80900000000000005</v>
      </c>
      <c r="H13" s="123">
        <f t="shared" si="0"/>
        <v>9.2792300000000019</v>
      </c>
      <c r="I13" s="123" t="str">
        <f t="shared" si="1"/>
        <v/>
      </c>
      <c r="J13" s="121" t="str">
        <f>IFERROR(INDEX(GS_Pleins[Station essence],9),"")</f>
        <v>E.Leclerc - Beuvry</v>
      </c>
    </row>
    <row r="14" spans="1:10" x14ac:dyDescent="0.25">
      <c r="A14" s="126" t="str">
        <f>IFERROR(INDEX(GS_Pleins[Date],10),"")</f>
        <v>5/6/2026 2:00:00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10749</v>
      </c>
      <c r="E14" s="122">
        <f t="shared" si="2"/>
        <v>196</v>
      </c>
      <c r="F14" s="123">
        <f>IFERROR(INDEX(GS_Pleins[Litres],10),"")</f>
        <v>11.71</v>
      </c>
      <c r="G14" s="124">
        <f>IFERROR(INDEX(GS_Pleins[PrixL],10),"")</f>
        <v>0.747</v>
      </c>
      <c r="H14" s="123">
        <f t="shared" si="0"/>
        <v>8.7473700000000001</v>
      </c>
      <c r="I14" s="123">
        <f t="shared" si="1"/>
        <v>5.9744897959183678</v>
      </c>
      <c r="J14" s="121" t="str">
        <f>IFERROR(INDEX(GS_Pleins[Station essence],10),"")</f>
        <v>E.Leclerc - Beuvry</v>
      </c>
    </row>
    <row r="15" spans="1:10" x14ac:dyDescent="0.25">
      <c r="A15" s="126" t="str">
        <f>IFERROR(INDEX(GS_Pleins[Date],11),"")</f>
        <v>5/9/2026 2:00:00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10975</v>
      </c>
      <c r="E15" s="122">
        <f t="shared" si="2"/>
        <v>226</v>
      </c>
      <c r="F15" s="123">
        <f>IFERROR(INDEX(GS_Pleins[Litres],11),"")</f>
        <v>15.28</v>
      </c>
      <c r="G15" s="124">
        <f>IFERROR(INDEX(GS_Pleins[PrixL],11),"")</f>
        <v>0.75700000000000001</v>
      </c>
      <c r="H15" s="123">
        <f t="shared" si="0"/>
        <v>11.56696</v>
      </c>
      <c r="I15" s="123">
        <f t="shared" si="1"/>
        <v>6.7610619469026547</v>
      </c>
      <c r="J15" s="121" t="str">
        <f>IFERROR(INDEX(GS_Pleins[Station essence],11),"")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F12" sqref="F1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1" t="s">
        <v>72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4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5.0287867210754378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2.6490064546148817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-6.7821377278027617E-2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3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162.09972340710493</v>
      </c>
      <c r="C10" s="7" t="s">
        <v>104</v>
      </c>
      <c r="D10" s="4"/>
      <c r="E10" s="4"/>
      <c r="F10" s="4"/>
      <c r="G10" s="140" t="s">
        <v>107</v>
      </c>
      <c r="H10" s="140"/>
      <c r="I10" s="41"/>
      <c r="J10" s="37" t="str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352.44027659289503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12336.061009296467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0.25894524505927308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0.31503813776791884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3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7" t="str">
        <f>IFERROR(INDEX(GS_Pleins[Date],ROW()-15),"")</f>
        <v>4/19/2026 2:00:00</v>
      </c>
      <c r="C16" s="128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30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7" t="str">
        <f>IFERROR(INDEX(GS_Pleins[Date],ROW()-15),"")</f>
        <v>4/23/2026 2:00:00</v>
      </c>
      <c r="C17" s="128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1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19.449914005146766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7" t="str">
        <f>IFERROR(INDEX(GS_Pleins[Date],ROW()-15),"")</f>
        <v>4/28/2026 2:00:00</v>
      </c>
      <c r="C18" s="128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30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39.954702384623985</v>
      </c>
      <c r="S18" s="3">
        <f t="shared" si="4"/>
        <v>514.54</v>
      </c>
    </row>
    <row r="19" spans="1:19" x14ac:dyDescent="0.25">
      <c r="A19" s="45">
        <f t="shared" si="3"/>
        <v>4</v>
      </c>
      <c r="B19" s="127" t="str">
        <f>IFERROR(INDEX(GS_Pleins[Date],ROW()-15),"")</f>
        <v>5/12/2026 2:00:00</v>
      </c>
      <c r="C19" s="128" t="str" cm="1">
        <f t="array" ref="C19">IFERROR(INDEX(GS_Pleins[Type],ROW()-ROW(Tableau2[#Headers])),"")</f>
        <v>SuperEthanol E85</v>
      </c>
      <c r="D19" s="46">
        <f>IFERROR(INDEX(GS_Pleins[Km],ROW()-15),"")</f>
        <v>11173</v>
      </c>
      <c r="E19" s="60">
        <f>IF(AND(ISNUMBER(D18),Tableau2[[#This Row],[Km compteur]]&lt;&gt;""),Tableau2[[#This Row],[Km compteur]]-D18,"")</f>
        <v>824</v>
      </c>
      <c r="F19" s="47">
        <f>IFERROR(INDEX(GS_Pleins[Litres],ROW()-15),"")</f>
        <v>13.94</v>
      </c>
      <c r="G19" s="48">
        <f>IFERROR(INDEX(GS_Pleins[PrixL],ROW()-15),"")</f>
        <v>0.83499999999999996</v>
      </c>
      <c r="H19" s="49">
        <f t="shared" si="0"/>
        <v>1.691747572815534</v>
      </c>
      <c r="I19" s="50">
        <f t="shared" si="1"/>
        <v>11.639899999999999</v>
      </c>
      <c r="J19" s="51">
        <f t="shared" si="2"/>
        <v>1.691747572815534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31.089814005146767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0.62560406446712513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19.449914005146766</v>
      </c>
      <c r="O19" s="130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61.599062433555218</v>
      </c>
      <c r="S19" s="3">
        <f t="shared" si="4"/>
        <v>514.54</v>
      </c>
    </row>
    <row r="20" spans="1:19" x14ac:dyDescent="0.25">
      <c r="A20" s="45">
        <f t="shared" si="3"/>
        <v>5</v>
      </c>
      <c r="B20" s="127" t="str">
        <f>IFERROR(INDEX(GS_Pleins[Date],ROW()-15),"")</f>
        <v>5/15/2026 2:00:00</v>
      </c>
      <c r="C20" s="128" t="str" cm="1">
        <f t="array" ref="C20">IFERROR(INDEX(GS_Pleins[Type],ROW()-ROW(Tableau2[#Headers])),"")</f>
        <v>SuperEthanol E85</v>
      </c>
      <c r="D20" s="46">
        <f>IFERROR(INDEX(GS_Pleins[Km],ROW()-15),"")</f>
        <v>11376</v>
      </c>
      <c r="E20" s="60">
        <f>IF(AND(ISNUMBER(D19),Tableau2[[#This Row],[Km compteur]]&lt;&gt;""),Tableau2[[#This Row],[Km compteur]]-D19,"")</f>
        <v>203</v>
      </c>
      <c r="F20" s="47">
        <f>IFERROR(INDEX(GS_Pleins[Litres],ROW()-15),"")</f>
        <v>13.37</v>
      </c>
      <c r="G20" s="48">
        <f>IFERROR(INDEX(GS_Pleins[PrixL],ROW()-15),"")</f>
        <v>0.71699999999999997</v>
      </c>
      <c r="H20" s="49">
        <f t="shared" si="0"/>
        <v>6.5862068965517233</v>
      </c>
      <c r="I20" s="50">
        <f t="shared" si="1"/>
        <v>9.5862899999999982</v>
      </c>
      <c r="J20" s="51">
        <f t="shared" si="2"/>
        <v>6.5862068965517233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30.091078379477221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0.68142417898395891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39.954702384623985</v>
      </c>
      <c r="O20" s="130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85.152191817430008</v>
      </c>
      <c r="S20" s="3">
        <f t="shared" si="4"/>
        <v>514.54</v>
      </c>
    </row>
    <row r="21" spans="1:19" x14ac:dyDescent="0.25">
      <c r="A21" s="45">
        <f t="shared" si="3"/>
        <v>6</v>
      </c>
      <c r="B21" s="127" t="str">
        <f>IFERROR(INDEX(GS_Pleins[Date],ROW()-15),"")</f>
        <v>5/19/2026 2:00:00</v>
      </c>
      <c r="C21" s="128" t="str" cm="1">
        <f t="array" ref="C21">IFERROR(INDEX(GS_Pleins[Type],ROW()-ROW(Tableau2[#Headers])),"")</f>
        <v>SuperEthanol E85</v>
      </c>
      <c r="D21" s="46">
        <f>IFERROR(INDEX(GS_Pleins[Km],ROW()-15),"")</f>
        <v>11596</v>
      </c>
      <c r="E21" s="60">
        <f>IF(AND(ISNUMBER(D20),Tableau2[[#This Row],[Km compteur]]&lt;&gt;""),Tableau2[[#This Row],[Km compteur]]-D20,"")</f>
        <v>220</v>
      </c>
      <c r="F21" s="47">
        <f>IFERROR(INDEX(GS_Pleins[Litres],ROW()-15),"")</f>
        <v>14.9</v>
      </c>
      <c r="G21" s="48">
        <f>IFERROR(INDEX(GS_Pleins[PrixL],ROW()-15),"")</f>
        <v>0.79800000000000004</v>
      </c>
      <c r="H21" s="49">
        <f>IF(OR(D21="",D20="",I21="",ISTEXT(D20)),"",F21/(D21-D20)*100)</f>
        <v>6.7727272727272734</v>
      </c>
      <c r="I21" s="50">
        <f t="shared" si="1"/>
        <v>11.8902</v>
      </c>
      <c r="J21" s="51">
        <f t="shared" si="2"/>
        <v>6.7727272727272734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33.534560048931233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0.64543444188172827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61.599062433555218</v>
      </c>
      <c r="O21" s="130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103.65333269427084</v>
      </c>
      <c r="S21" s="3">
        <f t="shared" si="4"/>
        <v>514.54</v>
      </c>
    </row>
    <row r="22" spans="1:19" x14ac:dyDescent="0.25">
      <c r="A22" s="45">
        <f t="shared" si="3"/>
        <v>7</v>
      </c>
      <c r="B22" s="127" t="str">
        <f>IFERROR(INDEX(GS_Pleins[Date],ROW()-15),"")</f>
        <v>5/22/2026 2:00:00</v>
      </c>
      <c r="C22" s="129" t="str" cm="1">
        <f t="array" ref="C22">IFERROR(INDEX(GS_Pleins[Type],ROW()-ROW(Tableau2[#Headers])),"")</f>
        <v>SuperEthanol E85</v>
      </c>
      <c r="D22" s="60">
        <f>IFERROR(INDEX(GS_Pleins[Km],ROW()-15),"")</f>
        <v>11831</v>
      </c>
      <c r="E22" s="60">
        <f>IF(AND(ISNUMBER(D21),Tableau2[[#This Row],[Km compteur]]&lt;&gt;""),Tableau2[[#This Row],[Km compteur]]-D21,"")</f>
        <v>235</v>
      </c>
      <c r="F22" s="61">
        <f>IFERROR(INDEX(GS_Pleins[Litres],ROW()-15),"")</f>
        <v>16.25</v>
      </c>
      <c r="G22" s="62">
        <f>IFERROR(INDEX(GS_Pleins[PrixL],ROW()-15),"")</f>
        <v>0.79800000000000004</v>
      </c>
      <c r="H22" s="49">
        <f t="shared" si="0"/>
        <v>6.9148936170212769</v>
      </c>
      <c r="I22" s="50">
        <f>IF(F22="","",F22*G22)</f>
        <v>12.967500000000001</v>
      </c>
      <c r="J22" s="51">
        <f t="shared" si="2"/>
        <v>6.9148936170212769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36.520629383874798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0.64492671077225106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85.152191817430008</v>
      </c>
      <c r="O22" s="130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120.10283044600486</v>
      </c>
      <c r="S22" s="3">
        <f t="shared" si="4"/>
        <v>514.54</v>
      </c>
    </row>
    <row r="23" spans="1:19" x14ac:dyDescent="0.25">
      <c r="A23" s="45">
        <f t="shared" si="3"/>
        <v>8</v>
      </c>
      <c r="B23" s="127" t="str">
        <f>IFERROR(INDEX(GS_Pleins[Date],ROW()-15),"")</f>
        <v>5/28/2026 2:00:00</v>
      </c>
      <c r="C23" s="128" t="str" cm="1">
        <f t="array" ref="C23">IFERROR(INDEX(GS_Pleins[Type],ROW()-ROW(Tableau2[#Headers])),"")</f>
        <v>SuperEthanol E85</v>
      </c>
      <c r="D23" s="46">
        <f>IFERROR(INDEX(GS_Pleins[Km],ROW()-15),"")</f>
        <v>12041</v>
      </c>
      <c r="E23" s="60">
        <f>IF(AND(ISNUMBER(D22),Tableau2[[#This Row],[Km compteur]]&lt;&gt;""),Tableau2[[#This Row],[Km compteur]]-D22,"")</f>
        <v>210</v>
      </c>
      <c r="F23" s="47">
        <f>IFERROR(INDEX(GS_Pleins[Litres],ROW()-15),"")</f>
        <v>13.23</v>
      </c>
      <c r="G23" s="48">
        <f>IFERROR(INDEX(GS_Pleins[PrixL],ROW()-15),"")</f>
        <v>0.84899999999999998</v>
      </c>
      <c r="H23" s="49">
        <f t="shared" si="0"/>
        <v>6.3</v>
      </c>
      <c r="I23" s="50">
        <f t="shared" si="1"/>
        <v>11.23227</v>
      </c>
      <c r="J23" s="51">
        <f t="shared" si="2"/>
        <v>6.3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29.733410876840836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0.62223405694942513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103.65333269427084</v>
      </c>
      <c r="O23" s="130" t="str" cm="1">
        <f t="array" ref="O23">IFERROR(INDEX(GS_Pleins[Station essence],ROW()-15),"")</f>
        <v>Carrefour - Flers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137.9491511783805</v>
      </c>
      <c r="S23" s="3">
        <f t="shared" si="4"/>
        <v>514.54</v>
      </c>
    </row>
    <row r="24" spans="1:19" x14ac:dyDescent="0.25">
      <c r="A24" s="74">
        <f>IF(B24="","",A23+1)</f>
        <v>9</v>
      </c>
      <c r="B24" s="127" t="str">
        <f>IFERROR(INDEX(GS_Pleins[Date],ROW()-15),"")</f>
        <v>5/4/2026 2:00:00</v>
      </c>
      <c r="C24" s="129" t="str" cm="1">
        <f t="array" ref="C24">IFERROR(INDEX(GS_Pleins[Type],ROW()-ROW(Tableau2[#Headers])),"")</f>
        <v>SuperEthanol E85</v>
      </c>
      <c r="D24" s="60">
        <f>IFERROR(INDEX(GS_Pleins[Km],ROW()-15),"")</f>
        <v>10553</v>
      </c>
      <c r="E24" s="60">
        <f>IF(AND(ISNUMBER(D23),Tableau2[[#This Row],[Km compteur]]&lt;&gt;""),Tableau2[[#This Row],[Km compteur]]-D23,"")</f>
        <v>-1488</v>
      </c>
      <c r="F24" s="61">
        <f>IFERROR(INDEX(GS_Pleins[Litres],ROW()-15),"")</f>
        <v>11.47</v>
      </c>
      <c r="G24" s="62">
        <f>IFERROR(INDEX(GS_Pleins[PrixL],ROW()-15),"")</f>
        <v>0.80900000000000005</v>
      </c>
      <c r="H24" s="73">
        <f>IF(OR(D24="",D23="",I24="",ISTEXT(D23)),"",F24/(D24-D23)*100)</f>
        <v>-0.77083333333333337</v>
      </c>
      <c r="I24" s="50">
        <f>IF(F24="","",F24*G24)</f>
        <v>9.2792300000000019</v>
      </c>
      <c r="J24" s="51">
        <f>IF(OR(D24="",D23="",F24="",ISTEXT(D23)),"",F24/(D24-D23)*100)</f>
        <v>-0.77083333333333337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25.728727751734016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0.63934361272975815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120.10283044600486</v>
      </c>
      <c r="O24" s="130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7" t="str">
        <f>IFERROR(INDEX(GS_Pleins[Date],ROW()-15),"")</f>
        <v>5/6/2026 2:00:00</v>
      </c>
      <c r="C25" s="129" t="str" cm="1">
        <f t="array" ref="C25">IFERROR(INDEX(GS_Pleins[Type],ROW()-ROW(Tableau2[#Headers])),"")</f>
        <v>SuperEthanol E85</v>
      </c>
      <c r="D25" s="60">
        <f>IFERROR(INDEX(GS_Pleins[Km],ROW()-15),"")</f>
        <v>10749</v>
      </c>
      <c r="E25" s="60">
        <f>IF(AND(ISNUMBER(D24),Tableau2[[#This Row],[Km compteur]]&lt;&gt;""),Tableau2[[#This Row],[Km compteur]]-D24,"")</f>
        <v>196</v>
      </c>
      <c r="F25" s="61">
        <f>IFERROR(INDEX(GS_Pleins[Litres],ROW()-15),"")</f>
        <v>11.71</v>
      </c>
      <c r="G25" s="62">
        <f>IFERROR(INDEX(GS_Pleins[PrixL],ROW()-15),"")</f>
        <v>0.747</v>
      </c>
      <c r="H25" s="73">
        <f>IF(OR(D25="",D24="",I25="",ISTEXT(D24)),"",F25/(D25-D24)*100)</f>
        <v>5.9744897959183678</v>
      </c>
      <c r="I25" s="50">
        <f>IF(F25="","",F25*G25)</f>
        <v>8.7473700000000001</v>
      </c>
      <c r="J25" s="51">
        <f>IF(OR(D25="",D24="",F25="",ISTEXT(D24)),"",F25/(D25-D24)*100)</f>
        <v>5.9744897959183678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26.593690732375634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0.67107348551095258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137.9491511783805</v>
      </c>
      <c r="O25" s="130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7" t="str">
        <f>IFERROR(INDEX(GS_Pleins[Date],ROW()-15),"")</f>
        <v>5/9/2026 2:00:00</v>
      </c>
      <c r="C26" s="129" t="str" cm="1">
        <f t="array" ref="C26">IFERROR(INDEX(GS_Pleins[Type],ROW()-ROW(Tableau2[#Headers])),"")</f>
        <v>SuperEthanol E85</v>
      </c>
      <c r="D26" s="60">
        <f>IFERROR(INDEX(GS_Pleins[Km],ROW()-15),"")</f>
        <v>10975</v>
      </c>
      <c r="E26" s="60">
        <f>IF(AND(ISNUMBER(D25),Tableau2[[#This Row],[Km compteur]]&lt;&gt;""),Tableau2[[#This Row],[Km compteur]]-D25,"")</f>
        <v>226</v>
      </c>
      <c r="F26" s="61">
        <f>IFERROR(INDEX(GS_Pleins[Litres],ROW()-15),"")</f>
        <v>15.28</v>
      </c>
      <c r="G26" s="62">
        <f>IFERROR(INDEX(GS_Pleins[PrixL],ROW()-15),"")</f>
        <v>0.75700000000000001</v>
      </c>
      <c r="H26" s="73">
        <f>IF(OR(D26="",D25="",I26="",ISTEXT(D25)),"",F26/(D26-D25)*100)</f>
        <v>6.7610619469026547</v>
      </c>
      <c r="I26" s="50">
        <f>IF(F26="","",F26*G26)</f>
        <v>11.56696</v>
      </c>
      <c r="J26" s="51">
        <f>IF(OR(D26="",D25="",F26="",ISTEXT(D25)),"",F26/(D26-D25)*100)</f>
        <v>6.7610619469026547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35.717532228724423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0.67615455832926419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162.09972340710493</v>
      </c>
      <c r="O26" s="130" t="str" cm="1">
        <f t="array" ref="O26">IFERROR(INDEX(GS_Pleins[Station essence],ROW()-15),"")</f>
        <v>E.Leclerc - Beuvry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4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249.00944340710495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162.09972340710496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-352.44027659289497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 t="str">
        <f>IFERROR((LOOKUP(9.99999999999999E+307,Tableau2[Km compteur])-INDEX(Tableau2[Km compteur],1))/(LOOKUP(9.99999999999999E+307,Tableau2[Date])-INDEX(Tableau2[Date],1))*7,"-")</f>
        <v>-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0.31503813776791884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 t="str">
        <f>IFERROR((LOOKUP(9.99999999999999E+307,Tableau2[Km compteur])-INDEX(Tableau2[Km compteur],1))/(LOOKUP(9.99999999999999E+307,Tableau2[Date])-INDEX(Tableau2[Date],1))*30.4375,"-")</f>
        <v>-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352,44 €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7.2723070169181225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5.0287867210754378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4847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19" priority="2">
      <formula>AND($C16="SuperEthanol E85",$K16="")</formula>
    </cfRule>
  </conditionalFormatting>
  <conditionalFormatting sqref="G16:G26">
    <cfRule type="expression" dxfId="18" priority="3">
      <formula>AND($G16&lt;&gt;"",ISNUMBER($G16),$G16&lt;AVERAGEIFS(G:G,C:C,$C16,G:G,"&gt;="&amp;$G16-30,G:G," &lt;="&amp;$G16))</formula>
    </cfRule>
    <cfRule type="expression" dxfId="17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2" t="s">
        <v>296</v>
      </c>
      <c r="C2" s="143"/>
      <c r="D2" s="143"/>
      <c r="E2" s="143"/>
      <c r="F2" s="143"/>
      <c r="G2" s="143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4" t="s">
        <v>316</v>
      </c>
      <c r="C4" s="143"/>
      <c r="D4" s="143"/>
      <c r="E4" s="143"/>
      <c r="F4" s="143"/>
      <c r="G4" s="143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5" t="s">
        <v>304</v>
      </c>
      <c r="C19" s="146"/>
      <c r="D19" s="146"/>
      <c r="E19" s="146"/>
      <c r="F19" s="146"/>
      <c r="G19" s="146"/>
    </row>
    <row r="20" spans="2:9" ht="18" customHeight="1" x14ac:dyDescent="0.25">
      <c r="B20" s="145"/>
      <c r="C20" s="146"/>
      <c r="D20" s="146"/>
      <c r="E20" s="146"/>
      <c r="F20" s="146"/>
      <c r="G20" s="146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2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2026-05-30T23:19:30Z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