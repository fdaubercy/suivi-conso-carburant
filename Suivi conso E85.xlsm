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"/>
    </mc:Choice>
  </mc:AlternateContent>
  <xr:revisionPtr revIDLastSave="0" documentId="13_ncr:1_{4BA3A793-C305-4AC9-B37D-923A320583D9}" xr6:coauthVersionLast="47" xr6:coauthVersionMax="47" xr10:uidLastSave="{00000000-0000-0000-0000-000000000000}"/>
  <bookViews>
    <workbookView xWindow="-120" yWindow="-120" windowWidth="24240" windowHeight="13020" firstSheet="1" activeTab="1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r:id="rId8"/>
  </sheets>
  <functionGroups builtInGroupCount="19"/>
  <externalReferences>
    <externalReference r:id="rId9"/>
  </externalReferences>
  <definedNames>
    <definedName name="DonnéesExternes_1" localSheetId="2" hidden="1">GS_Pleins!$A$1:$N$11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0" l="1"/>
  <c r="B13" i="10"/>
  <c r="B12" i="10"/>
  <c r="B11" i="10"/>
  <c r="B10" i="10"/>
  <c r="B9" i="10"/>
  <c r="B8" i="10"/>
  <c r="B7" i="10"/>
  <c r="B6" i="10"/>
  <c r="B5" i="10"/>
  <c r="B29" i="2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A2" i="4" l="1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B3" i="4"/>
  <c r="AB4" i="4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2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W2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S2" i="4"/>
  <c r="U11" i="4"/>
  <c r="U12" i="4"/>
  <c r="U18" i="4"/>
  <c r="U21" i="4"/>
  <c r="U22" i="4"/>
  <c r="U23" i="4"/>
  <c r="U24" i="4"/>
  <c r="U25" i="4"/>
  <c r="U26" i="4"/>
  <c r="U27" i="4"/>
  <c r="U28" i="4"/>
  <c r="U29" i="4"/>
  <c r="U30" i="4"/>
  <c r="U31" i="4"/>
  <c r="U32" i="4"/>
  <c r="T11" i="4"/>
  <c r="T12" i="4"/>
  <c r="T18" i="4"/>
  <c r="T21" i="4"/>
  <c r="T22" i="4"/>
  <c r="T23" i="4"/>
  <c r="T24" i="4"/>
  <c r="T25" i="4"/>
  <c r="T26" i="4"/>
  <c r="T27" i="4"/>
  <c r="T28" i="4"/>
  <c r="T29" i="4"/>
  <c r="T30" i="4"/>
  <c r="T31" i="4"/>
  <c r="T32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B16" i="7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X10" i="4" s="1"/>
  <c r="J24" i="2"/>
  <c r="U10" i="4" s="1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T3" i="4" s="1"/>
  <c r="J18" i="2"/>
  <c r="T4" i="4" s="1"/>
  <c r="J19" i="2"/>
  <c r="J20" i="2"/>
  <c r="U6" i="4" s="1"/>
  <c r="J21" i="2"/>
  <c r="T7" i="4" s="1"/>
  <c r="J22" i="2"/>
  <c r="T8" i="4" s="1"/>
  <c r="J23" i="2"/>
  <c r="U9" i="4" s="1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Y8" i="4" s="1"/>
  <c r="B32" i="2"/>
  <c r="B31" i="2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G3" i="4"/>
  <c r="AG2" i="4"/>
  <c r="Q2" i="4"/>
  <c r="S16" i="2"/>
  <c r="M17" i="2"/>
  <c r="M18" i="2"/>
  <c r="K17" i="2"/>
  <c r="AC3" i="4" s="1"/>
  <c r="I17" i="2"/>
  <c r="H17" i="2" s="1"/>
  <c r="X3" i="4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S10" i="4"/>
  <c r="S8" i="4"/>
  <c r="S4" i="4"/>
  <c r="T10" i="4"/>
  <c r="T6" i="4"/>
  <c r="U8" i="4"/>
  <c r="U4" i="4"/>
  <c r="W7" i="4"/>
  <c r="W3" i="4"/>
  <c r="Y3" i="4"/>
  <c r="AA10" i="4"/>
  <c r="AA6" i="4"/>
  <c r="S7" i="4"/>
  <c r="S3" i="4"/>
  <c r="T9" i="4"/>
  <c r="T5" i="4"/>
  <c r="U7" i="4"/>
  <c r="U3" i="4"/>
  <c r="W10" i="4"/>
  <c r="W6" i="4"/>
  <c r="X8" i="4"/>
  <c r="Y10" i="4"/>
  <c r="AA9" i="4"/>
  <c r="AA5" i="4"/>
  <c r="S6" i="4"/>
  <c r="W9" i="4"/>
  <c r="W5" i="4"/>
  <c r="AA8" i="4"/>
  <c r="AA4" i="4"/>
  <c r="S9" i="4"/>
  <c r="S5" i="4"/>
  <c r="U5" i="4"/>
  <c r="W8" i="4"/>
  <c r="W4" i="4"/>
  <c r="AA7" i="4"/>
  <c r="AA3" i="4"/>
  <c r="J6" i="2" a="1"/>
  <c r="J6" i="2" s="1"/>
  <c r="T2" i="4"/>
  <c r="U2" i="4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X7" i="4" l="1"/>
  <c r="Y7" i="4"/>
  <c r="L18" i="2"/>
  <c r="AC4" i="4"/>
  <c r="X6" i="4"/>
  <c r="Y6" i="4"/>
  <c r="L16" i="2"/>
  <c r="J28" i="2" s="1"/>
  <c r="AC2" i="4"/>
  <c r="Y9" i="4"/>
  <c r="X9" i="4"/>
  <c r="Y4" i="4"/>
  <c r="X4" i="4"/>
  <c r="H19" i="2"/>
  <c r="N19" i="2"/>
  <c r="M19" i="2"/>
  <c r="Y2" i="4"/>
  <c r="X2" i="4"/>
  <c r="M23" i="2"/>
  <c r="M20" i="2"/>
  <c r="M21" i="2"/>
  <c r="U13" i="4" l="1"/>
  <c r="T13" i="4"/>
  <c r="Y5" i="4"/>
  <c r="X5" i="4"/>
  <c r="N20" i="2"/>
  <c r="N21" i="2" s="1"/>
  <c r="N22" i="2" s="1"/>
  <c r="N23" i="2" s="1"/>
  <c r="N24" i="2" s="1"/>
  <c r="N25" i="2" s="1"/>
  <c r="J29" i="2" l="1"/>
  <c r="P28" i="4" a="1"/>
  <c r="P28" i="4" s="1"/>
  <c r="P26" i="4" a="1"/>
  <c r="P26" i="4" s="1"/>
  <c r="P8" i="4" a="1"/>
  <c r="P8" i="4" s="1"/>
  <c r="P6" i="4" a="1"/>
  <c r="P6" i="4" s="1"/>
  <c r="P4" i="4" a="1"/>
  <c r="P4" i="4" s="1"/>
  <c r="P25" i="4" a="1"/>
  <c r="P25" i="4" s="1"/>
  <c r="P19" i="4" a="1"/>
  <c r="P19" i="4" s="1"/>
  <c r="O27" i="4"/>
  <c r="Q27" i="4" s="1"/>
  <c r="O11" i="4"/>
  <c r="O22" i="4"/>
  <c r="Q22" i="4" s="1"/>
  <c r="O6" i="4"/>
  <c r="Q6" i="4" s="1"/>
  <c r="O21" i="4"/>
  <c r="Q21" i="4" s="1"/>
  <c r="O5" i="4"/>
  <c r="O20" i="4"/>
  <c r="O4" i="4"/>
  <c r="Q4" i="4" s="1"/>
  <c r="P14" i="4" a="1"/>
  <c r="P14" i="4" s="1"/>
  <c r="P12" i="4" a="1"/>
  <c r="P12" i="4" s="1"/>
  <c r="P10" i="4" a="1"/>
  <c r="P10" i="4" s="1"/>
  <c r="P27" i="4" a="1"/>
  <c r="P27" i="4" s="1"/>
  <c r="P29" i="4" a="1"/>
  <c r="P29" i="4" s="1"/>
  <c r="P23" i="4" a="1"/>
  <c r="P23" i="4" s="1"/>
  <c r="P9" i="4" a="1"/>
  <c r="P9" i="4" s="1"/>
  <c r="P3" i="4" a="1"/>
  <c r="P3" i="4" s="1"/>
  <c r="O23" i="4"/>
  <c r="Q23" i="4" s="1"/>
  <c r="O7" i="4"/>
  <c r="O18" i="4"/>
  <c r="Q18" i="4" s="1"/>
  <c r="O3" i="4"/>
  <c r="Q3" i="4" s="1"/>
  <c r="O17" i="4"/>
  <c r="Q17" i="4" s="1"/>
  <c r="O32" i="4"/>
  <c r="Q32" i="4" s="1"/>
  <c r="O16" i="4"/>
  <c r="Q16" i="4" s="1"/>
  <c r="O2" i="4"/>
  <c r="J30" i="2"/>
  <c r="U14" i="4"/>
  <c r="T14" i="4"/>
  <c r="P31" i="4" a="1"/>
  <c r="P31" i="4" s="1"/>
  <c r="P17" i="4" a="1"/>
  <c r="P17" i="4" s="1"/>
  <c r="P11" i="4" a="1"/>
  <c r="P11" i="4" s="1"/>
  <c r="P13" i="4" a="1"/>
  <c r="P13" i="4" s="1"/>
  <c r="P7" i="4" a="1"/>
  <c r="P7" i="4" s="1"/>
  <c r="P32" i="4" a="1"/>
  <c r="P32" i="4" s="1"/>
  <c r="P30" i="4" a="1"/>
  <c r="P30" i="4" s="1"/>
  <c r="O19" i="4"/>
  <c r="Q19" i="4" s="1"/>
  <c r="O30" i="4"/>
  <c r="Q30" i="4" s="1"/>
  <c r="O14" i="4"/>
  <c r="Q14" i="4" s="1"/>
  <c r="O29" i="4"/>
  <c r="Q29" i="4" s="1"/>
  <c r="O13" i="4"/>
  <c r="Q13" i="4" s="1"/>
  <c r="O28" i="4"/>
  <c r="Q28" i="4" s="1"/>
  <c r="O12" i="4"/>
  <c r="Q12" i="4" s="1"/>
  <c r="P21" i="4" a="1"/>
  <c r="P21" i="4" s="1"/>
  <c r="P5" i="4" a="1"/>
  <c r="P5" i="4" s="1"/>
  <c r="P15" i="4" a="1"/>
  <c r="P15" i="4" s="1"/>
  <c r="P24" i="4" a="1"/>
  <c r="P24" i="4" s="1"/>
  <c r="P22" i="4" a="1"/>
  <c r="P22" i="4" s="1"/>
  <c r="P20" i="4" a="1"/>
  <c r="P20" i="4" s="1"/>
  <c r="P18" i="4" a="1"/>
  <c r="P18" i="4" s="1"/>
  <c r="P16" i="4" a="1"/>
  <c r="P16" i="4" s="1"/>
  <c r="O31" i="4"/>
  <c r="Q31" i="4" s="1"/>
  <c r="O15" i="4"/>
  <c r="Q15" i="4" s="1"/>
  <c r="O26" i="4"/>
  <c r="Q26" i="4" s="1"/>
  <c r="O10" i="4"/>
  <c r="Q10" i="4" s="1"/>
  <c r="O25" i="4"/>
  <c r="Q25" i="4" s="1"/>
  <c r="O9" i="4"/>
  <c r="Q9" i="4" s="1"/>
  <c r="O24" i="4"/>
  <c r="Q24" i="4" s="1"/>
  <c r="O8" i="4"/>
  <c r="Q8" i="4" s="1"/>
  <c r="Q11" i="4"/>
  <c r="Q5" i="4"/>
  <c r="Q20" i="4"/>
  <c r="Q7" i="4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AF35" i="4" l="1"/>
  <c r="AF43" i="4"/>
  <c r="AF49" i="4"/>
  <c r="AF33" i="4"/>
  <c r="AF41" i="4"/>
  <c r="AF47" i="4"/>
  <c r="AF53" i="4"/>
  <c r="AF34" i="4"/>
  <c r="AF36" i="4"/>
  <c r="AF38" i="4"/>
  <c r="AF40" i="4"/>
  <c r="AF42" i="4"/>
  <c r="AF44" i="4"/>
  <c r="AF46" i="4"/>
  <c r="AF48" i="4"/>
  <c r="AF50" i="4"/>
  <c r="AF52" i="4"/>
  <c r="AF54" i="4"/>
  <c r="AF37" i="4"/>
  <c r="AF39" i="4"/>
  <c r="AF45" i="4"/>
  <c r="AF51" i="4"/>
  <c r="AF19" i="4"/>
  <c r="AF14" i="4"/>
  <c r="AF18" i="4"/>
  <c r="AF23" i="4"/>
  <c r="AF28" i="4"/>
  <c r="AF32" i="4"/>
  <c r="AF27" i="4"/>
  <c r="AF15" i="4"/>
  <c r="AF20" i="4"/>
  <c r="AF24" i="4"/>
  <c r="AF29" i="4"/>
  <c r="AF12" i="4"/>
  <c r="AF16" i="4"/>
  <c r="AF21" i="4"/>
  <c r="AF25" i="4"/>
  <c r="AF30" i="4"/>
  <c r="AF13" i="4"/>
  <c r="AF17" i="4"/>
  <c r="AF22" i="4"/>
  <c r="AF26" i="4"/>
  <c r="AF31" i="4"/>
  <c r="J35" i="2"/>
  <c r="T19" i="4"/>
  <c r="U19" i="4"/>
  <c r="J32" i="2"/>
  <c r="T15" i="4"/>
  <c r="U15" i="4"/>
  <c r="T16" i="4"/>
  <c r="U16" i="4"/>
  <c r="AF3" i="4"/>
  <c r="AF5" i="4"/>
  <c r="AF7" i="4"/>
  <c r="AF10" i="4"/>
  <c r="AF11" i="4"/>
  <c r="AF8" i="4"/>
  <c r="AF6" i="4"/>
  <c r="AF9" i="4"/>
  <c r="AF4" i="4"/>
  <c r="B10" i="2"/>
  <c r="AH2" i="4" l="1" a="1"/>
  <c r="AH2" i="4" s="1"/>
  <c r="AI2" i="4"/>
  <c r="U17" i="4"/>
  <c r="T17" i="4"/>
  <c r="T20" i="4"/>
  <c r="U20" i="4"/>
  <c r="J12" i="2"/>
  <c r="B11" i="2"/>
  <c r="B12" i="2" a="1"/>
  <c r="B12" i="2" s="1"/>
  <c r="AH3" i="4" l="1"/>
  <c r="J11" i="2"/>
  <c r="J10" i="2" s="1"/>
  <c r="AI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<sst xmlns="http://schemas.openxmlformats.org/spreadsheetml/2006/main" count="502" uniqueCount="390">
  <si>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</si>
  <si>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</si>
  <si>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</si>
  <si>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</si>
  <si>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</si>
  <si>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</si>
  <si>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</si>
  <si>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</si>
  <si>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</si>
  <si>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</si>
  <si>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</si>
  <si>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</si>
  <si>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</si>
  <si>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</si>
  <si>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</si>
  <si>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</si>
  <si>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</si>
  <si>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</si>
  <si>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</si>
  <si>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</si>
  <si>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</si>
  <si>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</si>
  <si>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</si>
  <si>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</si>
  <si>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</si>
  <si>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</si>
  <si>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</si>
  <si>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</si>
  <si>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</si>
  <si>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</si>
  <si>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</si>
  <si>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</si>
  <si>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</si>
  <si>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</si>
  <si>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</si>
  <si>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</si>
  <si>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</si>
  <si>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</si>
  <si>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</si>
  <si>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</si>
  <si>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</si>
  <si>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</si>
  <si>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</si>
  <si>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</si>
  <si>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</si>
  <si>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</si>
  <si>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</si>
  <si>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</si>
  <si>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</si>
  <si>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</si>
  <si>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</si>
  <si>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</si>
  <si>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</si>
  <si>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</si>
  <si>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</si>
  <si>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</si>
  <si>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</si>
  <si>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</si>
  <si>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</si>
  <si>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</si>
  <si>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</si>
  <si>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</si>
  <si>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</si>
  <si>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</si>
  <si>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</si>
  <si>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</si>
  <si>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</si>
  <si>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</si>
  <si>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</si>
  <si>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</si>
  <si>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</si>
  <si>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</si>
  <si>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</si>
  <si>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</si>
  <si>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</si>
  <si>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</si>
  <si>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</si>
  <si>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</si>
  <si>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</si>
  <si>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</si>
  <si>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</si>
  <si>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</si>
  <si>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</si>
  <si>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</si>
  <si>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</si>
  <si>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</si>
  <si>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</si>
  <si>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</si>
  <si>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</si>
  <si>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</si>
  <si>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</si>
  <si>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</si>
  <si>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</si>
  <si>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</si>
  <si>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</si>
  <si>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</si>
  <si>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</si>
  <si>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</si>
  <si>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</si>
  <si>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</si>
  <si>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</si>
  <si>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</si>
  <si>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</si>
  <si>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</si>
  <si>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</si>
  <si>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</si>
  <si>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</si>
  <si>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</si>
  <si>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</si>
  <si>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</si>
  <si>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</si>
  <si>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</si>
  <si>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</si>
  <si>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</si>
  <si>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</si>
  <si>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</si>
  <si>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</si>
  <si>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</si>
  <si>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</si>
  <si>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</si>
  <si>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</si>
  <si>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</si>
  <si>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</si>
  <si>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</si>
  <si>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</si>
  <si>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</si>
  <si>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</si>
  <si>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</si>
  <si>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</si>
  <si>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</si>
  <si>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</si>
  <si>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</si>
  <si>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</si>
  <si>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</si>
  <si>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</si>
  <si>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</si>
  <si>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N° plein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</si>
  <si>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</si>
  <si>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</si>
  <si>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</si>
  <si>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</si>
  <si>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</si>
  <si>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</si>
  <si>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</si>
  <si>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</si>
  <si>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</si>
  <si>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📊 GRAPHIQUES DE SUIVI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</si>
  <si>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</si>
  <si>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</si>
  <si>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</si>
  <si>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</si>
  <si>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</si>
  <si>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Plein E85</t>
  </si>
  <si>
    <t>Économie cumulée</t>
  </si>
  <si>
    <t>Coût du kit</t>
  </si>
  <si>
    <t>Conso S98 (L/100km)</t>
  </si>
  <si>
    <t>Conso E85 (L/100km)</t>
  </si>
  <si>
    <t>Coût S98 (c€/km)</t>
  </si>
  <si>
    <t>Coût E85 (c€/km)</t>
  </si>
  <si>
    <t>Prix payé (€/L)</t>
  </si>
  <si>
    <t>Prix S98 du jour (€/L)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</si>
  <si>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</si>
  <si>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</si>
  <si>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</si>
  <si>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</si>
  <si>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</si>
  <si>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</si>
  <si>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</si>
  <si>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</si>
  <si>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</si>
  <si>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</si>
  <si>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</si>
  <si>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</si>
  <si>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</si>
  <si>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</si>
  <si>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</si>
  <si>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</si>
  <si>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</si>
  <si>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</si>
  <si>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</si>
  <si>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</si>
  <si>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</si>
  <si>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</si>
  <si>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</si>
  <si>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</si>
  <si>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</si>
  <si>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</si>
  <si>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</si>
  <si>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</si>
  <si>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</si>
  <si>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</si>
  <si>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</si>
  <si>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</si>
  <si>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</si>
  <si>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</si>
  <si>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</si>
  <si>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</si>
  <si>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</si>
  <si>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</si>
  <si>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</si>
  <si>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</si>
  <si>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</si>
  <si>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</si>
  <si>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</si>
  <si>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</si>
  <si>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</si>
  <si>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</si>
  <si>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</si>
  <si>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</si>
  <si>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</si>
  <si>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</si>
  <si>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</si>
  <si>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</si>
  <si>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</si>
  <si>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</si>
  <si>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</si>
  <si>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</si>
  <si>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</si>
  <si>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</si>
  <si>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</si>
  <si>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</si>
  <si>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</si>
  <si>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</si>
  <si>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</si>
  <si>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</si>
  <si>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</si>
  <si>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</si>
  <si>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</si>
  <si>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</si>
  <si>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</si>
  <si>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</si>
  <si>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</si>
  <si>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</si>
  <si>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</si>
  <si>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</si>
  <si>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</si>
  <si>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</si>
  <si>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</si>
  <si>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</si>
  <si>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</si>
  <si>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</si>
  <si>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</si>
  <si>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</si>
  <si>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</si>
  <si>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</si>
  <si>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</si>
  <si>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</si>
  <si>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</si>
  <si>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</si>
  <si>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</si>
  <si>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</si>
  <si>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</si>
  <si>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</si>
  <si>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</si>
  <si>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</si>
  <si>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</si>
  <si>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</si>
  <si>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</si>
  <si>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</si>
  <si>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</si>
  <si>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</si>
  <si>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</si>
  <si>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</si>
  <si>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</si>
  <si>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</si>
  <si>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</si>
  <si>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</si>
  <si>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</si>
  <si>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</si>
  <si>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</si>
  <si>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</si>
  <si>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</si>
  <si>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</si>
  <si>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</si>
  <si>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</si>
  <si>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</si>
  <si>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</si>
  <si>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</si>
  <si>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</si>
  <si>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</si>
  <si>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</si>
  <si>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</si>
  <si>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</si>
  <si>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</si>
  <si>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</si>
  <si>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</si>
  <si>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</si>
  <si>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Total Waziers</t>
  </si>
  <si>
    <t>Leclerc Douai</t>
  </si>
  <si>
    <t>Carrefour Flers</t>
  </si>
  <si>
    <t>Station</t>
  </si>
  <si>
    <t>MOYENNE GLOBALE (tous pleins)</t>
  </si>
  <si>
    <t>N° plein projection</t>
  </si>
  <si>
    <t>Projection éco (€)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</si>
  <si>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</si>
  <si>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</si>
  <si>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</si>
  <si>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</si>
  <si>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</si>
  <si>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</si>
  <si>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</si>
  <si>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</si>
  <si>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</si>
  <si>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</si>
  <si>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</si>
  <si>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</si>
  <si>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</si>
  <si>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</si>
  <si>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</si>
  <si>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</si>
  <si>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</si>
  <si>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Intermarché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</si>
  <si>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</si>
  <si>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</si>
  <si>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</si>
  <si>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</si>
  <si>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</si>
  <si>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</si>
  <si>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</si>
  <si>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</si>
  <si>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</si>
  <si>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</si>
  <si>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</si>
  <si>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</si>
  <si>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</si>
  <si>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</si>
  <si>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</si>
  <si>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</si>
  <si>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</si>
  <si>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</si>
  <si>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</si>
  <si>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</si>
  <si>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</si>
  <si>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</si>
  <si>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</si>
  <si>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</si>
  <si>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</si>
  <si>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</si>
  <si>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</si>
  <si>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</si>
  <si>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</si>
  <si>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Carrefour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</si>
  <si>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</si>
  <si>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</si>
  <si>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</si>
  <si>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</si>
  <si>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</si>
  <si>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</si>
  <si>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</si>
  <si>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</si>
  <si>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</si>
  <si>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Colonne10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</si>
  <si>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</si>
  <si>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</si>
  <si>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</si>
  <si>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</si>
  <si>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</si>
  <si>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</si>
  <si>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</si>
  <si>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</si>
  <si>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</si>
  <si>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</si>
  <si>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</si>
  <si>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</si>
  <si>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</si>
  <si>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</si>
  <si>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20260525013941-602108-171867</t>
  </si>
  <si>
    <t>20260525013941-951848-688198</t>
  </si>
  <si>
    <t>20260525013941-099112-430120</t>
  </si>
  <si>
    <t>20260525013941-188608-518200</t>
  </si>
  <si>
    <t>20260525013941-931753-685371</t>
  </si>
  <si>
    <t>20260525013941-554813-573151</t>
  </si>
  <si>
    <t>20260525013941-815210-635832</t>
  </si>
  <si>
    <t>20260525013941-486680-231896</t>
  </si>
  <si>
    <t>20260525013941-397751-414818</t>
  </si>
  <si>
    <t>20260525013941-697725-244511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</si>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</sst>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dd/mm/yyyy"/>
    <numFmt numFmtId="181" formatCode="0.00&quot; L/100km&quot;"/>
    <numFmt numFmtId="182" formatCode="0&quot; €&quot;"/>
    <numFmt numFmtId="183" formatCode="0&quot; € cumules&quot;"/>
    <numFmt numFmtId="184" formatCode="0.000&quot; €/L&quot;"/>
    <numFmt numFmtId="185" formatCode="dd/mm/yyyy\ hh:mm"/>
    <numFmt numFmtId="186" formatCode="0&quot; L&quot;"/>
  </numFmts>
  <fonts count="28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6"/>
      <color rgb="FF1B3A5C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7" fillId="0" borderId="0"/>
  </cellStyleXfs>
  <cellXfs count="129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0" borderId="0" xfId="0" applyFont="1"/>
    <xf numFmtId="0" fontId="15" fillId="5" borderId="4" xfId="0" applyFont="1" applyFill="1" applyBorder="1" applyAlignment="1" applyProtection="1">
      <alignment horizontal="center" vertical="center"/>
    </xf>
    <xf numFmtId="14" fontId="15" fillId="5" borderId="5" xfId="0" applyNumberFormat="1" applyFont="1" applyFill="1" applyBorder="1" applyAlignment="1" applyProtection="1">
      <alignment horizontal="center" vertical="center"/>
      <protection locked="0"/>
    </xf>
    <xf numFmtId="49" fontId="15" fillId="5" borderId="5" xfId="0" applyNumberFormat="1" applyFont="1" applyFill="1" applyBorder="1" applyAlignment="1" applyProtection="1">
      <alignment horizontal="center" vertical="center"/>
      <protection locked="0"/>
    </xf>
    <xf numFmtId="170" fontId="15" fillId="5" borderId="5" xfId="0" applyNumberFormat="1" applyFont="1" applyFill="1" applyBorder="1" applyAlignment="1" applyProtection="1">
      <alignment horizontal="center" vertical="center"/>
      <protection locked="0"/>
    </xf>
    <xf numFmtId="167" fontId="15" fillId="5" borderId="5" xfId="0" applyNumberFormat="1" applyFont="1" applyFill="1" applyBorder="1" applyAlignment="1" applyProtection="1">
      <alignment horizontal="center" vertical="center"/>
      <protection locked="0"/>
    </xf>
    <xf numFmtId="168" fontId="15" fillId="5" borderId="5" xfId="0" applyNumberFormat="1" applyFont="1" applyFill="1" applyBorder="1" applyAlignment="1" applyProtection="1">
      <alignment horizontal="center" vertical="center"/>
      <protection locked="0"/>
    </xf>
    <xf numFmtId="171" fontId="15" fillId="5" borderId="5" xfId="0" applyNumberFormat="1" applyFont="1" applyFill="1" applyBorder="1" applyAlignment="1" applyProtection="1">
      <alignment horizontal="center" vertical="center"/>
    </xf>
    <xf numFmtId="164" fontId="15" fillId="5" borderId="5" xfId="0" applyNumberFormat="1" applyFont="1" applyFill="1" applyBorder="1" applyAlignment="1" applyProtection="1">
      <alignment horizontal="center" vertical="center"/>
    </xf>
    <xf numFmtId="2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  <protection locked="0"/>
    </xf>
    <xf numFmtId="9" fontId="15" fillId="5" borderId="6" xfId="2" applyFont="1" applyFill="1" applyBorder="1" applyAlignment="1" applyProtection="1">
      <alignment horizontal="center" vertical="center"/>
    </xf>
    <xf numFmtId="164" fontId="15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5" fillId="5" borderId="6" xfId="2" applyNumberFormat="1" applyFont="1" applyFill="1" applyBorder="1" applyAlignment="1" applyProtection="1">
      <alignment horizontal="center" vertical="center"/>
    </xf>
    <xf numFmtId="49" fontId="15" fillId="5" borderId="5" xfId="0" applyNumberFormat="1" applyFont="1" applyFill="1" applyBorder="1" applyAlignment="1" applyProtection="1">
      <alignment horizontal="center" vertical="center"/>
    </xf>
    <xf numFmtId="170" fontId="15" fillId="5" borderId="5" xfId="0" applyNumberFormat="1" applyFont="1" applyFill="1" applyBorder="1" applyAlignment="1" applyProtection="1">
      <alignment horizontal="center" vertical="center"/>
    </xf>
    <xf numFmtId="167" fontId="15" fillId="5" borderId="5" xfId="0" applyNumberFormat="1" applyFont="1" applyFill="1" applyBorder="1" applyAlignment="1" applyProtection="1">
      <alignment horizontal="center" vertical="center"/>
    </xf>
    <xf numFmtId="168" fontId="15" fillId="5" borderId="5" xfId="0" applyNumberFormat="1" applyFont="1" applyFill="1" applyBorder="1" applyAlignment="1" applyProtection="1">
      <alignment horizontal="center" vertical="center"/>
    </xf>
    <xf numFmtId="165" fontId="15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5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5" fillId="5" borderId="0" xfId="0" applyNumberFormat="1" applyFont="1" applyFill="1" applyBorder="1" applyAlignment="1" applyProtection="1">
      <alignment horizontal="center" vertical="center"/>
    </xf>
    <xf numFmtId="0" fontId="15" fillId="5" borderId="4" xfId="0" applyNumberFormat="1" applyFont="1" applyFill="1" applyBorder="1" applyAlignment="1" applyProtection="1">
      <alignment horizontal="center" vertical="center"/>
    </xf>
    <xf numFmtId="49" fontId="15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7" fillId="14" borderId="0" xfId="3" applyFill="1"/>
    <xf numFmtId="0" fontId="17" fillId="0" borderId="0" xfId="3"/>
    <xf numFmtId="0" fontId="17" fillId="15" borderId="0" xfId="3" applyFill="1"/>
    <xf numFmtId="0" fontId="20" fillId="14" borderId="8" xfId="3" applyFont="1" applyFill="1" applyBorder="1" applyAlignment="1">
      <alignment horizontal="center" vertical="center" wrapText="1"/>
    </xf>
    <xf numFmtId="0" fontId="20" fillId="17" borderId="8" xfId="3" applyFont="1" applyFill="1" applyBorder="1" applyAlignment="1">
      <alignment horizontal="center" vertical="center" wrapText="1"/>
    </xf>
    <xf numFmtId="0" fontId="21" fillId="18" borderId="8" xfId="3" applyFont="1" applyFill="1" applyBorder="1" applyAlignment="1">
      <alignment horizontal="left" vertical="center" indent="1"/>
    </xf>
    <xf numFmtId="0" fontId="21" fillId="19" borderId="8" xfId="3" applyFont="1" applyFill="1" applyBorder="1" applyAlignment="1">
      <alignment horizontal="left" vertical="center" indent="1"/>
    </xf>
    <xf numFmtId="179" fontId="22" fillId="19" borderId="8" xfId="3" applyNumberFormat="1" applyFont="1" applyFill="1" applyBorder="1" applyAlignment="1">
      <alignment horizontal="center" vertical="center"/>
    </xf>
    <xf numFmtId="0" fontId="21" fillId="19" borderId="8" xfId="3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left" vertical="center" indent="1"/>
    </xf>
    <xf numFmtId="179" fontId="23" fillId="14" borderId="8" xfId="3" applyNumberFormat="1" applyFont="1" applyFill="1" applyBorder="1" applyAlignment="1">
      <alignment horizontal="center" vertical="center"/>
    </xf>
    <xf numFmtId="0" fontId="23" fillId="14" borderId="8" xfId="3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8" fillId="14" borderId="0" xfId="3" applyFont="1" applyFill="1" applyAlignment="1">
      <alignment horizontal="center" vertical="center"/>
    </xf>
    <xf numFmtId="0" fontId="17" fillId="0" borderId="0" xfId="3"/>
    <xf numFmtId="0" fontId="19" fillId="16" borderId="8" xfId="3" applyFont="1" applyFill="1" applyBorder="1" applyAlignment="1">
      <alignment horizontal="left" vertical="center" wrapText="1" indent="1"/>
    </xf>
    <xf numFmtId="0" fontId="24" fillId="16" borderId="9" xfId="3" applyFont="1" applyFill="1" applyBorder="1" applyAlignment="1">
      <alignment horizontal="left" vertical="center" wrapText="1"/>
    </xf>
    <xf numFmtId="0" fontId="24" fillId="16" borderId="0" xfId="3" applyFont="1" applyFill="1" applyBorder="1" applyAlignment="1">
      <alignment horizontal="left" vertical="center" wrapText="1"/>
    </xf>
    <xf numFmtId="180" fontId="0" fillId="0" borderId="0" xfId="0" applyNumberFormat="1" applyAlignment="1">
      <alignment horizontal="center" vertical="center"/>
    </xf>
    <xf numFmtId="0" fontId="7" fillId="11" borderId="0" xfId="0" applyFont="1" applyFill="1" applyAlignment="1">
      <alignment horizontal="center"/>
    </xf>
    <xf numFmtId="0" fontId="25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26" fillId="0" borderId="0" xfId="0" applyFont="1" applyBorder="1" applyAlignment="1">
      <alignment horizontal="left" indent="1"/>
    </xf>
    <xf numFmtId="181" fontId="27" fillId="0" borderId="0" xfId="0" applyNumberFormat="1" applyFont="1" applyBorder="1" applyAlignment="1">
      <alignment horizontal="right"/>
    </xf>
    <xf numFmtId="0" fontId="26" fillId="0" borderId="10" xfId="0" applyFont="1" applyBorder="1" applyAlignment="1">
      <alignment horizontal="left" indent="1"/>
    </xf>
    <xf numFmtId="0" fontId="26" fillId="0" borderId="11" xfId="0" applyFont="1" applyBorder="1" applyAlignment="1">
      <alignment horizontal="left" indent="1"/>
    </xf>
    <xf numFmtId="174" fontId="27" fillId="0" borderId="11" xfId="0" applyNumberFormat="1" applyFont="1" applyBorder="1" applyAlignment="1">
      <alignment horizontal="right"/>
    </xf>
    <xf numFmtId="182" fontId="27" fillId="0" borderId="11" xfId="0" applyNumberFormat="1" applyFont="1" applyBorder="1" applyAlignment="1">
      <alignment horizontal="right"/>
    </xf>
    <xf numFmtId="1" fontId="27" fillId="0" borderId="11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9" fontId="27" fillId="0" borderId="11" xfId="0" applyNumberFormat="1" applyFont="1" applyBorder="1" applyAlignment="1">
      <alignment horizontal="right"/>
    </xf>
    <xf numFmtId="183" fontId="27" fillId="0" borderId="11" xfId="0" applyNumberFormat="1" applyFont="1" applyBorder="1" applyAlignment="1">
      <alignment horizontal="right"/>
    </xf>
    <xf numFmtId="184" fontId="27" fillId="0" borderId="11" xfId="0" applyNumberFormat="1" applyFont="1" applyBorder="1" applyAlignment="1">
      <alignment horizontal="right"/>
    </xf>
    <xf numFmtId="185" fontId="27" fillId="0" borderId="11" xfId="0" applyNumberFormat="1" applyFont="1" applyBorder="1" applyAlignment="1">
      <alignment horizontal="right"/>
    </xf>
    <xf numFmtId="186" fontId="27" fillId="0" borderId="11" xfId="0" applyNumberFormat="1" applyFont="1" applyBorder="1" applyAlignment="1">
      <alignment horizontal="right"/>
    </xf>
    <xf numFmtId="175" fontId="27" fillId="0" borderId="10" xfId="0" applyNumberFormat="1" applyFont="1" applyBorder="1" applyAlignment="1">
      <alignment horizontal="right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numFmt numFmtId="27" formatCode="dd/mm/yyyy\ hh:mm"/>
    </dxf>
    <dxf>
      <numFmt numFmtId="19" formatCode="dd/mm/yyyy"/>
    </dxf>
    <dxf>
      <numFmt numFmtId="180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Rentabilité du kit éthanol : économie cumulée vs coût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Graphiques!$P$1</c:f>
              <c:strCache>
                <c:ptCount val="1"/>
                <c:pt idx="0">
                  <c:v>Économie cumulée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Graphiques!$P$2:$P$9</c:f>
              <c:numCache>
                <c:formatCode>General</c:formatCode>
                <c:ptCount val="8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F8-4D0F-9B1C-636183883325}"/>
            </c:ext>
          </c:extLst>
        </c:ser>
        <c:ser>
          <c:idx val="2"/>
          <c:order val="1"/>
          <c:tx>
            <c:strRef>
              <c:f>Graphiques!$Q$1</c:f>
              <c:strCache>
                <c:ptCount val="1"/>
                <c:pt idx="0">
                  <c:v>Coût du kit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Graphiques!$O$2:$O$9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Graphiques!$Q$2:$Q$9</c:f>
              <c:numCache>
                <c:formatCode>General</c:formatCode>
                <c:ptCount val="8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F8-4D0F-9B1C-636183883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8248256"/>
        <c:axId val="1088246816"/>
      </c:lineChart>
      <c:catAx>
        <c:axId val="1088248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Plein E85 n°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816"/>
        <c:crosses val="autoZero"/>
        <c:auto val="1"/>
        <c:lblAlgn val="ctr"/>
        <c:lblOffset val="100"/>
        <c:noMultiLvlLbl val="0"/>
      </c:catAx>
      <c:valAx>
        <c:axId val="108824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Montant (€)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Consommation L/100km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Graphiques!$T$1</c:f>
              <c:strCache>
                <c:ptCount val="1"/>
                <c:pt idx="0">
                  <c:v>Conso S98 (L/100km)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Graphiques!$T$2:$T$11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7-43F9-BB1F-341AAF9D14C0}"/>
            </c:ext>
          </c:extLst>
        </c:ser>
        <c:ser>
          <c:idx val="1"/>
          <c:order val="1"/>
          <c:tx>
            <c:strRef>
              <c:f>Graphiques!$U$1</c:f>
              <c:strCache>
                <c:ptCount val="1"/>
                <c:pt idx="0">
                  <c:v>Conso E85 (L/100km)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Graphiques!$S$2:$S$11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Graphiques!$U$2:$U$11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7-43F9-BB1F-341AAF9D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6257904"/>
        <c:axId val="906258384"/>
      </c:barChart>
      <c:catAx>
        <c:axId val="906257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8384"/>
        <c:crosses val="autoZero"/>
        <c:auto val="1"/>
        <c:lblAlgn val="ctr"/>
        <c:lblOffset val="100"/>
        <c:noMultiLvlLbl val="0"/>
      </c:catAx>
      <c:valAx>
        <c:axId val="9062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L/100km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625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 au km (c€/km) par plein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Graphiques!$X$1</c:f>
              <c:strCache>
                <c:ptCount val="1"/>
                <c:pt idx="0">
                  <c:v>Coût S98 (c€/km)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Graphiques!$X$2:$X$11</c:f>
              <c:numCache>
                <c:formatCode>General</c:formatCode>
                <c:ptCount val="10"/>
                <c:pt idx="0">
                  <c:v>#N/A</c:v>
                </c:pt>
                <c:pt idx="1">
                  <c:v>5.3971631205673765</c:v>
                </c:pt>
                <c:pt idx="2">
                  <c:v>5.3921568627450984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F-4759-A0E2-85FB5E306AA1}"/>
            </c:ext>
          </c:extLst>
        </c:ser>
        <c:ser>
          <c:idx val="1"/>
          <c:order val="1"/>
          <c:tx>
            <c:strRef>
              <c:f>Graphiques!$Y$1</c:f>
              <c:strCache>
                <c:ptCount val="1"/>
                <c:pt idx="0">
                  <c:v>Coût E85 (c€/km)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Graphiques!$W$2:$W$11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Graphiques!$Y$2:$Y$11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5.6225490196078436</c:v>
                </c:pt>
                <c:pt idx="4">
                  <c:v>5.9744897959183678</c:v>
                </c:pt>
                <c:pt idx="5">
                  <c:v>6.7610619469026547</c:v>
                </c:pt>
                <c:pt idx="6">
                  <c:v>7.0404040404040398</c:v>
                </c:pt>
                <c:pt idx="7">
                  <c:v>6.5862068965517233</c:v>
                </c:pt>
                <c:pt idx="8">
                  <c:v>6.7727272727272734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F-4759-A0E2-85FB5E306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12443504"/>
        <c:axId val="1212441584"/>
      </c:barChart>
      <c:catAx>
        <c:axId val="121244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1584"/>
        <c:crosses val="autoZero"/>
        <c:auto val="1"/>
        <c:lblAlgn val="ctr"/>
        <c:lblOffset val="100"/>
        <c:noMultiLvlLbl val="0"/>
      </c:catAx>
      <c:valAx>
        <c:axId val="121244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c€/km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1244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Évolution des prix carburants (€/L)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Graphiques!$AB$1</c:f>
              <c:strCache>
                <c:ptCount val="1"/>
                <c:pt idx="0">
                  <c:v>Prix payé (€/L)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Graphiques!$AB$2:$AB$11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A9-4F4B-BDCE-7E24123FF9FD}"/>
            </c:ext>
          </c:extLst>
        </c:ser>
        <c:ser>
          <c:idx val="1"/>
          <c:order val="1"/>
          <c:tx>
            <c:strRef>
              <c:f>Graphiques!$AC$1</c:f>
              <c:strCache>
                <c:ptCount val="1"/>
                <c:pt idx="0">
                  <c:v>Prix S98 du jour (€/L)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Graphiques!$AA$2:$AA$11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#N/A</c:v>
                </c:pt>
              </c:numCache>
            </c:numRef>
          </c:cat>
          <c:val>
            <c:numRef>
              <c:f>Graphiques!$AC$2:$AC$11</c:f>
              <c:numCache>
                <c:formatCode>General</c:formatCode>
                <c:ptCount val="10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  <c:pt idx="3">
                  <c:v>2.0790000000000002</c:v>
                </c:pt>
                <c:pt idx="4">
                  <c:v>2.0979999999999999</c:v>
                </c:pt>
                <c:pt idx="5">
                  <c:v>2.0979999999999999</c:v>
                </c:pt>
                <c:pt idx="6">
                  <c:v>2.0950000000000002</c:v>
                </c:pt>
                <c:pt idx="7">
                  <c:v>2.0950000000000002</c:v>
                </c:pt>
                <c:pt idx="8">
                  <c:v>2.0910000000000002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A9-4F4B-BDCE-7E24123F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246336"/>
        <c:axId val="1088245856"/>
      </c:lineChart>
      <c:catAx>
        <c:axId val="108824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N° plein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5856"/>
        <c:crosses val="autoZero"/>
        <c:auto val="1"/>
        <c:lblAlgn val="ctr"/>
        <c:lblOffset val="100"/>
        <c:noMultiLvlLbl val="0"/>
      </c:catAx>
      <c:valAx>
        <c:axId val="108824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€/L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8824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Projection de rentabilité du kit (avec tendance)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Graphiques!$AF$1</c:f>
              <c:strCache>
                <c:ptCount val="1"/>
                <c:pt idx="0">
                  <c:v>Économie cumulée (€)</c:v>
                </c:pt>
              </c:strCache>
            </c:strRef>
          </c:tx>
          <c:spPr>
            <a:ln w="28575" cap="rnd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2E75B6"/>
              </a:solidFill>
              <a:ln w="9525">
                <a:solidFill>
                  <a:srgbClr val="2E75B6"/>
                </a:solidFill>
              </a:ln>
              <a:effectLst/>
            </c:spPr>
          </c:marker>
          <c:trendline>
            <c:name>Tendance economie</c:name>
            <c:spPr>
              <a:ln w="19050" cap="rnd">
                <a:solidFill>
                  <a:srgbClr val="2E75B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Graphiques!$AE$2:$AE$12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Graphiques!$AF$2:$AF$12</c:f>
              <c:numCache>
                <c:formatCode>General</c:formatCode>
                <c:ptCount val="11"/>
                <c:pt idx="0">
                  <c:v>0</c:v>
                </c:pt>
                <c:pt idx="1">
                  <c:v>10.437134223580056</c:v>
                </c:pt>
                <c:pt idx="2">
                  <c:v>22.002634923016021</c:v>
                </c:pt>
                <c:pt idx="3">
                  <c:v>36.941282462502059</c:v>
                </c:pt>
                <c:pt idx="4">
                  <c:v>49.447967912413603</c:v>
                </c:pt>
                <c:pt idx="5">
                  <c:v>63.020920915664483</c:v>
                </c:pt>
                <c:pt idx="6">
                  <c:v>76.890920667718092</c:v>
                </c:pt>
                <c:pt idx="7">
                  <c:v>92.366928052204941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26-47DA-8F0E-F43746E4E637}"/>
            </c:ext>
          </c:extLst>
        </c:ser>
        <c:ser>
          <c:idx val="1"/>
          <c:order val="1"/>
          <c:tx>
            <c:strRef>
              <c:f>Graphiques!$AG$1</c:f>
              <c:strCache>
                <c:ptCount val="1"/>
                <c:pt idx="0">
                  <c:v>Coût du kit (€)</c:v>
                </c:pt>
              </c:strCache>
            </c:strRef>
          </c:tx>
          <c:spPr>
            <a:ln w="28575" cap="rnd">
              <a:solidFill>
                <a:srgbClr val="F0A5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Graphiques!$AE$2:$AE$41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Graphiques!$AG$2:$AG$41</c:f>
              <c:numCache>
                <c:formatCode>General</c:formatCode>
                <c:ptCount val="40"/>
                <c:pt idx="0">
                  <c:v>514.54</c:v>
                </c:pt>
                <c:pt idx="1">
                  <c:v>514.54</c:v>
                </c:pt>
                <c:pt idx="2">
                  <c:v>514.54</c:v>
                </c:pt>
                <c:pt idx="3">
                  <c:v>514.54</c:v>
                </c:pt>
                <c:pt idx="4">
                  <c:v>514.54</c:v>
                </c:pt>
                <c:pt idx="5">
                  <c:v>514.54</c:v>
                </c:pt>
                <c:pt idx="6">
                  <c:v>514.54</c:v>
                </c:pt>
                <c:pt idx="7">
                  <c:v>514.54</c:v>
                </c:pt>
                <c:pt idx="8">
                  <c:v>514.54</c:v>
                </c:pt>
                <c:pt idx="9">
                  <c:v>514.54</c:v>
                </c:pt>
                <c:pt idx="10">
                  <c:v>514.54</c:v>
                </c:pt>
                <c:pt idx="11">
                  <c:v>514.54</c:v>
                </c:pt>
                <c:pt idx="12">
                  <c:v>514.54</c:v>
                </c:pt>
                <c:pt idx="13">
                  <c:v>514.54</c:v>
                </c:pt>
                <c:pt idx="14">
                  <c:v>514.54</c:v>
                </c:pt>
                <c:pt idx="15">
                  <c:v>514.54</c:v>
                </c:pt>
                <c:pt idx="16">
                  <c:v>514.54</c:v>
                </c:pt>
                <c:pt idx="17">
                  <c:v>514.54</c:v>
                </c:pt>
                <c:pt idx="18">
                  <c:v>514.54</c:v>
                </c:pt>
                <c:pt idx="19">
                  <c:v>514.54</c:v>
                </c:pt>
                <c:pt idx="20">
                  <c:v>514.54</c:v>
                </c:pt>
                <c:pt idx="21">
                  <c:v>514.54</c:v>
                </c:pt>
                <c:pt idx="22">
                  <c:v>514.54</c:v>
                </c:pt>
                <c:pt idx="23">
                  <c:v>514.54</c:v>
                </c:pt>
                <c:pt idx="24">
                  <c:v>514.54</c:v>
                </c:pt>
                <c:pt idx="25">
                  <c:v>514.54</c:v>
                </c:pt>
                <c:pt idx="26">
                  <c:v>514.54</c:v>
                </c:pt>
                <c:pt idx="27">
                  <c:v>514.54</c:v>
                </c:pt>
                <c:pt idx="28">
                  <c:v>514.54</c:v>
                </c:pt>
                <c:pt idx="29">
                  <c:v>514.54</c:v>
                </c:pt>
                <c:pt idx="30">
                  <c:v>514.54</c:v>
                </c:pt>
                <c:pt idx="31">
                  <c:v>514.54</c:v>
                </c:pt>
                <c:pt idx="32">
                  <c:v>514.54</c:v>
                </c:pt>
                <c:pt idx="33">
                  <c:v>514.54</c:v>
                </c:pt>
                <c:pt idx="34">
                  <c:v>514.54</c:v>
                </c:pt>
                <c:pt idx="35">
                  <c:v>514.54</c:v>
                </c:pt>
                <c:pt idx="36">
                  <c:v>514.54</c:v>
                </c:pt>
                <c:pt idx="37">
                  <c:v>514.54</c:v>
                </c:pt>
                <c:pt idx="38">
                  <c:v>514.54</c:v>
                </c:pt>
                <c:pt idx="39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26-47DA-8F0E-F43746E4E637}"/>
            </c:ext>
          </c:extLst>
        </c:ser>
        <c:ser>
          <c:idx val="2"/>
          <c:order val="2"/>
          <c:tx>
            <c:strRef>
              <c:f>Graphiques!$AI$1</c:f>
              <c:strCache>
                <c:ptCount val="1"/>
                <c:pt idx="0">
                  <c:v>Projection éco (€)</c:v>
                </c:pt>
              </c:strCache>
            </c:strRef>
          </c:tx>
          <c:spPr>
            <a:ln w="22225" cap="rnd">
              <a:solidFill>
                <a:srgbClr val="FF6B35"/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FF6B35"/>
              </a:solidFill>
              <a:ln w="9525">
                <a:solidFill>
                  <a:srgbClr val="FF6B35"/>
                </a:solidFill>
              </a:ln>
              <a:effectLst/>
            </c:spPr>
          </c:marker>
          <c:xVal>
            <c:numRef>
              <c:f>Graphiques!$AH$2:$AH$3</c:f>
              <c:numCache>
                <c:formatCode>General</c:formatCode>
                <c:ptCount val="2"/>
                <c:pt idx="0">
                  <c:v>7</c:v>
                </c:pt>
                <c:pt idx="1">
                  <c:v>39</c:v>
                </c:pt>
              </c:numCache>
            </c:numRef>
          </c:xVal>
          <c:yVal>
            <c:numRef>
              <c:f>Graphiques!$AI$2:$AI$3</c:f>
              <c:numCache>
                <c:formatCode>General</c:formatCode>
                <c:ptCount val="2"/>
                <c:pt idx="0">
                  <c:v>92.366928052204941</c:v>
                </c:pt>
                <c:pt idx="1">
                  <c:v>514.54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26-47DA-8F0E-F43746E4E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985520"/>
        <c:axId val="1175986000"/>
      </c:scatterChart>
      <c:valAx>
        <c:axId val="1175985520"/>
        <c:scaling>
          <c:orientation val="minMax"/>
          <c:max val="39"/>
        </c:scaling>
        <c:delete val="0"/>
        <c:axPos val="b"/>
        <c:title>
          <c:tx>
            <c:rich>
              <a:bodyPr/>
              <a:lstStyle/>
              <a:p>
                <a:r>
                  <a:rPr lang="fr-FR" sz="1000">
                    <a:latin typeface="+mn-lt"/>
                  </a:rPr>
                  <a:t>Plein E85 n°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/>
          <a:lstStyle/>
          <a:p>
            <a:pPr>
              <a:defRPr sz="900"/>
            </a:pPr>
            <a:endParaRPr lang="fr-FR"/>
          </a:p>
        </c:txPr>
        <c:crossAx val="1175986000"/>
        <c:crosses val="autoZero"/>
        <c:crossBetween val="midCat"/>
      </c:valAx>
      <c:valAx>
        <c:axId val="117598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/>
              <a:lstStyle/>
              <a:p>
                <a:r>
                  <a:rPr lang="fr-FR" sz="1000">
                    <a:latin typeface="+mn-lt"/>
                  </a:rPr>
                  <a:t>Montant (€)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/>
          <a:lstStyle/>
          <a:p>
            <a:pPr>
              <a:defRPr sz="900"/>
            </a:pPr>
            <a:endParaRPr lang="fr-FR"/>
          </a:p>
        </c:txPr>
        <c:crossAx val="11759855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/>
        <a:lstStyle/>
        <a:p>
          <a:pPr>
            <a:defRPr sz="900"/>
          </a:pPr>
          <a:endParaRPr lang="fr-FR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0</xdr:colOff>
      <xdr:row>18</xdr:row>
      <xdr:rowOff>0</xdr:rowOff>
    </xdr:to>
    <xdr:graphicFrame macro="">
      <xdr:nvGraphicFramePr>
        <xdr:cNvPr id="7" name="ChartRentabilite">
          <a:extLst>
            <a:ext uri="{FF2B5EF4-FFF2-40B4-BE49-F238E27FC236}">
              <a16:creationId xmlns:a16="http://schemas.microsoft.com/office/drawing/2014/main" id="{AEFABAD1-3753-9975-E9E0-6363D0A2E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1</xdr:row>
      <xdr:rowOff>1</xdr:rowOff>
    </xdr:from>
    <xdr:to>
      <xdr:col>13</xdr:col>
      <xdr:colOff>85725</xdr:colOff>
      <xdr:row>18</xdr:row>
      <xdr:rowOff>1</xdr:rowOff>
    </xdr:to>
    <xdr:graphicFrame macro="">
      <xdr:nvGraphicFramePr>
        <xdr:cNvPr id="8" name="ChartConso">
          <a:extLst>
            <a:ext uri="{FF2B5EF4-FFF2-40B4-BE49-F238E27FC236}">
              <a16:creationId xmlns:a16="http://schemas.microsoft.com/office/drawing/2014/main" id="{312D34E3-0AD1-6D5C-3BD9-22B42E5BFA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18</xdr:row>
      <xdr:rowOff>104776</xdr:rowOff>
    </xdr:from>
    <xdr:to>
      <xdr:col>7</xdr:col>
      <xdr:colOff>9525</xdr:colOff>
      <xdr:row>35</xdr:row>
      <xdr:rowOff>104776</xdr:rowOff>
    </xdr:to>
    <xdr:graphicFrame macro="">
      <xdr:nvGraphicFramePr>
        <xdr:cNvPr id="9" name="ChartCoutKm">
          <a:extLst>
            <a:ext uri="{FF2B5EF4-FFF2-40B4-BE49-F238E27FC236}">
              <a16:creationId xmlns:a16="http://schemas.microsoft.com/office/drawing/2014/main" id="{167D6B52-58C3-B1AB-F7F6-B624E6AAD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114300</xdr:colOff>
      <xdr:row>18</xdr:row>
      <xdr:rowOff>104776</xdr:rowOff>
    </xdr:from>
    <xdr:to>
      <xdr:col>13</xdr:col>
      <xdr:colOff>114300</xdr:colOff>
      <xdr:row>35</xdr:row>
      <xdr:rowOff>104776</xdr:rowOff>
    </xdr:to>
    <xdr:graphicFrame macro="">
      <xdr:nvGraphicFramePr>
        <xdr:cNvPr id="10" name="ChartPrix">
          <a:extLst>
            <a:ext uri="{FF2B5EF4-FFF2-40B4-BE49-F238E27FC236}">
              <a16:creationId xmlns:a16="http://schemas.microsoft.com/office/drawing/2014/main" id="{30BDE2A9-F15F-3A47-CB73-22EDB9EB2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19050</xdr:colOff>
      <xdr:row>35</xdr:row>
      <xdr:rowOff>171450</xdr:rowOff>
    </xdr:from>
    <xdr:to>
      <xdr:col>13</xdr:col>
      <xdr:colOff>123825</xdr:colOff>
      <xdr:row>52</xdr:row>
      <xdr:rowOff>171450</xdr:rowOff>
    </xdr:to>
    <xdr:graphicFrame macro="">
      <xdr:nvGraphicFramePr>
        <xdr:cNvPr id="2" name="ChartProjection">
          <a:extLst>
            <a:ext uri="{FF2B5EF4-FFF2-40B4-BE49-F238E27FC236}">
              <a16:creationId xmlns:a16="http://schemas.microsoft.com/office/drawing/2014/main" id="{AB2AC815-BE5D-48C1-B452-1576BF4C4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8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7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1" tableType="queryTable" totalsRowShown="0" headerRowDxfId="46" dataDxfId="45">
  <autoFilter ref="A1:P11" xr:uid="{74CBBEF5-DAC6-4FFF-B9BF-F912C02B05A8}"/>
  <sortState xmlns:xlrd2="http://schemas.microsoft.com/office/spreadsheetml/2017/richdata2" ref="A2:O11">
    <sortCondition ref="A1:A11"/>
  </sortState>
  <tableColumns count="16">
    <tableColumn id="1" xr3:uid="{D1245828-BB9F-457F-9D89-03E146E97A20}" uniqueName="1" name="Horodatage" queryTableFieldId="1" dataDxfId="4"/>
    <tableColumn id="2" xr3:uid="{6AFDA1AD-8B7E-4056-B820-4B105507BC22}" uniqueName="2" name="Date" queryTableFieldId="2" dataDxfId="2"/>
    <tableColumn id="3" xr3:uid="{0E3159AD-DEC3-4CB0-8263-673EE4364DE4}" uniqueName="3" name="Type" queryTableFieldId="3" dataDxfId="3"/>
    <tableColumn id="4" xr3:uid="{9CA1100B-4402-4A99-881C-A70EA8E0EBA0}" uniqueName="4" name="Km" queryTableFieldId="4" dataDxfId="44"/>
    <tableColumn id="5" xr3:uid="{3DC79D37-A57D-45A6-B68B-28F91AE90D1B}" uniqueName="5" name="Litres" queryTableFieldId="5" dataDxfId="43"/>
    <tableColumn id="6" xr3:uid="{E20F9B47-933F-4695-AC5B-7BFCB43AA70B}" uniqueName="6" name="PrixL" queryTableFieldId="6" dataDxfId="42"/>
    <tableColumn id="8" xr3:uid="{1810D7F1-75C0-4692-B633-9344880F4391}" uniqueName="8" name="Station essence" queryTableFieldId="8" dataDxfId="41"/>
    <tableColumn id="9" xr3:uid="{B958E2B1-5DEB-4CEF-B30E-3537BD55A8E8}" uniqueName="9" name="Vehicule" queryTableFieldId="9" dataDxfId="40"/>
    <tableColumn id="10" xr3:uid="{7955E5A1-C834-43AD-B7C1-739EA1C9FB0B}" uniqueName="10" name="E85 station" queryTableFieldId="10" dataDxfId="39"/>
    <tableColumn id="11" xr3:uid="{168A26EB-A626-4924-B067-7D0EE30B248F}" uniqueName="11" name="SP98 station" queryTableFieldId="11" dataDxfId="38"/>
    <tableColumn id="12" xr3:uid="{18AADF40-972E-454B-9FD3-FD2D10CCF4B9}" uniqueName="12" name="SP95 station" queryTableFieldId="12" dataDxfId="37"/>
    <tableColumn id="13" xr3:uid="{A1195D38-1809-462B-9D20-AE18F43CBC4B}" uniqueName="13" name="E10 station" queryTableFieldId="13" dataDxfId="36"/>
    <tableColumn id="14" xr3:uid="{9F059A0B-5171-4FB9-8BF4-0CBD57021E52}" uniqueName="14" name="Gazole station" queryTableFieldId="14" dataDxfId="35"/>
    <tableColumn id="15" xr3:uid="{BE30AC6F-80E2-4B6C-B72A-506C9FC60853}" uniqueName="15" name="GPLc station" queryTableFieldId="15" dataDxfId="34"/>
    <tableColumn id="16" xr3:uid="{DD5EAF57-67B9-4006-88AF-5A82745A6E1D}" uniqueName="16" name="sync_id" queryTableFieldId="16" dataDxfId="33"/>
    <tableColumn id="7" xr3:uid="{4DA1ECAA-DB2B-4245-9BE2-5E5B774521AD}" uniqueName="7" name="Colonne1" queryTableFieldId="17" dataDxfId="3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DE3376-9DED-4316-AFE9-A52A2F0F889C}" name="DonneesExternes_1" displayName="DonneesExternes_1" ref="A1:Y11" totalsRowShown="0">
  <autoFilter ref="A1:Y11" xr:uid="{70DE3376-9DED-4316-AFE9-A52A2F0F889C}"/>
  <tableColumns count="25">
    <tableColumn id="1" xr3:uid="{50CC29B1-C208-462E-B1AB-EDAE814CC86B}" name="Horodatage" dataDxfId="1"/>
    <tableColumn id="2" xr3:uid="{B00BC129-7718-460F-9181-003ABF6BF450}" name="Date" dataDxfId="0"/>
    <tableColumn id="3" xr3:uid="{F8253E39-02DF-4BBF-88E0-CCFC3FF69BB1}" name="Type"/>
    <tableColumn id="4" xr3:uid="{E4228B3D-DC1A-4288-A40A-932FE6453D11}" name="Km compteur"/>
    <tableColumn id="5" xr3:uid="{ABCEC50A-6D8F-47D0-A253-9BBE854147FD}" name="Nb. Litres"/>
    <tableColumn id="6" xr3:uid="{9641D3FC-EE4E-4F51-BBA2-9AEE7AC94669}" name="Prix €/L"/>
    <tableColumn id="7" xr3:uid="{6625524F-7D3D-43A0-A095-E2605D942244}" name="Station essence"/>
    <tableColumn id="8" xr3:uid="{F21DFAEB-12C9-418E-AAA7-9C54AB4F06C7}" name="Véhicule"/>
    <tableColumn id="9" xr3:uid="{D2784BE4-2520-4824-B969-45C9A5B50407}" name="E85 station (€/L)"/>
    <tableColumn id="10" xr3:uid="{5E1E7CC4-20C7-43CE-B948-0FF59B520170}" name="SP98 station (€/L)"/>
    <tableColumn id="11" xr3:uid="{0569F280-793E-4C79-9772-B762FF84B752}" name="SP95 station (€/L)"/>
    <tableColumn id="12" xr3:uid="{5A5BCF61-9498-4F05-A070-27269537626B}" name="E10 station (€/L)"/>
    <tableColumn id="13" xr3:uid="{6FC1511C-EF31-495E-A44C-34F5FE86B6D4}" name="Gazole station (€/L)"/>
    <tableColumn id="14" xr3:uid="{DCD12CF8-FCAB-4B7A-97D4-D3FF87888660}" name="GPLc station (€/L)"/>
    <tableColumn id="15" xr3:uid="{C4268D31-0873-472B-AC68-720E552CEE56}" name="sync_id"/>
    <tableColumn id="16" xr3:uid="{F92810BB-492F-40A9-A08A-6B21A01C449A}" name="Colonne1"/>
    <tableColumn id="17" xr3:uid="{B9A3508B-B742-48B4-BB50-87597A31E241}" name="Colonne2"/>
    <tableColumn id="18" xr3:uid="{7947B9B7-6DFE-4555-85D5-46253E78BB7A}" name="Colonne3"/>
    <tableColumn id="19" xr3:uid="{F8313E61-7E53-4CF6-B065-E4559993DDB0}" name="Colonne4"/>
    <tableColumn id="20" xr3:uid="{53BE1E16-CDCE-4829-9DEF-63DDBACE2160}" name="Colonne5"/>
    <tableColumn id="21" xr3:uid="{D9917230-5890-4A69-A1BE-C346930BA9C3}" name="Colonne6"/>
    <tableColumn id="22" xr3:uid="{3A052D3D-1101-40E6-B6EF-69DECF057434}" name="Colonne7"/>
    <tableColumn id="23" xr3:uid="{64ECEE7F-099E-4DFB-88C2-718A2A4E10DA}" name="Colonne8"/>
    <tableColumn id="24" xr3:uid="{C6E29480-39CE-47AB-8841-3212F0A46E3E}" name="Colonne9"/>
    <tableColumn id="25" xr3:uid="{938FF689-2BCD-4F1F-A7F0-4B8A3D3579A5}" name="Colonne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30" dataDxfId="28" headerRowBorderDxfId="29" tableBorderDxfId="27" totalsRowBorderDxfId="26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5">
      <calculatedColumnFormula>IF(B16="","",A15+1)</calculatedColumnFormula>
    </tableColumn>
    <tableColumn id="2" xr3:uid="{D9E9EBFF-BC9D-4E59-9822-91D7DEC1E7CE}" name="Date" dataDxfId="24"/>
    <tableColumn id="11" xr3:uid="{A77486BA-32D8-4661-BA23-1144AE2FD0EC}" name="Type" dataDxfId="23"/>
    <tableColumn id="3" xr3:uid="{6C87F133-7224-4AAB-ACB2-666E8B7315B5}" name="Km compteur" dataDxfId="22"/>
    <tableColumn id="15" xr3:uid="{E9E70181-907F-4D1A-BD9D-156B992A2880}" name="Nb. km" dataDxfId="21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0"/>
    <tableColumn id="5" xr3:uid="{A61BA34E-E60B-4F70-A1D9-62090C37C449}" name="Prix €/L" dataDxfId="19"/>
    <tableColumn id="13" xr3:uid="{C796B9E8-7AC6-4345-B44F-194876D2515D}" name="Coût c€/km" dataDxfId="18">
      <calculatedColumnFormula>IF(OR(D16="",D15="",I16="",ISTEXT(D15)),"",F16/(D16-D15)*100)</calculatedColumnFormula>
    </tableColumn>
    <tableColumn id="6" xr3:uid="{7A10B093-08A0-4955-A678-47B342940366}" name="Coût Plein (€)" dataDxfId="17">
      <calculatedColumnFormula>IF(F16="","",F16*G16)</calculatedColumnFormula>
    </tableColumn>
    <tableColumn id="7" xr3:uid="{0D4F331E-E5DE-4D78-8EE4-6B964BF0DB88}" name="Conso. (L/100km)" dataDxfId="16">
      <calculatedColumnFormula>IF(OR(D16="",D15="",F16="",ISTEXT(D15)),"",F16/(D16-D15)*100)</calculatedColumnFormula>
    </tableColumn>
    <tableColumn id="8" xr3:uid="{8C4BCB7E-42BC-494E-A304-19A9848326C2}" name="Prix S98 jour (€/L)" dataDxfId="15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4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3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2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0" dataDxfId="9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7" dataDxfId="6">
  <autoFilter ref="D2:D27" xr:uid="{25AB3DD4-00E3-4CC0-B281-01FA80424A7F}"/>
  <sortState xmlns:xlrd2="http://schemas.microsoft.com/office/spreadsheetml/2017/richdata2" ref="D3:D9">
    <sortCondition ref="D2:D25"/>
  </sortState>
  <tableColumns count="1">
    <tableColumn id="1" xr3:uid="{15E89797-5AED-42ED-A3B9-120C7515903D}" name="Station essence utilisé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138</v>
      </c>
      <c r="D16" t="s">
        <v>139</v>
      </c>
      <c r="E16" t="s">
        <v>140</v>
      </c>
      <c r="F16" t="s">
        <v>141</v>
      </c>
    </row>
    <row r="17" spans="1:6" x14ac:dyDescent="0.25">
      <c r="A17">
        <v>24</v>
      </c>
      <c r="B17" s="2">
        <v>46153</v>
      </c>
      <c r="C17" t="s">
        <v>142</v>
      </c>
      <c r="D17" t="s">
        <v>143</v>
      </c>
      <c r="E17" t="s">
        <v>144</v>
      </c>
      <c r="F17" t="s">
        <v>145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147</v>
      </c>
      <c r="D23" t="s">
        <v>148</v>
      </c>
      <c r="E23" t="s">
        <v>149</v>
      </c>
      <c r="F23" t="s">
        <v>150</v>
      </c>
    </row>
    <row r="24" spans="1:6" x14ac:dyDescent="0.25">
      <c r="A24">
        <v>26</v>
      </c>
      <c r="B24" s="2">
        <v>46153</v>
      </c>
      <c r="C24" t="s">
        <v>161</v>
      </c>
      <c r="D24" t="s">
        <v>162</v>
      </c>
      <c r="E24" t="s">
        <v>163</v>
      </c>
      <c r="F24" t="s">
        <v>164</v>
      </c>
    </row>
    <row r="25" spans="1:6" x14ac:dyDescent="0.25">
      <c r="A25">
        <v>27</v>
      </c>
      <c r="B25" s="2">
        <v>46153</v>
      </c>
      <c r="C25" t="s">
        <v>165</v>
      </c>
      <c r="D25" t="s">
        <v>166</v>
      </c>
      <c r="E25" t="s">
        <v>167</v>
      </c>
      <c r="F25" t="s">
        <v>168</v>
      </c>
    </row>
    <row r="26" spans="1:6" x14ac:dyDescent="0.25">
      <c r="A26">
        <v>28</v>
      </c>
      <c r="B26" s="2">
        <v>46153</v>
      </c>
      <c r="C26" t="s">
        <v>169</v>
      </c>
      <c r="D26" t="s">
        <v>170</v>
      </c>
      <c r="E26" t="s">
        <v>171</v>
      </c>
      <c r="F26" t="s">
        <v>172</v>
      </c>
    </row>
    <row r="27" spans="1:6" x14ac:dyDescent="0.25">
      <c r="A27">
        <v>29</v>
      </c>
      <c r="B27" s="2">
        <v>46153</v>
      </c>
      <c r="C27" t="s">
        <v>173</v>
      </c>
      <c r="D27" t="s">
        <v>174</v>
      </c>
      <c r="E27" t="s">
        <v>175</v>
      </c>
      <c r="F27" t="s">
        <v>176</v>
      </c>
    </row>
    <row r="28" spans="1:6" x14ac:dyDescent="0.25">
      <c r="A28">
        <v>30</v>
      </c>
      <c r="B28" s="2">
        <v>46153</v>
      </c>
      <c r="C28" t="s">
        <v>177</v>
      </c>
      <c r="D28" t="s">
        <v>178</v>
      </c>
      <c r="E28" t="s">
        <v>179</v>
      </c>
      <c r="F28" t="s">
        <v>180</v>
      </c>
    </row>
    <row r="29" spans="1:6" x14ac:dyDescent="0.25">
      <c r="A29">
        <v>31</v>
      </c>
      <c r="B29" s="2">
        <v>46153</v>
      </c>
      <c r="C29" t="s">
        <v>181</v>
      </c>
      <c r="D29" t="s">
        <v>182</v>
      </c>
      <c r="E29" t="s">
        <v>183</v>
      </c>
      <c r="F29" t="s">
        <v>184</v>
      </c>
    </row>
    <row r="30" spans="1:6" x14ac:dyDescent="0.25">
      <c r="A30">
        <v>32</v>
      </c>
      <c r="B30" s="2">
        <v>46153</v>
      </c>
      <c r="C30" t="s">
        <v>185</v>
      </c>
      <c r="D30" t="s">
        <v>186</v>
      </c>
      <c r="E30" t="s">
        <v>187</v>
      </c>
      <c r="F30" t="s">
        <v>188</v>
      </c>
    </row>
    <row r="31" spans="1:6" x14ac:dyDescent="0.25">
      <c r="A31">
        <v>33</v>
      </c>
      <c r="B31" s="2">
        <v>46157</v>
      </c>
      <c r="C31" t="s">
        <v>189</v>
      </c>
      <c r="D31" t="s">
        <v>190</v>
      </c>
      <c r="E31" t="s">
        <v>191</v>
      </c>
      <c r="F31" t="s">
        <v>192</v>
      </c>
    </row>
    <row r="32" spans="1:6" x14ac:dyDescent="0.25">
      <c r="A32">
        <v>34</v>
      </c>
      <c r="B32" s="2">
        <v>46158</v>
      </c>
      <c r="C32" t="s">
        <v>198</v>
      </c>
      <c r="D32" t="s">
        <v>199</v>
      </c>
      <c r="E32" t="s">
        <v>200</v>
      </c>
      <c r="F32" t="s">
        <v>201</v>
      </c>
    </row>
    <row r="33" spans="1:6" x14ac:dyDescent="0.25">
      <c r="A33">
        <v>35</v>
      </c>
      <c r="B33" s="2">
        <v>46158</v>
      </c>
      <c r="C33" t="s">
        <v>203</v>
      </c>
      <c r="D33" t="s">
        <v>204</v>
      </c>
      <c r="E33" t="s">
        <v>205</v>
      </c>
      <c r="F33" t="s">
        <v>206</v>
      </c>
    </row>
    <row r="34" spans="1:6" x14ac:dyDescent="0.25">
      <c r="A34">
        <v>36</v>
      </c>
      <c r="B34" s="2">
        <v>46158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>
        <v>37</v>
      </c>
      <c r="B35" s="2">
        <v>46158</v>
      </c>
      <c r="C35" t="s">
        <v>212</v>
      </c>
      <c r="D35" t="s">
        <v>213</v>
      </c>
      <c r="E35" t="s">
        <v>214</v>
      </c>
      <c r="F35" t="s">
        <v>215</v>
      </c>
    </row>
    <row r="36" spans="1:6" x14ac:dyDescent="0.25">
      <c r="A36">
        <v>38</v>
      </c>
      <c r="B36" s="2">
        <v>46158</v>
      </c>
      <c r="C36" t="s">
        <v>216</v>
      </c>
      <c r="D36" t="s">
        <v>217</v>
      </c>
      <c r="E36" t="s">
        <v>218</v>
      </c>
      <c r="F36" t="s">
        <v>219</v>
      </c>
    </row>
    <row r="37" spans="1:6" x14ac:dyDescent="0.25">
      <c r="A37">
        <v>39</v>
      </c>
      <c r="B37" s="2">
        <v>46158</v>
      </c>
      <c r="C37" t="s">
        <v>220</v>
      </c>
      <c r="D37" t="s">
        <v>221</v>
      </c>
      <c r="E37" t="s">
        <v>222</v>
      </c>
      <c r="F37" t="s">
        <v>223</v>
      </c>
    </row>
    <row r="38" spans="1:6" x14ac:dyDescent="0.25">
      <c r="A38">
        <v>40</v>
      </c>
      <c r="B38" s="2">
        <v>46158</v>
      </c>
      <c r="C38" t="s">
        <v>224</v>
      </c>
      <c r="D38" t="s">
        <v>225</v>
      </c>
      <c r="E38" t="s">
        <v>226</v>
      </c>
      <c r="F38" t="s">
        <v>227</v>
      </c>
    </row>
    <row r="39" spans="1:6" x14ac:dyDescent="0.25">
      <c r="A39">
        <v>41</v>
      </c>
      <c r="B39" s="2">
        <v>46158</v>
      </c>
      <c r="C39" t="s">
        <v>228</v>
      </c>
      <c r="D39" t="s">
        <v>229</v>
      </c>
      <c r="E39" t="s">
        <v>230</v>
      </c>
      <c r="F39" t="s">
        <v>215</v>
      </c>
    </row>
    <row r="40" spans="1:6" x14ac:dyDescent="0.25">
      <c r="A40">
        <v>42</v>
      </c>
      <c r="B40" s="2">
        <v>46158</v>
      </c>
      <c r="C40" t="s">
        <v>231</v>
      </c>
      <c r="D40" t="s">
        <v>232</v>
      </c>
      <c r="E40" t="s">
        <v>233</v>
      </c>
      <c r="F40" t="s">
        <v>234</v>
      </c>
    </row>
    <row r="41" spans="1:6" x14ac:dyDescent="0.25">
      <c r="A41">
        <v>43</v>
      </c>
      <c r="B41" s="2">
        <v>46158</v>
      </c>
      <c r="C41" t="s">
        <v>235</v>
      </c>
      <c r="D41" t="s">
        <v>236</v>
      </c>
      <c r="E41" t="s">
        <v>237</v>
      </c>
      <c r="F41" t="s">
        <v>238</v>
      </c>
    </row>
    <row r="42" spans="1:6" x14ac:dyDescent="0.25">
      <c r="A42">
        <v>44</v>
      </c>
      <c r="B42" s="2">
        <v>46158</v>
      </c>
      <c r="C42" t="s">
        <v>239</v>
      </c>
      <c r="D42" t="s">
        <v>240</v>
      </c>
      <c r="E42" t="s">
        <v>241</v>
      </c>
      <c r="F42" t="s">
        <v>242</v>
      </c>
    </row>
    <row r="43" spans="1:6" x14ac:dyDescent="0.25">
      <c r="A43">
        <v>45</v>
      </c>
      <c r="B43" s="2">
        <v>46158</v>
      </c>
      <c r="C43" t="s">
        <v>243</v>
      </c>
      <c r="D43" t="s">
        <v>244</v>
      </c>
      <c r="E43" t="s">
        <v>245</v>
      </c>
      <c r="F43" t="s">
        <v>246</v>
      </c>
    </row>
    <row r="44" spans="1:6" x14ac:dyDescent="0.25">
      <c r="A44">
        <v>46</v>
      </c>
      <c r="B44" s="2">
        <v>46158</v>
      </c>
      <c r="C44" t="s">
        <v>247</v>
      </c>
      <c r="D44" t="s">
        <v>248</v>
      </c>
      <c r="E44" t="s">
        <v>249</v>
      </c>
      <c r="F44" t="s">
        <v>250</v>
      </c>
    </row>
    <row r="45" spans="1:6" x14ac:dyDescent="0.25">
      <c r="A45">
        <v>47</v>
      </c>
      <c r="B45" s="2">
        <v>46158</v>
      </c>
      <c r="C45" t="s">
        <v>251</v>
      </c>
      <c r="D45" t="s">
        <v>252</v>
      </c>
      <c r="E45" t="s">
        <v>253</v>
      </c>
      <c r="F45" t="s">
        <v>254</v>
      </c>
    </row>
    <row r="46" spans="1:6" x14ac:dyDescent="0.25">
      <c r="A46">
        <v>48</v>
      </c>
      <c r="B46" s="2">
        <v>46158</v>
      </c>
      <c r="C46" t="s">
        <v>255</v>
      </c>
      <c r="D46" t="s">
        <v>256</v>
      </c>
      <c r="E46" t="s">
        <v>257</v>
      </c>
      <c r="F46" t="s">
        <v>258</v>
      </c>
    </row>
    <row r="47" spans="1:6" x14ac:dyDescent="0.25">
      <c r="A47">
        <v>49</v>
      </c>
      <c r="B47" s="2">
        <v>46158</v>
      </c>
      <c r="C47" t="s">
        <v>259</v>
      </c>
      <c r="D47" t="s">
        <v>260</v>
      </c>
      <c r="E47" t="s">
        <v>261</v>
      </c>
      <c r="F47" t="s">
        <v>262</v>
      </c>
    </row>
    <row r="48" spans="1:6" x14ac:dyDescent="0.25">
      <c r="A48">
        <v>50</v>
      </c>
      <c r="B48" s="2">
        <v>46158</v>
      </c>
      <c r="C48" t="s">
        <v>263</v>
      </c>
      <c r="D48" t="s">
        <v>264</v>
      </c>
      <c r="E48" t="s">
        <v>265</v>
      </c>
      <c r="F48" t="s">
        <v>266</v>
      </c>
    </row>
    <row r="49" spans="1:6" x14ac:dyDescent="0.25">
      <c r="A49">
        <v>51</v>
      </c>
      <c r="B49" s="2">
        <v>46158</v>
      </c>
      <c r="C49" t="s">
        <v>267</v>
      </c>
      <c r="D49" t="s">
        <v>268</v>
      </c>
      <c r="E49" t="s">
        <v>269</v>
      </c>
      <c r="F49" t="s">
        <v>270</v>
      </c>
    </row>
    <row r="50" spans="1:6" x14ac:dyDescent="0.25">
      <c r="A50">
        <v>52</v>
      </c>
      <c r="B50" s="2">
        <v>46158</v>
      </c>
      <c r="C50" t="s">
        <v>271</v>
      </c>
      <c r="D50" t="s">
        <v>272</v>
      </c>
      <c r="E50" t="s">
        <v>273</v>
      </c>
      <c r="F50" t="s">
        <v>274</v>
      </c>
    </row>
    <row r="51" spans="1:6" x14ac:dyDescent="0.25">
      <c r="A51">
        <v>53</v>
      </c>
      <c r="B51" s="2">
        <v>46158</v>
      </c>
      <c r="C51" t="s">
        <v>275</v>
      </c>
      <c r="D51" t="s">
        <v>276</v>
      </c>
      <c r="E51" t="s">
        <v>277</v>
      </c>
      <c r="F51" t="s">
        <v>215</v>
      </c>
    </row>
    <row r="52" spans="1:6" x14ac:dyDescent="0.25">
      <c r="A52">
        <v>54</v>
      </c>
      <c r="B52" s="2">
        <v>46158</v>
      </c>
      <c r="C52" t="s">
        <v>278</v>
      </c>
      <c r="D52" t="s">
        <v>279</v>
      </c>
      <c r="E52" t="s">
        <v>280</v>
      </c>
      <c r="F52" t="s">
        <v>281</v>
      </c>
    </row>
    <row r="53" spans="1:6" x14ac:dyDescent="0.25">
      <c r="A53">
        <v>1</v>
      </c>
      <c r="B53" s="2">
        <v>46163</v>
      </c>
      <c r="C53" t="s">
        <v>294</v>
      </c>
      <c r="D53" t="s">
        <v>295</v>
      </c>
      <c r="E53" t="s">
        <v>296</v>
      </c>
      <c r="F53" t="s">
        <v>297</v>
      </c>
    </row>
    <row r="54" spans="1:6" x14ac:dyDescent="0.25">
      <c r="A54">
        <v>55</v>
      </c>
      <c r="B54" s="2">
        <v>46163</v>
      </c>
      <c r="C54" t="s">
        <v>298</v>
      </c>
      <c r="D54" t="s">
        <v>299</v>
      </c>
      <c r="E54" t="s">
        <v>300</v>
      </c>
      <c r="F54" t="s">
        <v>301</v>
      </c>
    </row>
    <row r="55" spans="1:6" x14ac:dyDescent="0.25">
      <c r="A55">
        <v>56</v>
      </c>
      <c r="B55" s="2">
        <v>46163</v>
      </c>
      <c r="C55" t="s">
        <v>302</v>
      </c>
      <c r="D55" t="s">
        <v>303</v>
      </c>
      <c r="E55" t="s">
        <v>304</v>
      </c>
      <c r="F55" t="s">
        <v>305</v>
      </c>
    </row>
    <row r="56" spans="1:6" x14ac:dyDescent="0.25">
      <c r="A56">
        <v>57</v>
      </c>
      <c r="B56" s="2">
        <v>46163</v>
      </c>
      <c r="C56" t="s">
        <v>306</v>
      </c>
      <c r="D56" t="s">
        <v>307</v>
      </c>
      <c r="E56" t="s">
        <v>308</v>
      </c>
      <c r="F56" t="s">
        <v>309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tabSelected="1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12" t="s">
        <v>376</v>
      </c>
      <c r="B1" s="122"/>
    </row>
    <row r="2" spans="1:2" x14ac:dyDescent="0.25">
      <c r="A2" s="113" t="s">
        <v>377</v>
      </c>
      <c r="B2" s="122"/>
    </row>
    <row r="3" spans="1:2" ht="3.75" customHeight="1" x14ac:dyDescent="0.25"/>
    <row r="4" spans="1:2" ht="26.1" customHeight="1" x14ac:dyDescent="0.25">
      <c r="A4" s="114" t="s">
        <v>378</v>
      </c>
      <c r="B4" s="114" t="s">
        <v>379</v>
      </c>
    </row>
    <row r="5" spans="1:2" ht="26.1" customHeight="1" x14ac:dyDescent="0.3">
      <c r="A5" s="115" t="s">
        <v>380</v>
      </c>
      <c r="B5" s="116">
        <f>IFERROR(SUM(GS_Pleins[Litres])/(MAX(GS_Pleins[Km])-MIN(GS_Pleins[Km]))*100,0)</f>
        <v>6.7999009410599314</v>
      </c>
    </row>
    <row r="6" spans="1:2" ht="26.1" customHeight="1" x14ac:dyDescent="0.3">
      <c r="A6" s="118" t="s">
        <v>381</v>
      </c>
      <c r="B6" s="119">
        <f>IFERROR(SUMPRODUCT(GS_Pleins[Litres],GS_Pleins[PrixL])/(MAX(GS_Pleins[Km])-MIN(GS_Pleins[Km])),0)</f>
        <v>7.6973561168895491E-2</v>
      </c>
    </row>
    <row r="7" spans="1:2" ht="26.1" customHeight="1" x14ac:dyDescent="0.3">
      <c r="A7" s="118" t="s">
        <v>382</v>
      </c>
      <c r="B7" s="120">
        <f ca="1">SUMPRODUCT((YEAR(GS_Pleins[Date])=YEAR(TODAY()))*GS_Pleins[Litres]*GS_Pleins[PrixL])</f>
        <v>155.40961999999999</v>
      </c>
    </row>
    <row r="8" spans="1:2" ht="26.1" customHeight="1" x14ac:dyDescent="0.3">
      <c r="A8" s="118" t="s">
        <v>383</v>
      </c>
      <c r="B8" s="121">
        <f ca="1">SUMPRODUCT((YEAR(GS_Pleins[Date])=YEAR(TODAY()))*1)</f>
        <v>10</v>
      </c>
    </row>
    <row r="9" spans="1:2" ht="26.1" customHeight="1" x14ac:dyDescent="0.3">
      <c r="A9" s="118" t="s">
        <v>384</v>
      </c>
      <c r="B9" s="123">
        <f>IFERROR(COUNTIF(GS_Pleins[Type],"*E85*")/COUNTA(GS_Pleins[Type]),0)</f>
        <v>0.7</v>
      </c>
    </row>
    <row r="10" spans="1:2" ht="26.1" customHeight="1" x14ac:dyDescent="0.3">
      <c r="A10" s="118" t="s">
        <v>385</v>
      </c>
      <c r="B10" s="124">
        <f>IFERROR(SUMIF(GS_Pleins[Type],"*E85*",GS_Pleins[Litres])*(AVERAGEIFS(GS_Pleins[SP98 station],GS_Pleins[SP98 station],"&gt;0")-AVERAGEIF(GS_Pleins[Type],"*E85*",GS_Pleins[PrixL])),0)</f>
        <v>124.0728302857143</v>
      </c>
    </row>
    <row r="11" spans="1:2" ht="26.1" customHeight="1" x14ac:dyDescent="0.3">
      <c r="A11" s="118" t="s">
        <v>386</v>
      </c>
      <c r="B11" s="125">
        <f ca="1">IFERROR(AVERAGEIFS(GS_Pleins[PrixL],GS_Pleins[Type],"*E85*",GS_Pleins[Date],"&gt;="&amp;TODAY()-30),0)</f>
        <v>0.78014285714285714</v>
      </c>
    </row>
    <row r="12" spans="1:2" ht="26.1" customHeight="1" x14ac:dyDescent="0.3">
      <c r="A12" s="118" t="s">
        <v>387</v>
      </c>
      <c r="B12" s="126">
        <f>IFERROR(MAX(GS_Pleins[Horodatage]),"")</f>
        <v>46164.921076388891</v>
      </c>
    </row>
    <row r="13" spans="1:2" ht="26.1" customHeight="1" x14ac:dyDescent="0.3">
      <c r="A13" s="118" t="s">
        <v>388</v>
      </c>
      <c r="B13" s="127">
        <f>SUM(GS_Pleins[Litres])</f>
        <v>137.29000000000002</v>
      </c>
    </row>
    <row r="14" spans="1:2" ht="26.1" customHeight="1" x14ac:dyDescent="0.3">
      <c r="A14" s="117" t="s">
        <v>389</v>
      </c>
      <c r="B14" s="128">
        <f>IFERROR(MAX(GS_Pleins[Km])-MIN(GS_Pleins[Km]),0)</f>
        <v>2019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1"/>
  <sheetViews>
    <sheetView zoomScale="70" zoomScaleNormal="70" workbookViewId="0">
      <selection activeCell="J19" sqref="J19"/>
    </sheetView>
  </sheetViews>
  <sheetFormatPr baseColWidth="10" defaultRowHeight="15.75" x14ac:dyDescent="0.25"/>
  <cols>
    <col min="1" max="1" width="25.25" style="100" customWidth="1"/>
    <col min="2" max="2" width="15.375" style="100" customWidth="1"/>
    <col min="3" max="3" width="29.25" style="100" customWidth="1"/>
    <col min="4" max="4" width="9.625" style="100" customWidth="1"/>
    <col min="5" max="5" width="11.5" style="100" bestFit="1" customWidth="1"/>
    <col min="6" max="6" width="11" style="100" bestFit="1" customWidth="1"/>
    <col min="7" max="7" width="45.5" style="100" bestFit="1" customWidth="1"/>
    <col min="8" max="8" width="14.375" style="100" bestFit="1" customWidth="1"/>
    <col min="9" max="9" width="16" style="100" bestFit="1" customWidth="1"/>
    <col min="10" max="11" width="17.125" style="100" bestFit="1" customWidth="1"/>
    <col min="12" max="12" width="16" style="100" bestFit="1" customWidth="1"/>
    <col min="13" max="13" width="18.5" style="100" bestFit="1" customWidth="1"/>
    <col min="14" max="14" width="17.125" style="100" bestFit="1" customWidth="1"/>
    <col min="15" max="15" width="40.875" style="100" customWidth="1"/>
    <col min="16" max="16384" width="11" style="100"/>
  </cols>
  <sheetData>
    <row r="1" spans="1:16" x14ac:dyDescent="0.25">
      <c r="A1" s="82" t="s">
        <v>310</v>
      </c>
      <c r="B1" s="82" t="s">
        <v>1</v>
      </c>
      <c r="C1" s="82" t="s">
        <v>55</v>
      </c>
      <c r="D1" s="82" t="s">
        <v>322</v>
      </c>
      <c r="E1" s="82" t="s">
        <v>323</v>
      </c>
      <c r="F1" s="82" t="s">
        <v>324</v>
      </c>
      <c r="G1" s="82" t="s">
        <v>282</v>
      </c>
      <c r="H1" s="82" t="s">
        <v>325</v>
      </c>
      <c r="I1" s="82" t="s">
        <v>326</v>
      </c>
      <c r="J1" s="82" t="s">
        <v>327</v>
      </c>
      <c r="K1" s="82" t="s">
        <v>328</v>
      </c>
      <c r="L1" s="82" t="s">
        <v>329</v>
      </c>
      <c r="M1" s="82" t="s">
        <v>330</v>
      </c>
      <c r="N1" s="82" t="s">
        <v>331</v>
      </c>
      <c r="O1" s="82" t="s">
        <v>352</v>
      </c>
      <c r="P1" s="82" t="s">
        <v>342</v>
      </c>
    </row>
    <row r="2" spans="1:16" x14ac:dyDescent="0.25">
      <c r="A2" s="103">
        <v>46131</v>
      </c>
      <c r="B2" s="111">
        <v>46131</v>
      </c>
      <c r="C2" s="101" t="s">
        <v>81</v>
      </c>
      <c r="D2" s="101">
        <v>9812</v>
      </c>
      <c r="E2" s="101">
        <v>11.4</v>
      </c>
      <c r="F2" s="101">
        <v>1.9730000000000001</v>
      </c>
      <c r="G2" s="101" t="s">
        <v>364</v>
      </c>
      <c r="H2" s="101" t="s">
        <v>332</v>
      </c>
      <c r="I2" s="101"/>
      <c r="J2" s="101">
        <v>1.9730000000000001</v>
      </c>
      <c r="K2" s="101"/>
      <c r="L2" s="101"/>
      <c r="M2" s="101"/>
      <c r="N2" s="101"/>
      <c r="O2" s="101" t="s">
        <v>357</v>
      </c>
      <c r="P2" s="101" t="s">
        <v>366</v>
      </c>
    </row>
    <row r="3" spans="1:16" x14ac:dyDescent="0.25">
      <c r="A3" s="103">
        <v>46135</v>
      </c>
      <c r="B3" s="111">
        <v>46135</v>
      </c>
      <c r="C3" s="101" t="s">
        <v>81</v>
      </c>
      <c r="D3" s="101">
        <v>10094</v>
      </c>
      <c r="E3" s="101">
        <v>15.22</v>
      </c>
      <c r="F3" s="101">
        <v>1.9259999999999999</v>
      </c>
      <c r="G3" s="101" t="s">
        <v>364</v>
      </c>
      <c r="H3" s="101" t="s">
        <v>332</v>
      </c>
      <c r="I3" s="101"/>
      <c r="J3" s="101">
        <v>1.9259999999999999</v>
      </c>
      <c r="K3" s="101"/>
      <c r="L3" s="101"/>
      <c r="M3" s="101"/>
      <c r="N3" s="101"/>
      <c r="O3" s="101" t="s">
        <v>358</v>
      </c>
      <c r="P3" s="101" t="s">
        <v>367</v>
      </c>
    </row>
    <row r="4" spans="1:16" x14ac:dyDescent="0.25">
      <c r="A4" s="103">
        <v>46140</v>
      </c>
      <c r="B4" s="111">
        <v>46140</v>
      </c>
      <c r="C4" s="101" t="s">
        <v>81</v>
      </c>
      <c r="D4" s="101">
        <v>10349</v>
      </c>
      <c r="E4" s="101">
        <v>13.75</v>
      </c>
      <c r="F4" s="101">
        <v>2.0310000000000001</v>
      </c>
      <c r="G4" s="101" t="s">
        <v>365</v>
      </c>
      <c r="H4" s="101" t="s">
        <v>332</v>
      </c>
      <c r="I4" s="101"/>
      <c r="J4" s="101">
        <v>2.0310000000000001</v>
      </c>
      <c r="K4" s="101"/>
      <c r="L4" s="101"/>
      <c r="M4" s="101"/>
      <c r="N4" s="101"/>
      <c r="O4" s="101" t="s">
        <v>362</v>
      </c>
      <c r="P4" s="101" t="s">
        <v>368</v>
      </c>
    </row>
    <row r="5" spans="1:16" x14ac:dyDescent="0.25">
      <c r="A5" s="103">
        <v>46146</v>
      </c>
      <c r="B5" s="111">
        <v>46146</v>
      </c>
      <c r="C5" s="101" t="s">
        <v>100</v>
      </c>
      <c r="D5" s="101">
        <v>10553</v>
      </c>
      <c r="E5" s="101">
        <v>11.47</v>
      </c>
      <c r="F5" s="101">
        <v>0.80900000000000005</v>
      </c>
      <c r="G5" s="101" t="s">
        <v>354</v>
      </c>
      <c r="H5" s="101" t="s">
        <v>332</v>
      </c>
      <c r="I5" s="101">
        <v>0.80900000000000005</v>
      </c>
      <c r="J5" s="101">
        <v>2.0790000000000002</v>
      </c>
      <c r="K5" s="101"/>
      <c r="L5" s="101"/>
      <c r="M5" s="101"/>
      <c r="N5" s="101"/>
      <c r="O5" s="101" t="s">
        <v>359</v>
      </c>
      <c r="P5" s="101" t="s">
        <v>369</v>
      </c>
    </row>
    <row r="6" spans="1:16" x14ac:dyDescent="0.25">
      <c r="A6" s="103">
        <v>46148</v>
      </c>
      <c r="B6" s="111">
        <v>46148</v>
      </c>
      <c r="C6" s="101" t="s">
        <v>100</v>
      </c>
      <c r="D6" s="101">
        <v>10749</v>
      </c>
      <c r="E6" s="101">
        <v>11.71</v>
      </c>
      <c r="F6" s="101">
        <v>0.747</v>
      </c>
      <c r="G6" s="101" t="s">
        <v>354</v>
      </c>
      <c r="H6" s="101" t="s">
        <v>332</v>
      </c>
      <c r="I6" s="101">
        <v>0.747</v>
      </c>
      <c r="J6" s="101">
        <v>2.0979999999999999</v>
      </c>
      <c r="K6" s="101"/>
      <c r="L6" s="101"/>
      <c r="M6" s="101"/>
      <c r="N6" s="101"/>
      <c r="O6" s="101" t="s">
        <v>360</v>
      </c>
      <c r="P6" s="101" t="s">
        <v>370</v>
      </c>
    </row>
    <row r="7" spans="1:16" x14ac:dyDescent="0.25">
      <c r="A7" s="103">
        <v>46151</v>
      </c>
      <c r="B7" s="111">
        <v>46151</v>
      </c>
      <c r="C7" s="101" t="s">
        <v>100</v>
      </c>
      <c r="D7" s="101">
        <v>10975</v>
      </c>
      <c r="E7" s="101">
        <v>15.28</v>
      </c>
      <c r="F7" s="101">
        <v>0.75700000000000001</v>
      </c>
      <c r="G7" s="101" t="s">
        <v>354</v>
      </c>
      <c r="H7" s="101" t="s">
        <v>332</v>
      </c>
      <c r="I7" s="101">
        <v>0.75700000000000001</v>
      </c>
      <c r="J7" s="101">
        <v>2.0979999999999999</v>
      </c>
      <c r="K7" s="101"/>
      <c r="L7" s="101"/>
      <c r="M7" s="101"/>
      <c r="N7" s="101"/>
      <c r="O7" s="101" t="s">
        <v>361</v>
      </c>
      <c r="P7" s="101" t="s">
        <v>371</v>
      </c>
    </row>
    <row r="8" spans="1:16" x14ac:dyDescent="0.25">
      <c r="A8" s="103">
        <v>46154</v>
      </c>
      <c r="B8" s="111">
        <v>46154</v>
      </c>
      <c r="C8" s="101" t="s">
        <v>100</v>
      </c>
      <c r="D8" s="101">
        <v>11173</v>
      </c>
      <c r="E8" s="101">
        <v>13.94</v>
      </c>
      <c r="F8" s="101">
        <v>0.83499999999999996</v>
      </c>
      <c r="G8" s="101" t="s">
        <v>354</v>
      </c>
      <c r="H8" s="101" t="s">
        <v>332</v>
      </c>
      <c r="I8" s="101">
        <v>0.83499999999999996</v>
      </c>
      <c r="J8" s="101">
        <v>2.0950000000000002</v>
      </c>
      <c r="K8" s="101"/>
      <c r="L8" s="101"/>
      <c r="M8" s="101"/>
      <c r="N8" s="101"/>
      <c r="O8" s="101" t="s">
        <v>356</v>
      </c>
      <c r="P8" s="101" t="s">
        <v>372</v>
      </c>
    </row>
    <row r="9" spans="1:16" x14ac:dyDescent="0.25">
      <c r="A9" s="103">
        <v>46157</v>
      </c>
      <c r="B9" s="111">
        <v>46157</v>
      </c>
      <c r="C9" s="101" t="s">
        <v>100</v>
      </c>
      <c r="D9" s="101">
        <v>11376</v>
      </c>
      <c r="E9" s="101">
        <v>13.37</v>
      </c>
      <c r="F9" s="101">
        <v>0.71699999999999997</v>
      </c>
      <c r="G9" s="101" t="s">
        <v>354</v>
      </c>
      <c r="H9" s="101" t="s">
        <v>332</v>
      </c>
      <c r="I9" s="101">
        <v>0.71699999999999997</v>
      </c>
      <c r="J9" s="101">
        <v>2.0950000000000002</v>
      </c>
      <c r="K9" s="101"/>
      <c r="L9" s="101"/>
      <c r="M9" s="101"/>
      <c r="N9" s="101"/>
      <c r="O9" s="101" t="s">
        <v>363</v>
      </c>
      <c r="P9" s="101" t="s">
        <v>373</v>
      </c>
    </row>
    <row r="10" spans="1:16" x14ac:dyDescent="0.25">
      <c r="A10" s="103">
        <v>46161</v>
      </c>
      <c r="B10" s="111">
        <v>46161</v>
      </c>
      <c r="C10" s="101" t="s">
        <v>100</v>
      </c>
      <c r="D10" s="101">
        <v>11596</v>
      </c>
      <c r="E10" s="101">
        <v>14.9</v>
      </c>
      <c r="F10" s="101">
        <v>0.79800000000000004</v>
      </c>
      <c r="G10" s="101" t="s">
        <v>354</v>
      </c>
      <c r="H10" s="101" t="s">
        <v>332</v>
      </c>
      <c r="I10" s="101">
        <v>0.79800000000000004</v>
      </c>
      <c r="J10" s="101">
        <v>2.0910000000000002</v>
      </c>
      <c r="K10" s="101"/>
      <c r="L10" s="101"/>
      <c r="M10" s="101"/>
      <c r="N10" s="101"/>
      <c r="O10" s="101" t="s">
        <v>353</v>
      </c>
      <c r="P10" s="101" t="s">
        <v>374</v>
      </c>
    </row>
    <row r="11" spans="1:16" x14ac:dyDescent="0.25">
      <c r="A11" s="103">
        <v>46164.921076388891</v>
      </c>
      <c r="B11" s="111">
        <v>46164.083333333336</v>
      </c>
      <c r="C11" s="101" t="s">
        <v>100</v>
      </c>
      <c r="D11" s="101">
        <v>11831</v>
      </c>
      <c r="E11" s="101">
        <v>16.25</v>
      </c>
      <c r="F11" s="101">
        <v>0.79800000000000004</v>
      </c>
      <c r="G11" s="101" t="s">
        <v>354</v>
      </c>
      <c r="H11" s="101" t="s">
        <v>332</v>
      </c>
      <c r="I11" s="101">
        <v>0.79800000000000004</v>
      </c>
      <c r="J11" s="101">
        <v>2.117</v>
      </c>
      <c r="K11" s="101"/>
      <c r="L11" s="101"/>
      <c r="M11" s="101"/>
      <c r="N11" s="101"/>
      <c r="O11" s="101" t="s">
        <v>355</v>
      </c>
      <c r="P11" s="101" t="s">
        <v>375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1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25" max="26" width="11.75" customWidth="1"/>
  </cols>
  <sheetData>
    <row r="1" spans="1:25" x14ac:dyDescent="0.25">
      <c r="A1" t="s">
        <v>310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282</v>
      </c>
      <c r="H1" t="s">
        <v>334</v>
      </c>
      <c r="I1" t="s">
        <v>335</v>
      </c>
      <c r="J1" t="s">
        <v>336</v>
      </c>
      <c r="K1" t="s">
        <v>337</v>
      </c>
      <c r="L1" t="s">
        <v>338</v>
      </c>
      <c r="M1" t="s">
        <v>339</v>
      </c>
      <c r="N1" t="s">
        <v>340</v>
      </c>
      <c r="O1" t="s">
        <v>352</v>
      </c>
      <c r="P1" t="s">
        <v>342</v>
      </c>
      <c r="Q1" t="s">
        <v>343</v>
      </c>
      <c r="R1" t="s">
        <v>344</v>
      </c>
      <c r="S1" t="s">
        <v>345</v>
      </c>
      <c r="T1" t="s">
        <v>346</v>
      </c>
      <c r="U1" t="s">
        <v>347</v>
      </c>
      <c r="V1" t="s">
        <v>348</v>
      </c>
      <c r="W1" t="s">
        <v>349</v>
      </c>
      <c r="X1" t="s">
        <v>350</v>
      </c>
      <c r="Y1" t="s">
        <v>351</v>
      </c>
    </row>
    <row r="2" spans="1:25" x14ac:dyDescent="0.25">
      <c r="A2" s="102">
        <v>46164.921076388891</v>
      </c>
      <c r="B2" s="102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354</v>
      </c>
      <c r="H2" t="s">
        <v>332</v>
      </c>
      <c r="I2">
        <v>0.79800000000000004</v>
      </c>
      <c r="O2" t="s">
        <v>353</v>
      </c>
    </row>
    <row r="3" spans="1:25" x14ac:dyDescent="0.25">
      <c r="A3" s="2">
        <v>46131</v>
      </c>
      <c r="B3" s="102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364</v>
      </c>
      <c r="H3" t="s">
        <v>332</v>
      </c>
      <c r="J3">
        <v>1.9730000000000001</v>
      </c>
      <c r="O3" t="s">
        <v>355</v>
      </c>
    </row>
    <row r="4" spans="1:25" x14ac:dyDescent="0.25">
      <c r="A4" s="2">
        <v>46135</v>
      </c>
      <c r="B4" s="102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364</v>
      </c>
      <c r="H4" t="s">
        <v>332</v>
      </c>
      <c r="J4">
        <v>1.9259999999999999</v>
      </c>
      <c r="O4" t="s">
        <v>356</v>
      </c>
    </row>
    <row r="5" spans="1:25" x14ac:dyDescent="0.25">
      <c r="A5" s="2">
        <v>46140</v>
      </c>
      <c r="B5" s="102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365</v>
      </c>
      <c r="H5" t="s">
        <v>332</v>
      </c>
      <c r="J5">
        <v>2.0310000000000001</v>
      </c>
      <c r="O5" t="s">
        <v>357</v>
      </c>
    </row>
    <row r="6" spans="1:25" x14ac:dyDescent="0.25">
      <c r="A6" s="2">
        <v>46146</v>
      </c>
      <c r="B6" s="102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354</v>
      </c>
      <c r="H6" t="s">
        <v>332</v>
      </c>
      <c r="I6">
        <v>0.80900000000000005</v>
      </c>
      <c r="J6">
        <v>2.0790000000000002</v>
      </c>
      <c r="O6" t="s">
        <v>358</v>
      </c>
    </row>
    <row r="7" spans="1:25" x14ac:dyDescent="0.25">
      <c r="A7" s="2">
        <v>46148</v>
      </c>
      <c r="B7" s="102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354</v>
      </c>
      <c r="H7" t="s">
        <v>332</v>
      </c>
      <c r="I7">
        <v>0.747</v>
      </c>
      <c r="J7">
        <v>2.0979999999999999</v>
      </c>
      <c r="O7" t="s">
        <v>359</v>
      </c>
    </row>
    <row r="8" spans="1:25" x14ac:dyDescent="0.25">
      <c r="A8" s="2">
        <v>46151</v>
      </c>
      <c r="B8" s="102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354</v>
      </c>
      <c r="H8" t="s">
        <v>332</v>
      </c>
      <c r="I8">
        <v>0.75700000000000001</v>
      </c>
      <c r="J8">
        <v>2.0979999999999999</v>
      </c>
      <c r="O8" t="s">
        <v>360</v>
      </c>
    </row>
    <row r="9" spans="1:25" x14ac:dyDescent="0.25">
      <c r="A9" s="2">
        <v>46154</v>
      </c>
      <c r="B9" s="102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354</v>
      </c>
      <c r="H9" t="s">
        <v>332</v>
      </c>
      <c r="I9">
        <v>0.83499999999999996</v>
      </c>
      <c r="J9">
        <v>2.0950000000000002</v>
      </c>
      <c r="O9" t="s">
        <v>361</v>
      </c>
    </row>
    <row r="10" spans="1:25" x14ac:dyDescent="0.25">
      <c r="A10" s="2">
        <v>46157</v>
      </c>
      <c r="B10" s="102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354</v>
      </c>
      <c r="H10" t="s">
        <v>332</v>
      </c>
      <c r="I10">
        <v>0.71699999999999997</v>
      </c>
      <c r="J10">
        <v>2.0950000000000002</v>
      </c>
      <c r="O10" t="s">
        <v>362</v>
      </c>
    </row>
    <row r="11" spans="1:25" x14ac:dyDescent="0.25">
      <c r="A11" s="2">
        <v>46161</v>
      </c>
      <c r="B11" s="102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354</v>
      </c>
      <c r="H11" t="s">
        <v>332</v>
      </c>
      <c r="I11">
        <v>0.79800000000000004</v>
      </c>
      <c r="J11">
        <v>2.0910000000000002</v>
      </c>
      <c r="O11" t="s">
        <v>363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32" sqref="O3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05" t="s">
        <v>72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Z1" s="78">
        <v>46164.921076388891</v>
      </c>
      <c r="AA1" s="78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202</v>
      </c>
      <c r="H6" s="7"/>
      <c r="I6" s="7"/>
      <c r="J6" s="77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197</v>
      </c>
      <c r="B7" s="77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60" t="s">
        <v>9</v>
      </c>
      <c r="H7" s="60"/>
      <c r="I7" s="60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04" t="s">
        <v>107</v>
      </c>
      <c r="H10" s="104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207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6" t="s">
        <v>11</v>
      </c>
      <c r="B15" s="97" t="s">
        <v>1</v>
      </c>
      <c r="C15" s="97" t="s">
        <v>55</v>
      </c>
      <c r="D15" s="97" t="s">
        <v>12</v>
      </c>
      <c r="E15" s="97" t="s">
        <v>196</v>
      </c>
      <c r="F15" s="97" t="s">
        <v>56</v>
      </c>
      <c r="G15" s="97" t="s">
        <v>57</v>
      </c>
      <c r="H15" s="97" t="s">
        <v>99</v>
      </c>
      <c r="I15" s="98" t="s">
        <v>58</v>
      </c>
      <c r="J15" s="98" t="s">
        <v>13</v>
      </c>
      <c r="K15" s="97" t="s">
        <v>135</v>
      </c>
      <c r="L15" s="98" t="s">
        <v>82</v>
      </c>
      <c r="M15" s="99" t="s">
        <v>101</v>
      </c>
      <c r="N15" s="99" t="s">
        <v>14</v>
      </c>
      <c r="O15" s="98" t="s">
        <v>282</v>
      </c>
      <c r="Q15" s="46" t="s">
        <v>151</v>
      </c>
      <c r="R15" s="46" t="s">
        <v>14</v>
      </c>
      <c r="S15" s="46" t="s">
        <v>137</v>
      </c>
    </row>
    <row r="16" spans="1:27" x14ac:dyDescent="0.25">
      <c r="A16" s="48">
        <v>1</v>
      </c>
      <c r="B16" s="49">
        <v>46131</v>
      </c>
      <c r="C16" s="50" t="s">
        <v>81</v>
      </c>
      <c r="D16" s="51">
        <v>9812</v>
      </c>
      <c r="E16" s="66" t="str">
        <f>IF(AND(ISNUMBER(D15),Tableau2[[#This Row],[Km compteur]]&lt;&gt;""),Tableau2[[#This Row],[Km compteur]]-D15,"")</f>
        <v/>
      </c>
      <c r="F16" s="52">
        <v>11.4</v>
      </c>
      <c r="G16" s="53">
        <v>1.9730000000000001</v>
      </c>
      <c r="H16" s="54" t="str">
        <f t="shared" ref="H16:H23" si="0">IF(OR(D16="",D15="",I16="",ISTEXT(D15)),"",F16/(D16-D15)*100)</f>
        <v/>
      </c>
      <c r="I16" s="55">
        <f t="shared" ref="I16:I23" si="1">IF(F16="","",F16*G16)</f>
        <v>22.4922</v>
      </c>
      <c r="J16" s="56" t="str">
        <f t="shared" ref="J16:J23" si="2">IF(OR(D16="",D15="",F16="",ISTEXT(D15)),"",F16/(D16-D15)*100)</f>
        <v/>
      </c>
      <c r="K16" s="57">
        <f>IF(Tableau2[[#This Row],[Type]]="Super 98",Tableau2[[#This Row],[Prix €/L]],"")</f>
        <v>1.9730000000000001</v>
      </c>
      <c r="L16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8"/>
      <c r="N16" s="59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1" t="s">
        <v>364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8">
        <f t="shared" ref="A17:A23" si="3">IF(B17="","",A16+1)</f>
        <v>2</v>
      </c>
      <c r="B17" s="49">
        <v>46135</v>
      </c>
      <c r="C17" s="50" t="s">
        <v>81</v>
      </c>
      <c r="D17" s="51">
        <v>10094</v>
      </c>
      <c r="E17" s="66">
        <f>IF(AND(ISNUMBER(D16),Tableau2[[#This Row],[Km compteur]]&lt;&gt;""),Tableau2[[#This Row],[Km compteur]]-D16,"")</f>
        <v>282</v>
      </c>
      <c r="F17" s="52">
        <v>15.22</v>
      </c>
      <c r="G17" s="53">
        <v>1.9259999999999999</v>
      </c>
      <c r="H17" s="54">
        <f t="shared" si="0"/>
        <v>5.3971631205673765</v>
      </c>
      <c r="I17" s="55">
        <f>IF(F17="","",F17*G17)</f>
        <v>29.31372</v>
      </c>
      <c r="J17" s="56">
        <f t="shared" si="2"/>
        <v>5.3971631205673765</v>
      </c>
      <c r="K17" s="57">
        <f>IF(Tableau2[[#This Row],[Type]]="Super 98",Tableau2[[#This Row],[Prix €/L]],"")</f>
        <v>1.9259999999999999</v>
      </c>
      <c r="L17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9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1" t="s">
        <v>364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8">
        <f t="shared" si="3"/>
        <v>3</v>
      </c>
      <c r="B18" s="49">
        <v>46140</v>
      </c>
      <c r="C18" s="50" t="s">
        <v>81</v>
      </c>
      <c r="D18" s="51">
        <v>10349</v>
      </c>
      <c r="E18" s="66">
        <f>IF(AND(ISNUMBER(D17),Tableau2[[#This Row],[Km compteur]]&lt;&gt;""),Tableau2[[#This Row],[Km compteur]]-D17,"")</f>
        <v>255</v>
      </c>
      <c r="F18" s="52">
        <v>13.75</v>
      </c>
      <c r="G18" s="53">
        <v>2.0310000000000001</v>
      </c>
      <c r="H18" s="54">
        <f t="shared" si="0"/>
        <v>5.3921568627450984</v>
      </c>
      <c r="I18" s="55">
        <f t="shared" si="1"/>
        <v>27.926250000000003</v>
      </c>
      <c r="J18" s="56">
        <f t="shared" si="2"/>
        <v>5.3921568627450984</v>
      </c>
      <c r="K18" s="57">
        <f>IF(Tableau2[[#This Row],[Type]]="Super 98",Tableau2[[#This Row],[Prix €/L]],"")</f>
        <v>2.0310000000000001</v>
      </c>
      <c r="L18" s="55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8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9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1" t="s">
        <v>365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8">
        <f t="shared" si="3"/>
        <v>4</v>
      </c>
      <c r="B19" s="49">
        <v>46146</v>
      </c>
      <c r="C19" s="50" t="s">
        <v>100</v>
      </c>
      <c r="D19" s="51">
        <v>10553</v>
      </c>
      <c r="E19" s="66">
        <f>IF(AND(ISNUMBER(D18),Tableau2[[#This Row],[Km compteur]]&lt;&gt;""),Tableau2[[#This Row],[Km compteur]]-D18,"")</f>
        <v>204</v>
      </c>
      <c r="F19" s="52">
        <v>11.47</v>
      </c>
      <c r="G19" s="53">
        <v>0.80900000000000005</v>
      </c>
      <c r="H19" s="54">
        <f t="shared" si="0"/>
        <v>5.6225490196078436</v>
      </c>
      <c r="I19" s="55">
        <f t="shared" si="1"/>
        <v>9.2792300000000019</v>
      </c>
      <c r="J19" s="56">
        <f t="shared" si="2"/>
        <v>5.6225490196078436</v>
      </c>
      <c r="K19" s="57">
        <v>2.0790000000000002</v>
      </c>
      <c r="L19" s="55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9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1" t="s">
        <v>354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8">
        <f t="shared" si="3"/>
        <v>5</v>
      </c>
      <c r="B20" s="49">
        <v>46148</v>
      </c>
      <c r="C20" s="50" t="s">
        <v>100</v>
      </c>
      <c r="D20" s="51">
        <v>10749</v>
      </c>
      <c r="E20" s="66">
        <f>IF(AND(ISNUMBER(D19),Tableau2[[#This Row],[Km compteur]]&lt;&gt;""),Tableau2[[#This Row],[Km compteur]]-D19,"")</f>
        <v>196</v>
      </c>
      <c r="F20" s="52">
        <v>11.71</v>
      </c>
      <c r="G20" s="53">
        <v>0.747</v>
      </c>
      <c r="H20" s="54">
        <f t="shared" si="0"/>
        <v>5.9744897959183678</v>
      </c>
      <c r="I20" s="55">
        <f t="shared" si="1"/>
        <v>8.7473700000000001</v>
      </c>
      <c r="J20" s="56">
        <f t="shared" si="2"/>
        <v>5.9744897959183678</v>
      </c>
      <c r="K20" s="57">
        <v>2.0979999999999999</v>
      </c>
      <c r="L20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9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1" t="s">
        <v>354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8">
        <f t="shared" si="3"/>
        <v>6</v>
      </c>
      <c r="B21" s="49">
        <v>46151</v>
      </c>
      <c r="C21" s="50" t="s">
        <v>100</v>
      </c>
      <c r="D21" s="51">
        <v>10975</v>
      </c>
      <c r="E21" s="66">
        <f>IF(AND(ISNUMBER(D20),Tableau2[[#This Row],[Km compteur]]&lt;&gt;""),Tableau2[[#This Row],[Km compteur]]-D20,"")</f>
        <v>226</v>
      </c>
      <c r="F21" s="52">
        <v>15.28</v>
      </c>
      <c r="G21" s="53">
        <v>0.75700000000000001</v>
      </c>
      <c r="H21" s="54">
        <f t="shared" si="0"/>
        <v>6.7610619469026547</v>
      </c>
      <c r="I21" s="55">
        <f t="shared" si="1"/>
        <v>11.56696</v>
      </c>
      <c r="J21" s="56">
        <f t="shared" si="2"/>
        <v>6.7610619469026547</v>
      </c>
      <c r="K21" s="57">
        <v>2.0979999999999999</v>
      </c>
      <c r="L21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9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1" t="s">
        <v>354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8">
        <f t="shared" si="3"/>
        <v>7</v>
      </c>
      <c r="B22" s="49">
        <v>46154</v>
      </c>
      <c r="C22" s="65" t="s">
        <v>100</v>
      </c>
      <c r="D22" s="66">
        <v>11173</v>
      </c>
      <c r="E22" s="66">
        <f>IF(AND(ISNUMBER(D21),Tableau2[[#This Row],[Km compteur]]&lt;&gt;""),Tableau2[[#This Row],[Km compteur]]-D21,"")</f>
        <v>198</v>
      </c>
      <c r="F22" s="67">
        <v>13.94</v>
      </c>
      <c r="G22" s="68">
        <v>0.83499999999999996</v>
      </c>
      <c r="H22" s="54">
        <f t="shared" si="0"/>
        <v>7.0404040404040398</v>
      </c>
      <c r="I22" s="55">
        <f>IF(F22="","",F22*G22)</f>
        <v>11.639899999999999</v>
      </c>
      <c r="J22" s="56">
        <f t="shared" si="2"/>
        <v>7.0404040404040398</v>
      </c>
      <c r="K22" s="69">
        <v>2.0950000000000002</v>
      </c>
      <c r="L22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9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1" t="s">
        <v>354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8">
        <f t="shared" si="3"/>
        <v>8</v>
      </c>
      <c r="B23" s="49">
        <v>46157</v>
      </c>
      <c r="C23" s="50" t="s">
        <v>100</v>
      </c>
      <c r="D23" s="51">
        <v>11376</v>
      </c>
      <c r="E23" s="66">
        <f>IF(AND(ISNUMBER(D22),Tableau2[[#This Row],[Km compteur]]&lt;&gt;""),Tableau2[[#This Row],[Km compteur]]-D22,"")</f>
        <v>203</v>
      </c>
      <c r="F23" s="52">
        <v>13.37</v>
      </c>
      <c r="G23" s="53">
        <v>0.71699999999999997</v>
      </c>
      <c r="H23" s="54">
        <f t="shared" si="0"/>
        <v>6.5862068965517233</v>
      </c>
      <c r="I23" s="55">
        <f t="shared" si="1"/>
        <v>9.5862899999999982</v>
      </c>
      <c r="J23" s="56">
        <f t="shared" si="2"/>
        <v>6.5862068965517233</v>
      </c>
      <c r="K23" s="57">
        <v>2.0950000000000002</v>
      </c>
      <c r="L23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8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9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1" t="s">
        <v>354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80">
        <f>IF(B24="","",A23+1)</f>
        <v>9</v>
      </c>
      <c r="B24" s="49">
        <v>46161</v>
      </c>
      <c r="C24" s="65" t="s">
        <v>100</v>
      </c>
      <c r="D24" s="66">
        <v>11596</v>
      </c>
      <c r="E24" s="66">
        <f>IF(AND(ISNUMBER(D23),Tableau2[[#This Row],[Km compteur]]&lt;&gt;""),Tableau2[[#This Row],[Km compteur]]-D23,"")</f>
        <v>220</v>
      </c>
      <c r="F24" s="67">
        <v>14.9</v>
      </c>
      <c r="G24" s="68">
        <v>0.79800000000000004</v>
      </c>
      <c r="H24" s="79">
        <f>IF(OR(D24="",D23="",I24="",ISTEXT(D23)),"",F24/(D24-D23)*100)</f>
        <v>6.7727272727272734</v>
      </c>
      <c r="I24" s="55">
        <f>IF(F24="","",F24*G24)</f>
        <v>11.8902</v>
      </c>
      <c r="J24" s="56">
        <f>IF(OR(D24="",D23="",F24="",ISTEXT(D23)),"",F24/(D24-D23)*100)</f>
        <v>6.7727272727272734</v>
      </c>
      <c r="K24" s="69">
        <v>2.0910000000000002</v>
      </c>
      <c r="L24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9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1" t="s">
        <v>354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80">
        <f>IF(B25="","",A24+1)</f>
        <v>10</v>
      </c>
      <c r="B25" s="49">
        <v>46164</v>
      </c>
      <c r="C25" s="65" t="s">
        <v>100</v>
      </c>
      <c r="D25" s="66">
        <v>11831</v>
      </c>
      <c r="E25" s="66">
        <f>IF(AND(ISNUMBER(D24),Tableau2[[#This Row],[Km compteur]]&lt;&gt;""),Tableau2[[#This Row],[Km compteur]]-D24,"")</f>
        <v>235</v>
      </c>
      <c r="F25" s="67">
        <v>16.25</v>
      </c>
      <c r="G25" s="68">
        <v>0.79800000000000004</v>
      </c>
      <c r="H25" s="79">
        <f>IF(OR(D25="",D24="",I25="",ISTEXT(D24)),"",F25/(D25-D24)*100)</f>
        <v>6.9148936170212769</v>
      </c>
      <c r="I25" s="55">
        <f>IF(F25="","",F25*G25)</f>
        <v>12.967500000000001</v>
      </c>
      <c r="J25" s="56">
        <f>IF(OR(D25="",D24="",F25="",ISTEXT(D24)),"",F25/(D25-D24)*100)</f>
        <v>6.9148936170212769</v>
      </c>
      <c r="K25" s="69">
        <v>2.117</v>
      </c>
      <c r="L25" s="55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4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5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1" t="s">
        <v>354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70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1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2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2" t="s">
        <v>193</v>
      </c>
      <c r="B31" s="63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3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194</v>
      </c>
      <c r="B32" s="61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4"/>
      <c r="H33" s="74"/>
      <c r="I33" s="74"/>
      <c r="J33" s="74"/>
      <c r="K33" s="74"/>
      <c r="L33" s="74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6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195</v>
      </c>
      <c r="H35" s="19"/>
      <c r="I35" s="19"/>
      <c r="J35" s="75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6" type="noConversion"/>
  <conditionalFormatting sqref="K16:K25">
    <cfRule type="expression" dxfId="31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4" customWidth="1"/>
    <col min="2" max="2" width="43.125" style="84" customWidth="1"/>
    <col min="3" max="6" width="16" style="84" customWidth="1"/>
    <col min="7" max="9" width="13" style="84" customWidth="1"/>
    <col min="10" max="16384" width="9" style="84"/>
  </cols>
  <sheetData>
    <row r="1" spans="2:9" ht="8.1" customHeight="1" x14ac:dyDescent="0.25">
      <c r="B1" s="83"/>
      <c r="C1" s="83"/>
      <c r="D1" s="83"/>
      <c r="E1" s="83"/>
      <c r="F1" s="83"/>
      <c r="G1" s="83"/>
    </row>
    <row r="2" spans="2:9" ht="36" customHeight="1" x14ac:dyDescent="0.25">
      <c r="B2" s="106" t="s">
        <v>313</v>
      </c>
      <c r="C2" s="107"/>
      <c r="D2" s="107"/>
      <c r="E2" s="107"/>
      <c r="F2" s="107"/>
      <c r="G2" s="107"/>
    </row>
    <row r="3" spans="2:9" ht="6" customHeight="1" x14ac:dyDescent="0.25">
      <c r="B3" s="85"/>
      <c r="C3" s="85"/>
      <c r="D3" s="85"/>
      <c r="E3" s="85"/>
      <c r="F3" s="85"/>
      <c r="G3" s="85"/>
    </row>
    <row r="4" spans="2:9" ht="27.95" customHeight="1" x14ac:dyDescent="0.25">
      <c r="B4" s="108" t="s">
        <v>333</v>
      </c>
      <c r="C4" s="107"/>
      <c r="D4" s="107"/>
      <c r="E4" s="107"/>
      <c r="F4" s="107"/>
      <c r="G4" s="107"/>
    </row>
    <row r="5" spans="2:9" ht="32.1" customHeight="1" x14ac:dyDescent="0.25">
      <c r="B5" s="86" t="s">
        <v>290</v>
      </c>
      <c r="C5" s="87" t="s">
        <v>314</v>
      </c>
      <c r="D5" s="87" t="s">
        <v>315</v>
      </c>
      <c r="E5" s="87" t="s">
        <v>316</v>
      </c>
      <c r="F5" s="87" t="s">
        <v>317</v>
      </c>
      <c r="G5" s="87" t="s">
        <v>318</v>
      </c>
      <c r="H5" s="87" t="s">
        <v>319</v>
      </c>
      <c r="I5" s="86" t="s">
        <v>320</v>
      </c>
    </row>
    <row r="6" spans="2:9" ht="21.95" customHeight="1" x14ac:dyDescent="0.25">
      <c r="B6" s="89" t="str">
        <f>IF(Notes!$D$3="","",Notes!$D$3)</f>
        <v/>
      </c>
      <c r="C6" s="90" t="str">
        <f ca="1">IFERROR(AVERAGEIF(GS_Pleins!$G:$G,$B6,GS_Pleins[E85 station]),"")</f>
        <v/>
      </c>
      <c r="D6" s="90" t="str">
        <f ca="1">IFERROR(AVERAGEIF(GS_Pleins!$G:$G,$B6,GS_Pleins[SP98 station]),"")</f>
        <v/>
      </c>
      <c r="E6" s="90" t="str">
        <f ca="1">IFERROR(AVERAGEIF(GS_Pleins!$G:$G,$B6,GS_Pleins[SP95 station]),"")</f>
        <v/>
      </c>
      <c r="F6" s="90" t="str">
        <f ca="1">IFERROR(AVERAGEIF(GS_Pleins!$G:$G,$B6,GS_Pleins[E10 station]),"")</f>
        <v/>
      </c>
      <c r="G6" s="90" t="str">
        <f ca="1">IFERROR(AVERAGEIF(GS_Pleins!$G:$G,$B6,GS_Pleins[Gazole station]),"")</f>
        <v/>
      </c>
      <c r="H6" s="90" t="str">
        <f ca="1">IFERROR(AVERAGEIF(GS_Pleins!$G:$G,$B6,GS_Pleins[GPLc station]),"")</f>
        <v/>
      </c>
      <c r="I6" s="91" t="str">
        <f>IF(Notes!$D3="","",COUNTIF(GS_Pleins!$G:$G,B6))</f>
        <v/>
      </c>
    </row>
    <row r="7" spans="2:9" ht="21.95" customHeight="1" x14ac:dyDescent="0.25">
      <c r="B7" s="88" t="str">
        <f>IF(Notes!$D$4="","",Notes!$D$4)</f>
        <v/>
      </c>
      <c r="C7" s="90" t="str">
        <f ca="1">IFERROR(AVERAGEIF(GS_Pleins!$G:$G,$B7,GS_Pleins[E85 station]),"")</f>
        <v/>
      </c>
      <c r="D7" s="90" t="str">
        <f ca="1">IFERROR(AVERAGEIF(GS_Pleins!$G:$G,$B7,GS_Pleins[SP98 station]),"")</f>
        <v/>
      </c>
      <c r="E7" s="90" t="str">
        <f ca="1">IFERROR(AVERAGEIF(GS_Pleins!$G:$G,$B7,GS_Pleins[SP95 station]),"")</f>
        <v/>
      </c>
      <c r="F7" s="90" t="str">
        <f ca="1">IFERROR(AVERAGEIF(GS_Pleins!$G:$G,$B7,GS_Pleins[E10 station]),"")</f>
        <v/>
      </c>
      <c r="G7" s="90" t="str">
        <f ca="1">IFERROR(AVERAGEIF(GS_Pleins!$G:$G,$B7,GS_Pleins[Gazole station]),"")</f>
        <v/>
      </c>
      <c r="H7" s="90" t="str">
        <f ca="1">IFERROR(AVERAGEIF(GS_Pleins!$G:$G,$B7,GS_Pleins[GPLc station]),"")</f>
        <v/>
      </c>
      <c r="I7" s="91" t="str">
        <f>IF(Notes!$D4="","",COUNTIF(GS_Pleins!$G:$G,B7))</f>
        <v/>
      </c>
    </row>
    <row r="8" spans="2:9" ht="21.95" customHeight="1" x14ac:dyDescent="0.25">
      <c r="B8" s="89" t="str">
        <f>IF(Notes!$D$5="","",Notes!$D$5)</f>
        <v/>
      </c>
      <c r="C8" s="90" t="str">
        <f ca="1">IFERROR(AVERAGEIF(GS_Pleins!$G:$G,$B8,GS_Pleins[E85 station]),"")</f>
        <v/>
      </c>
      <c r="D8" s="90" t="str">
        <f ca="1">IFERROR(AVERAGEIF(GS_Pleins!$G:$G,$B8,GS_Pleins[SP98 station]),"")</f>
        <v/>
      </c>
      <c r="E8" s="90" t="str">
        <f ca="1">IFERROR(AVERAGEIF(GS_Pleins!$G:$G,$B8,GS_Pleins[SP95 station]),"")</f>
        <v/>
      </c>
      <c r="F8" s="90" t="str">
        <f ca="1">IFERROR(AVERAGEIF(GS_Pleins!$G:$G,$B8,GS_Pleins[E10 station]),"")</f>
        <v/>
      </c>
      <c r="G8" s="90" t="str">
        <f ca="1">IFERROR(AVERAGEIF(GS_Pleins!$G:$G,$B8,GS_Pleins[Gazole station]),"")</f>
        <v/>
      </c>
      <c r="H8" s="90" t="str">
        <f ca="1">IFERROR(AVERAGEIF(GS_Pleins!$G:$G,$B8,GS_Pleins[GPLc station]),"")</f>
        <v/>
      </c>
      <c r="I8" s="91" t="str">
        <f>IF(Notes!$D5="","",COUNTIF(GS_Pleins!$G:$G,B8))</f>
        <v/>
      </c>
    </row>
    <row r="9" spans="2:9" ht="21.95" customHeight="1" x14ac:dyDescent="0.25">
      <c r="B9" s="88" t="str">
        <f>IF(Notes!$D$6="","",Notes!$D$6)</f>
        <v/>
      </c>
      <c r="C9" s="90" t="str">
        <f ca="1">IFERROR(AVERAGEIF(GS_Pleins!$G:$G,$B9,GS_Pleins[E85 station]),"")</f>
        <v/>
      </c>
      <c r="D9" s="90" t="str">
        <f ca="1">IFERROR(AVERAGEIF(GS_Pleins!$G:$G,$B9,GS_Pleins[SP98 station]),"")</f>
        <v/>
      </c>
      <c r="E9" s="90" t="str">
        <f ca="1">IFERROR(AVERAGEIF(GS_Pleins!$G:$G,$B9,GS_Pleins[SP95 station]),"")</f>
        <v/>
      </c>
      <c r="F9" s="90" t="str">
        <f ca="1">IFERROR(AVERAGEIF(GS_Pleins!$G:$G,$B9,GS_Pleins[E10 station]),"")</f>
        <v/>
      </c>
      <c r="G9" s="90" t="str">
        <f ca="1">IFERROR(AVERAGEIF(GS_Pleins!$G:$G,$B9,GS_Pleins[Gazole station]),"")</f>
        <v/>
      </c>
      <c r="H9" s="90" t="str">
        <f ca="1">IFERROR(AVERAGEIF(GS_Pleins!$G:$G,$B9,GS_Pleins[GPLc station]),"")</f>
        <v/>
      </c>
      <c r="I9" s="91" t="str">
        <f>IF(Notes!$D6="","",COUNTIF(GS_Pleins!$G:$G,B9))</f>
        <v/>
      </c>
    </row>
    <row r="10" spans="2:9" ht="21.95" customHeight="1" x14ac:dyDescent="0.25">
      <c r="B10" s="89" t="str">
        <f>IF(Notes!$D$7="","",Notes!$D$7)</f>
        <v/>
      </c>
      <c r="C10" s="90" t="str">
        <f ca="1">IFERROR(AVERAGEIF(GS_Pleins!$G:$G,$B10,GS_Pleins[E85 station]),"")</f>
        <v/>
      </c>
      <c r="D10" s="90" t="str">
        <f ca="1">IFERROR(AVERAGEIF(GS_Pleins!$G:$G,$B10,GS_Pleins[SP98 station]),"")</f>
        <v/>
      </c>
      <c r="E10" s="90" t="str">
        <f ca="1">IFERROR(AVERAGEIF(GS_Pleins!$G:$G,$B10,GS_Pleins[SP95 station]),"")</f>
        <v/>
      </c>
      <c r="F10" s="90" t="str">
        <f ca="1">IFERROR(AVERAGEIF(GS_Pleins!$G:$G,$B10,GS_Pleins[E10 station]),"")</f>
        <v/>
      </c>
      <c r="G10" s="90" t="str">
        <f ca="1">IFERROR(AVERAGEIF(GS_Pleins!$G:$G,$B10,GS_Pleins[Gazole station]),"")</f>
        <v/>
      </c>
      <c r="H10" s="90" t="str">
        <f ca="1">IFERROR(AVERAGEIF(GS_Pleins!$G:$G,$B10,GS_Pleins[GPLc station]),"")</f>
        <v/>
      </c>
      <c r="I10" s="91" t="str">
        <f>IF(Notes!$D7="","",COUNTIF(GS_Pleins!$G:$G,B10))</f>
        <v/>
      </c>
    </row>
    <row r="11" spans="2:9" ht="21.95" customHeight="1" x14ac:dyDescent="0.25">
      <c r="B11" s="88" t="str">
        <f>IF(Notes!$D$8="","",Notes!$D$8)</f>
        <v/>
      </c>
      <c r="C11" s="90" t="str">
        <f ca="1">IFERROR(AVERAGEIF(GS_Pleins!$G:$G,$B11,GS_Pleins[E85 station]),"")</f>
        <v/>
      </c>
      <c r="D11" s="90" t="str">
        <f ca="1">IFERROR(AVERAGEIF(GS_Pleins!$G:$G,$B11,GS_Pleins[SP98 station]),"")</f>
        <v/>
      </c>
      <c r="E11" s="90" t="str">
        <f ca="1">IFERROR(AVERAGEIF(GS_Pleins!$G:$G,$B11,GS_Pleins[SP95 station]),"")</f>
        <v/>
      </c>
      <c r="F11" s="90" t="str">
        <f ca="1">IFERROR(AVERAGEIF(GS_Pleins!$G:$G,$B11,GS_Pleins[E10 station]),"")</f>
        <v/>
      </c>
      <c r="G11" s="90" t="str">
        <f ca="1">IFERROR(AVERAGEIF(GS_Pleins!$G:$G,$B11,GS_Pleins[Gazole station]),"")</f>
        <v/>
      </c>
      <c r="H11" s="90" t="str">
        <f ca="1">IFERROR(AVERAGEIF(GS_Pleins!$G:$G,$B11,GS_Pleins[GPLc station]),"")</f>
        <v/>
      </c>
      <c r="I11" s="91" t="str">
        <f>IF(Notes!$D8="","",COUNTIF(GS_Pleins!$G:$G,B11))</f>
        <v/>
      </c>
    </row>
    <row r="12" spans="2:9" ht="21.95" customHeight="1" x14ac:dyDescent="0.25">
      <c r="B12" s="89" t="str">
        <f>IF(Notes!$D$9="","",Notes!$D$9)</f>
        <v/>
      </c>
      <c r="C12" s="90" t="str">
        <f ca="1">IFERROR(AVERAGEIF(GS_Pleins!$G:$G,$B12,GS_Pleins[E85 station]),"")</f>
        <v/>
      </c>
      <c r="D12" s="90" t="str">
        <f ca="1">IFERROR(AVERAGEIF(GS_Pleins!$G:$G,$B12,GS_Pleins[SP98 station]),"")</f>
        <v/>
      </c>
      <c r="E12" s="90" t="str">
        <f ca="1">IFERROR(AVERAGEIF(GS_Pleins!$G:$G,$B12,GS_Pleins[SP95 station]),"")</f>
        <v/>
      </c>
      <c r="F12" s="90" t="str">
        <f ca="1">IFERROR(AVERAGEIF(GS_Pleins!$G:$G,$B12,GS_Pleins[E10 station]),"")</f>
        <v/>
      </c>
      <c r="G12" s="90" t="str">
        <f ca="1">IFERROR(AVERAGEIF(GS_Pleins!$G:$G,$B12,GS_Pleins[Gazole station]),"")</f>
        <v/>
      </c>
      <c r="H12" s="90" t="str">
        <f ca="1">IFERROR(AVERAGEIF(GS_Pleins!$G:$G,$B12,GS_Pleins[GPLc station]),"")</f>
        <v/>
      </c>
      <c r="I12" s="91" t="str">
        <f>IF(Notes!$D9="","",COUNTIF(GS_Pleins!$G:$G,B12))</f>
        <v/>
      </c>
    </row>
    <row r="13" spans="2:9" ht="21.95" customHeight="1" x14ac:dyDescent="0.25">
      <c r="B13" s="88" t="str">
        <f>IF(Notes!$D$10="","",Notes!$D$10)</f>
        <v/>
      </c>
      <c r="C13" s="90" t="str">
        <f ca="1">IFERROR(AVERAGEIF(GS_Pleins!$G:$G,$B13,GS_Pleins[E85 station]),"")</f>
        <v/>
      </c>
      <c r="D13" s="90" t="str">
        <f ca="1">IFERROR(AVERAGEIF(GS_Pleins!$G:$G,$B13,GS_Pleins[SP98 station]),"")</f>
        <v/>
      </c>
      <c r="E13" s="90" t="str">
        <f ca="1">IFERROR(AVERAGEIF(GS_Pleins!$G:$G,$B13,GS_Pleins[SP95 station]),"")</f>
        <v/>
      </c>
      <c r="F13" s="90" t="str">
        <f ca="1">IFERROR(AVERAGEIF(GS_Pleins!$G:$G,$B13,GS_Pleins[E10 station]),"")</f>
        <v/>
      </c>
      <c r="G13" s="90" t="str">
        <f ca="1">IFERROR(AVERAGEIF(GS_Pleins!$G:$G,$B13,GS_Pleins[Gazole station]),"")</f>
        <v/>
      </c>
      <c r="H13" s="90" t="str">
        <f ca="1">IFERROR(AVERAGEIF(GS_Pleins!$G:$G,$B13,GS_Pleins[GPLc station]),"")</f>
        <v/>
      </c>
      <c r="I13" s="91" t="str">
        <f>IF(Notes!$D10="","",COUNTIF(GS_Pleins!$G:$G,B13))</f>
        <v/>
      </c>
    </row>
    <row r="14" spans="2:9" ht="21.95" customHeight="1" x14ac:dyDescent="0.25">
      <c r="B14" s="89" t="str">
        <f>IF(Notes!$D$11="","",Notes!$D$11)</f>
        <v/>
      </c>
      <c r="C14" s="90" t="str">
        <f ca="1">IFERROR(AVERAGEIF(GS_Pleins!$G:$G,$B14,GS_Pleins[E85 station]),"")</f>
        <v/>
      </c>
      <c r="D14" s="90" t="str">
        <f ca="1">IFERROR(AVERAGEIF(GS_Pleins!$G:$G,$B14,GS_Pleins[SP98 station]),"")</f>
        <v/>
      </c>
      <c r="E14" s="90" t="str">
        <f ca="1">IFERROR(AVERAGEIF(GS_Pleins!$G:$G,$B14,GS_Pleins[SP95 station]),"")</f>
        <v/>
      </c>
      <c r="F14" s="90" t="str">
        <f ca="1">IFERROR(AVERAGEIF(GS_Pleins!$G:$G,$B14,GS_Pleins[E10 station]),"")</f>
        <v/>
      </c>
      <c r="G14" s="90" t="str">
        <f ca="1">IFERROR(AVERAGEIF(GS_Pleins!$G:$G,$B14,GS_Pleins[Gazole station]),"")</f>
        <v/>
      </c>
      <c r="H14" s="90" t="str">
        <f ca="1">IFERROR(AVERAGEIF(GS_Pleins!$G:$G,$B14,GS_Pleins[GPLc station]),"")</f>
        <v/>
      </c>
      <c r="I14" s="91" t="str">
        <f>IF(Notes!$D11="","",COUNTIF(GS_Pleins!$G:$G,B14))</f>
        <v/>
      </c>
    </row>
    <row r="15" spans="2:9" ht="21.95" customHeight="1" x14ac:dyDescent="0.25">
      <c r="B15" s="88" t="str">
        <f>IF(Notes!$D$12="","",Notes!$D$12)</f>
        <v/>
      </c>
      <c r="C15" s="90" t="str">
        <f ca="1">IFERROR(AVERAGEIF(GS_Pleins!$G:$G,$B15,GS_Pleins[E85 station]),"")</f>
        <v/>
      </c>
      <c r="D15" s="90" t="str">
        <f ca="1">IFERROR(AVERAGEIF(GS_Pleins!$G:$G,$B15,GS_Pleins[SP98 station]),"")</f>
        <v/>
      </c>
      <c r="E15" s="90" t="str">
        <f ca="1">IFERROR(AVERAGEIF(GS_Pleins!$G:$G,$B15,GS_Pleins[SP95 station]),"")</f>
        <v/>
      </c>
      <c r="F15" s="90" t="str">
        <f ca="1">IFERROR(AVERAGEIF(GS_Pleins!$G:$G,$B15,GS_Pleins[E10 station]),"")</f>
        <v/>
      </c>
      <c r="G15" s="90" t="str">
        <f ca="1">IFERROR(AVERAGEIF(GS_Pleins!$G:$G,$B15,GS_Pleins[Gazole station]),"")</f>
        <v/>
      </c>
      <c r="H15" s="90" t="str">
        <f ca="1">IFERROR(AVERAGEIF(GS_Pleins!$G:$G,$B15,GS_Pleins[GPLc station]),"")</f>
        <v/>
      </c>
      <c r="I15" s="91" t="str">
        <f>IF(Notes!$D12="","",COUNTIF(GS_Pleins!$G:$G,B15))</f>
        <v/>
      </c>
    </row>
    <row r="16" spans="2:9" ht="21.95" customHeight="1" x14ac:dyDescent="0.25">
      <c r="B16" s="89" t="str">
        <f>IF(Notes!$D$13="","",Notes!$D$13)</f>
        <v/>
      </c>
      <c r="C16" s="90" t="str">
        <f ca="1">IFERROR(AVERAGEIF(GS_Pleins!$G:$G,$B16,GS_Pleins[E85 station]),"")</f>
        <v/>
      </c>
      <c r="D16" s="90" t="str">
        <f ca="1">IFERROR(AVERAGEIF(GS_Pleins!$G:$G,$B16,GS_Pleins[SP98 station]),"")</f>
        <v/>
      </c>
      <c r="E16" s="90" t="str">
        <f ca="1">IFERROR(AVERAGEIF(GS_Pleins!$G:$G,$B16,GS_Pleins[SP95 station]),"")</f>
        <v/>
      </c>
      <c r="F16" s="90" t="str">
        <f ca="1">IFERROR(AVERAGEIF(GS_Pleins!$G:$G,$B16,GS_Pleins[E10 station]),"")</f>
        <v/>
      </c>
      <c r="G16" s="90" t="str">
        <f ca="1">IFERROR(AVERAGEIF(GS_Pleins!$G:$G,$B16,GS_Pleins[Gazole station]),"")</f>
        <v/>
      </c>
      <c r="H16" s="90" t="str">
        <f ca="1">IFERROR(AVERAGEIF(GS_Pleins!$G:$G,$B16,GS_Pleins[GPLc station]),"")</f>
        <v/>
      </c>
      <c r="I16" s="91" t="str">
        <f>IF(Notes!$D13="","",COUNTIF(GS_Pleins!$G:$G,B16))</f>
        <v/>
      </c>
    </row>
    <row r="17" spans="2:9" ht="26.1" customHeight="1" x14ac:dyDescent="0.25">
      <c r="B17" s="92" t="s">
        <v>291</v>
      </c>
      <c r="C17" s="93" t="str">
        <f>IFERROR(AVERAGEIF(#REF!,"&gt;"&amp;0),"")</f>
        <v/>
      </c>
      <c r="D17" s="93" t="str">
        <f>IFERROR(AVERAGEIF(#REF!,"&gt;"&amp;0),"")</f>
        <v/>
      </c>
      <c r="E17" s="93" t="str">
        <f>IFERROR(AVERAGEIF(#REF!,"&gt;"&amp;0),"")</f>
        <v/>
      </c>
      <c r="F17" s="93" t="str">
        <f>IFERROR(AVERAGEIF(#REF!,"&gt;"&amp;0),"")</f>
        <v/>
      </c>
      <c r="G17" s="93" t="str">
        <f>IFERROR(AVERAGEIF(#REF!,"&gt;"&amp;0),"")</f>
        <v/>
      </c>
      <c r="H17" s="93" t="str">
        <f>IFERROR(AVERAGEIF(#REF!,"&gt;"&amp;0),"")</f>
        <v/>
      </c>
      <c r="I17" s="94"/>
    </row>
    <row r="18" spans="2:9" ht="6.75" customHeight="1" x14ac:dyDescent="0.25"/>
    <row r="19" spans="2:9" ht="20.100000000000001" customHeight="1" x14ac:dyDescent="0.25">
      <c r="B19" s="109" t="s">
        <v>321</v>
      </c>
      <c r="C19" s="110"/>
      <c r="D19" s="110"/>
      <c r="E19" s="110"/>
      <c r="F19" s="110"/>
      <c r="G19" s="110"/>
    </row>
    <row r="20" spans="2:9" ht="18" customHeight="1" x14ac:dyDescent="0.25">
      <c r="B20" s="109"/>
      <c r="C20" s="110"/>
      <c r="D20" s="110"/>
      <c r="E20" s="110"/>
      <c r="F20" s="110"/>
      <c r="G20" s="110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B1:AJ54"/>
  <sheetViews>
    <sheetView showGridLines="0" showRowColHeaders="0" topLeftCell="A9" workbookViewId="0">
      <selection activeCell="AM30" sqref="AM30"/>
    </sheetView>
  </sheetViews>
  <sheetFormatPr baseColWidth="10" defaultRowHeight="15.75" outlineLevelCol="1" x14ac:dyDescent="0.25"/>
  <cols>
    <col min="1" max="1" width="2.5" customWidth="1"/>
    <col min="14" max="14" width="7.375" customWidth="1"/>
    <col min="15" max="15" width="11" style="82" hidden="1" customWidth="1" outlineLevel="1"/>
    <col min="16" max="16" width="17.125" style="82" hidden="1" customWidth="1" outlineLevel="1"/>
    <col min="17" max="17" width="10.375" style="82" hidden="1" customWidth="1" outlineLevel="1"/>
    <col min="18" max="18" width="1.625" hidden="1" customWidth="1" outlineLevel="1"/>
    <col min="19" max="19" width="11" style="82" hidden="1" customWidth="1" outlineLevel="1"/>
    <col min="20" max="20" width="21.625" style="82" hidden="1" customWidth="1" outlineLevel="1"/>
    <col min="21" max="21" width="18.75" style="82" hidden="1" customWidth="1" outlineLevel="1"/>
    <col min="22" max="22" width="1.5" hidden="1" customWidth="1" outlineLevel="1"/>
    <col min="23" max="23" width="7.625" style="82" hidden="1" customWidth="1" outlineLevel="1"/>
    <col min="24" max="25" width="15.5" style="82" hidden="1" customWidth="1" outlineLevel="1"/>
    <col min="26" max="26" width="1.5" hidden="1" customWidth="1" outlineLevel="1"/>
    <col min="27" max="27" width="7.625" style="82" hidden="1" customWidth="1" outlineLevel="1"/>
    <col min="28" max="28" width="13.25" style="82" hidden="1" customWidth="1" outlineLevel="1"/>
    <col min="29" max="29" width="19" style="82" hidden="1" customWidth="1" outlineLevel="1"/>
    <col min="30" max="30" width="1.5" hidden="1" customWidth="1" outlineLevel="1"/>
    <col min="31" max="31" width="10.875" style="82" hidden="1" customWidth="1" outlineLevel="1"/>
    <col min="32" max="32" width="19.875" style="82" hidden="1" customWidth="1" outlineLevel="1"/>
    <col min="33" max="33" width="13.125" style="82" hidden="1" customWidth="1" outlineLevel="1"/>
    <col min="34" max="34" width="16" style="82" hidden="1" customWidth="1" outlineLevel="1"/>
    <col min="35" max="35" width="15.125" style="82" hidden="1" customWidth="1" outlineLevel="1"/>
    <col min="36" max="36" width="11" collapsed="1"/>
  </cols>
  <sheetData>
    <row r="1" spans="2:35" ht="21" x14ac:dyDescent="0.35">
      <c r="B1" s="47" t="s">
        <v>146</v>
      </c>
      <c r="O1" s="95" t="s">
        <v>152</v>
      </c>
      <c r="P1" s="95" t="s">
        <v>153</v>
      </c>
      <c r="Q1" s="95" t="s">
        <v>154</v>
      </c>
      <c r="S1" s="95" t="s">
        <v>136</v>
      </c>
      <c r="T1" s="95" t="s">
        <v>155</v>
      </c>
      <c r="U1" s="95" t="s">
        <v>156</v>
      </c>
      <c r="W1" s="95" t="s">
        <v>136</v>
      </c>
      <c r="X1" s="95" t="s">
        <v>157</v>
      </c>
      <c r="Y1" s="95" t="s">
        <v>158</v>
      </c>
      <c r="AA1" s="95" t="s">
        <v>136</v>
      </c>
      <c r="AB1" s="95" t="s">
        <v>159</v>
      </c>
      <c r="AC1" s="95" t="s">
        <v>160</v>
      </c>
      <c r="AE1" s="95" t="s">
        <v>151</v>
      </c>
      <c r="AF1" s="95" t="s">
        <v>14</v>
      </c>
      <c r="AG1" s="95" t="s">
        <v>137</v>
      </c>
      <c r="AH1" s="82" t="s">
        <v>292</v>
      </c>
      <c r="AI1" s="82" t="s">
        <v>293</v>
      </c>
    </row>
    <row r="2" spans="2:35" x14ac:dyDescent="0.25">
      <c r="O2" s="82">
        <f>IF(COUNTIFS('Suivi Carburant'!$C$16:$C$46,"SuperEthanol E85",'Suivi Carburant'!$N$16:$N$46,"&gt;=0")&gt;=ROW(O1)-1,ROW(O1)-1,NA())</f>
        <v>0</v>
      </c>
      <c r="P2" s="82">
        <v>0</v>
      </c>
      <c r="Q2" s="82">
        <f>'Suivi Carburant'!$B$5</f>
        <v>514.54</v>
      </c>
      <c r="S2" s="82">
        <f>IF(ISNUMBER('Suivi Carburant'!A16),'Suivi Carburant'!A16,NA())</f>
        <v>1</v>
      </c>
      <c r="T2" s="82" t="e">
        <f>IF(OR('Suivi Carburant'!C16&lt;&gt;"Super 98",'Suivi Carburant'!J16=""),NA(),'Suivi Carburant'!J16)</f>
        <v>#N/A</v>
      </c>
      <c r="U2" s="82" t="e">
        <f>IF(OR('Suivi Carburant'!C16&lt;&gt;"SuperEthanol E85",'Suivi Carburant'!J16=""),NA(),'Suivi Carburant'!J16)</f>
        <v>#N/A</v>
      </c>
      <c r="W2" s="82">
        <f>IF(ISNUMBER('Suivi Carburant'!A16),'Suivi Carburant'!A16,NA())</f>
        <v>1</v>
      </c>
      <c r="X2" s="82" t="e">
        <f>IF(OR('Suivi Carburant'!C16&lt;&gt;"Super 98",'Suivi Carburant'!H16=""),NA(),'Suivi Carburant'!H16)</f>
        <v>#N/A</v>
      </c>
      <c r="Y2" s="82" t="e">
        <f>IF(OR('Suivi Carburant'!C16&lt;&gt;"SuperEthanol E85",'Suivi Carburant'!H16=""),NA(),'Suivi Carburant'!H16)</f>
        <v>#N/A</v>
      </c>
      <c r="AA2" s="82">
        <f>IF(ISNUMBER('Suivi Carburant'!A16),'Suivi Carburant'!A16,NA())</f>
        <v>1</v>
      </c>
      <c r="AB2" s="82">
        <f>IF(OR('Suivi Carburant'!G16="",NOT(ISNUMBER('Suivi Carburant'!G16))),NA(),'Suivi Carburant'!G16)</f>
        <v>1.9730000000000001</v>
      </c>
      <c r="AC2" s="82">
        <f>IF(OR('Suivi Carburant'!K16="",NOT(ISNUMBER('Suivi Carburant'!K16))),NA(),'Suivi Carburant'!K16)</f>
        <v>1.9730000000000001</v>
      </c>
      <c r="AE2" s="82">
        <v>0</v>
      </c>
      <c r="AF2" s="82">
        <v>0</v>
      </c>
      <c r="AG2" s="82">
        <f>'Suivi Carburant'!$B$5</f>
        <v>514.54</v>
      </c>
      <c r="AH2" s="82" cm="1">
        <f t="array" ref="AH2">IFERROR(LOOKUP(2,1/(AF2:AF32&lt;&gt;""),AE2:AE32),NA())</f>
        <v>7</v>
      </c>
      <c r="AI2" s="82">
        <f>IFERROR(LOOKUP(2,1/(AF2:AF32&lt;&gt;""),AF2:AF32),NA())</f>
        <v>92.366928052204941</v>
      </c>
    </row>
    <row r="3" spans="2:35" x14ac:dyDescent="0.25">
      <c r="O3" s="82">
        <f>IF(COUNTIFS('Suivi Carburant'!$C$16:$C$46,"SuperEthanol E85",'Suivi Carburant'!$N$16:$N$46,"&gt;=0")&gt;=ROW(O2)-1,ROW(O2)-1,NA())</f>
        <v>1</v>
      </c>
      <c r="P3" s="82" cm="1">
        <f t="array" ref="P3">IFERROR(INDEX('Suivi Carburant'!$N$16:$N$46,SMALL(IF(('Suivi Carburant'!$C$16:$C$46="SuperEthanol E85")*ISNUMBER('Suivi Carburant'!$N$16:$N$46),ROW('Suivi Carburant'!$C$16:$C$46)-ROW('Suivi Carburant'!$C$16)+1),1)),NA())</f>
        <v>10.437134223580056</v>
      </c>
      <c r="Q3" s="82">
        <f>IF(ISNA(O3),NA(),'Suivi Carburant'!$B$5)</f>
        <v>514.54</v>
      </c>
      <c r="S3" s="82">
        <f>IF(ISNUMBER('Suivi Carburant'!A17),'Suivi Carburant'!A17,NA())</f>
        <v>2</v>
      </c>
      <c r="T3" s="82">
        <f>IF(OR('Suivi Carburant'!C17&lt;&gt;"Super 98",'Suivi Carburant'!J17=""),NA(),'Suivi Carburant'!J17)</f>
        <v>5.3971631205673765</v>
      </c>
      <c r="U3" s="82" t="e">
        <f>IF(OR('Suivi Carburant'!C17&lt;&gt;"SuperEthanol E85",'Suivi Carburant'!J17=""),NA(),'Suivi Carburant'!J17)</f>
        <v>#N/A</v>
      </c>
      <c r="W3" s="82">
        <f>IF(ISNUMBER('Suivi Carburant'!A17),'Suivi Carburant'!A17,NA())</f>
        <v>2</v>
      </c>
      <c r="X3" s="82">
        <f>IF(OR('Suivi Carburant'!C17&lt;&gt;"Super 98",'Suivi Carburant'!H17=""),NA(),'Suivi Carburant'!H17)</f>
        <v>5.3971631205673765</v>
      </c>
      <c r="Y3" s="82" t="e">
        <f>IF(OR('Suivi Carburant'!C17&lt;&gt;"SuperEthanol E85",'Suivi Carburant'!H17=""),NA(),'Suivi Carburant'!H17)</f>
        <v>#N/A</v>
      </c>
      <c r="AA3" s="82">
        <f>IF(ISNUMBER('Suivi Carburant'!A17),'Suivi Carburant'!A17,NA())</f>
        <v>2</v>
      </c>
      <c r="AB3" s="82">
        <f>IF(OR('Suivi Carburant'!G17="",NOT(ISNUMBER('Suivi Carburant'!G17))),NA(),'Suivi Carburant'!G17)</f>
        <v>1.9259999999999999</v>
      </c>
      <c r="AC3" s="82">
        <f>IF(OR('Suivi Carburant'!K17="",NOT(ISNUMBER('Suivi Carburant'!K17))),NA(),'Suivi Carburant'!K17)</f>
        <v>1.9259999999999999</v>
      </c>
      <c r="AE3" s="82">
        <v>1</v>
      </c>
      <c r="AF3" s="82">
        <f>IFERROR(VLOOKUP(AE3,$O$2:$P$32,2,FALSE),NA())</f>
        <v>10.437134223580056</v>
      </c>
      <c r="AG3" s="82">
        <f>'Suivi Carburant'!$B$5</f>
        <v>514.54</v>
      </c>
      <c r="AH3" s="82">
        <f>IF(ISNUMBER(AH2),AH2+CEILING('Suivi Carburant'!B11*AH2/MAX('Suivi Carburant'!B10,0.001),0.5),NA())</f>
        <v>39</v>
      </c>
      <c r="AI3" s="82">
        <f>IF(ISNUMBER(AH3),'Suivi Carburant'!B5,NA())</f>
        <v>514.54</v>
      </c>
    </row>
    <row r="4" spans="2:35" x14ac:dyDescent="0.25">
      <c r="O4" s="82">
        <f>IF(COUNTIFS('Suivi Carburant'!$C$16:$C$46,"SuperEthanol E85",'Suivi Carburant'!$N$16:$N$46,"&gt;=0")&gt;=ROW(O3)-1,ROW(O3)-1,NA())</f>
        <v>2</v>
      </c>
      <c r="P4" s="82" cm="1">
        <f t="array" ref="P4">IFERROR(INDEX('Suivi Carburant'!$N$16:$N$46,SMALL(IF(('Suivi Carburant'!$C$16:$C$46="SuperEthanol E85")*ISNUMBER('Suivi Carburant'!$N$16:$N$46),ROW('Suivi Carburant'!$C$16:$C$46)-ROW('Suivi Carburant'!$C$16)+1),2)),NA())</f>
        <v>22.002634923016021</v>
      </c>
      <c r="Q4" s="82">
        <f>IF(ISNA(O4),NA(),'Suivi Carburant'!$B$5)</f>
        <v>514.54</v>
      </c>
      <c r="S4" s="82">
        <f>IF(ISNUMBER('Suivi Carburant'!A18),'Suivi Carburant'!A18,NA())</f>
        <v>3</v>
      </c>
      <c r="T4" s="82">
        <f>IF(OR('Suivi Carburant'!C18&lt;&gt;"Super 98",'Suivi Carburant'!J18=""),NA(),'Suivi Carburant'!J18)</f>
        <v>5.3921568627450984</v>
      </c>
      <c r="U4" s="82" t="e">
        <f>IF(OR('Suivi Carburant'!C18&lt;&gt;"SuperEthanol E85",'Suivi Carburant'!J18=""),NA(),'Suivi Carburant'!J18)</f>
        <v>#N/A</v>
      </c>
      <c r="W4" s="82">
        <f>IF(ISNUMBER('Suivi Carburant'!A18),'Suivi Carburant'!A18,NA())</f>
        <v>3</v>
      </c>
      <c r="X4" s="82">
        <f>IF(OR('Suivi Carburant'!C18&lt;&gt;"Super 98",'Suivi Carburant'!H18=""),NA(),'Suivi Carburant'!H18)</f>
        <v>5.3921568627450984</v>
      </c>
      <c r="Y4" s="82" t="e">
        <f>IF(OR('Suivi Carburant'!C18&lt;&gt;"SuperEthanol E85",'Suivi Carburant'!H18=""),NA(),'Suivi Carburant'!H18)</f>
        <v>#N/A</v>
      </c>
      <c r="AA4" s="82">
        <f>IF(ISNUMBER('Suivi Carburant'!A18),'Suivi Carburant'!A18,NA())</f>
        <v>3</v>
      </c>
      <c r="AB4" s="82">
        <f>IF(OR('Suivi Carburant'!G18="",NOT(ISNUMBER('Suivi Carburant'!G18))),NA(),'Suivi Carburant'!G18)</f>
        <v>2.0310000000000001</v>
      </c>
      <c r="AC4" s="82">
        <f>IF(OR('Suivi Carburant'!K18="",NOT(ISNUMBER('Suivi Carburant'!K18))),NA(),'Suivi Carburant'!K18)</f>
        <v>2.0310000000000001</v>
      </c>
      <c r="AE4" s="82">
        <v>2</v>
      </c>
      <c r="AF4" s="82">
        <f t="shared" ref="AF4:AF32" si="0">IFERROR(VLOOKUP(AE4,$O$2:$P$32,2,FALSE),NA())</f>
        <v>22.002634923016021</v>
      </c>
      <c r="AG4" s="82">
        <f>'Suivi Carburant'!$B$5</f>
        <v>514.54</v>
      </c>
    </row>
    <row r="5" spans="2:35" x14ac:dyDescent="0.25">
      <c r="O5" s="82">
        <f>IF(COUNTIFS('Suivi Carburant'!$C$16:$C$46,"SuperEthanol E85",'Suivi Carburant'!$N$16:$N$46,"&gt;=0")&gt;=ROW(O4)-1,ROW(O4)-1,NA())</f>
        <v>3</v>
      </c>
      <c r="P5" s="82" cm="1">
        <f t="array" ref="P5">IFERROR(INDEX('Suivi Carburant'!$N$16:$N$46,SMALL(IF(('Suivi Carburant'!$C$16:$C$46="SuperEthanol E85")*ISNUMBER('Suivi Carburant'!$N$16:$N$46),ROW('Suivi Carburant'!$C$16:$C$46)-ROW('Suivi Carburant'!$C$16)+1),3)),NA())</f>
        <v>36.941282462502059</v>
      </c>
      <c r="Q5" s="82">
        <f>IF(ISNA(O5),NA(),'Suivi Carburant'!$B$5)</f>
        <v>514.54</v>
      </c>
      <c r="S5" s="82">
        <f>IF(ISNUMBER('Suivi Carburant'!A19),'Suivi Carburant'!A19,NA())</f>
        <v>4</v>
      </c>
      <c r="T5" s="82" t="e">
        <f>IF(OR('Suivi Carburant'!C19&lt;&gt;"Super 98",'Suivi Carburant'!J19=""),NA(),'Suivi Carburant'!J19)</f>
        <v>#N/A</v>
      </c>
      <c r="U5" s="82">
        <f>IF(OR('Suivi Carburant'!C19&lt;&gt;"SuperEthanol E85",'Suivi Carburant'!J19=""),NA(),'Suivi Carburant'!J19)</f>
        <v>5.6225490196078436</v>
      </c>
      <c r="W5" s="82">
        <f>IF(ISNUMBER('Suivi Carburant'!A19),'Suivi Carburant'!A19,NA())</f>
        <v>4</v>
      </c>
      <c r="X5" s="82" t="e">
        <f>IF(OR('Suivi Carburant'!C19&lt;&gt;"Super 98",'Suivi Carburant'!H19=""),NA(),'Suivi Carburant'!H19)</f>
        <v>#N/A</v>
      </c>
      <c r="Y5" s="82">
        <f>IF(OR('Suivi Carburant'!C19&lt;&gt;"SuperEthanol E85",'Suivi Carburant'!H19=""),NA(),'Suivi Carburant'!H19)</f>
        <v>5.6225490196078436</v>
      </c>
      <c r="AA5" s="82">
        <f>IF(ISNUMBER('Suivi Carburant'!A19),'Suivi Carburant'!A19,NA())</f>
        <v>4</v>
      </c>
      <c r="AB5" s="82">
        <f>IF(OR('Suivi Carburant'!G19="",NOT(ISNUMBER('Suivi Carburant'!G19))),NA(),'Suivi Carburant'!G19)</f>
        <v>0.80900000000000005</v>
      </c>
      <c r="AC5" s="82">
        <f>IF(OR('Suivi Carburant'!K19="",NOT(ISNUMBER('Suivi Carburant'!K19))),NA(),'Suivi Carburant'!K19)</f>
        <v>2.0790000000000002</v>
      </c>
      <c r="AE5" s="82">
        <v>3</v>
      </c>
      <c r="AF5" s="82">
        <f t="shared" si="0"/>
        <v>36.941282462502059</v>
      </c>
      <c r="AG5" s="82">
        <f>'Suivi Carburant'!$B$5</f>
        <v>514.54</v>
      </c>
    </row>
    <row r="6" spans="2:35" x14ac:dyDescent="0.25">
      <c r="O6" s="82">
        <f>IF(COUNTIFS('Suivi Carburant'!$C$16:$C$46,"SuperEthanol E85",'Suivi Carburant'!$N$16:$N$46,"&gt;=0")&gt;=ROW(O5)-1,ROW(O5)-1,NA())</f>
        <v>4</v>
      </c>
      <c r="P6" s="82" cm="1">
        <f t="array" ref="P6">IFERROR(INDEX('Suivi Carburant'!$N$16:$N$46,SMALL(IF(('Suivi Carburant'!$C$16:$C$46="SuperEthanol E85")*ISNUMBER('Suivi Carburant'!$N$16:$N$46),ROW('Suivi Carburant'!$C$16:$C$46)-ROW('Suivi Carburant'!$C$16)+1),4)),NA())</f>
        <v>49.447967912413603</v>
      </c>
      <c r="Q6" s="82">
        <f>IF(ISNA(O6),NA(),'Suivi Carburant'!$B$5)</f>
        <v>514.54</v>
      </c>
      <c r="S6" s="82">
        <f>IF(ISNUMBER('Suivi Carburant'!A20),'Suivi Carburant'!A20,NA())</f>
        <v>5</v>
      </c>
      <c r="T6" s="82" t="e">
        <f>IF(OR('Suivi Carburant'!C20&lt;&gt;"Super 98",'Suivi Carburant'!J20=""),NA(),'Suivi Carburant'!J20)</f>
        <v>#N/A</v>
      </c>
      <c r="U6" s="82">
        <f>IF(OR('Suivi Carburant'!C20&lt;&gt;"SuperEthanol E85",'Suivi Carburant'!J20=""),NA(),'Suivi Carburant'!J20)</f>
        <v>5.9744897959183678</v>
      </c>
      <c r="W6" s="82">
        <f>IF(ISNUMBER('Suivi Carburant'!A20),'Suivi Carburant'!A20,NA())</f>
        <v>5</v>
      </c>
      <c r="X6" s="82" t="e">
        <f>IF(OR('Suivi Carburant'!C20&lt;&gt;"Super 98",'Suivi Carburant'!H20=""),NA(),'Suivi Carburant'!H20)</f>
        <v>#N/A</v>
      </c>
      <c r="Y6" s="82">
        <f>IF(OR('Suivi Carburant'!C20&lt;&gt;"SuperEthanol E85",'Suivi Carburant'!H20=""),NA(),'Suivi Carburant'!H20)</f>
        <v>5.9744897959183678</v>
      </c>
      <c r="AA6" s="82">
        <f>IF(ISNUMBER('Suivi Carburant'!A20),'Suivi Carburant'!A20,NA())</f>
        <v>5</v>
      </c>
      <c r="AB6" s="82">
        <f>IF(OR('Suivi Carburant'!G20="",NOT(ISNUMBER('Suivi Carburant'!G20))),NA(),'Suivi Carburant'!G20)</f>
        <v>0.747</v>
      </c>
      <c r="AC6" s="82">
        <f>IF(OR('Suivi Carburant'!K20="",NOT(ISNUMBER('Suivi Carburant'!K20))),NA(),'Suivi Carburant'!K20)</f>
        <v>2.0979999999999999</v>
      </c>
      <c r="AE6" s="82">
        <v>4</v>
      </c>
      <c r="AF6" s="82">
        <f t="shared" si="0"/>
        <v>49.447967912413603</v>
      </c>
      <c r="AG6" s="82">
        <f>'Suivi Carburant'!$B$5</f>
        <v>514.54</v>
      </c>
    </row>
    <row r="7" spans="2:35" x14ac:dyDescent="0.25">
      <c r="O7" s="82">
        <f>IF(COUNTIFS('Suivi Carburant'!$C$16:$C$46,"SuperEthanol E85",'Suivi Carburant'!$N$16:$N$46,"&gt;=0")&gt;=ROW(O6)-1,ROW(O6)-1,NA())</f>
        <v>5</v>
      </c>
      <c r="P7" s="82" cm="1">
        <f t="array" ref="P7">IFERROR(INDEX('Suivi Carburant'!$N$16:$N$46,SMALL(IF(('Suivi Carburant'!$C$16:$C$46="SuperEthanol E85")*ISNUMBER('Suivi Carburant'!$N$16:$N$46),ROW('Suivi Carburant'!$C$16:$C$46)-ROW('Suivi Carburant'!$C$16)+1),5)),NA())</f>
        <v>63.020920915664483</v>
      </c>
      <c r="Q7" s="82">
        <f>IF(ISNA(O7),NA(),'Suivi Carburant'!$B$5)</f>
        <v>514.54</v>
      </c>
      <c r="S7" s="82">
        <f>IF(ISNUMBER('Suivi Carburant'!A21),'Suivi Carburant'!A21,NA())</f>
        <v>6</v>
      </c>
      <c r="T7" s="82" t="e">
        <f>IF(OR('Suivi Carburant'!C21&lt;&gt;"Super 98",'Suivi Carburant'!J21=""),NA(),'Suivi Carburant'!J21)</f>
        <v>#N/A</v>
      </c>
      <c r="U7" s="82">
        <f>IF(OR('Suivi Carburant'!C21&lt;&gt;"SuperEthanol E85",'Suivi Carburant'!J21=""),NA(),'Suivi Carburant'!J21)</f>
        <v>6.7610619469026547</v>
      </c>
      <c r="W7" s="82">
        <f>IF(ISNUMBER('Suivi Carburant'!A21),'Suivi Carburant'!A21,NA())</f>
        <v>6</v>
      </c>
      <c r="X7" s="82" t="e">
        <f>IF(OR('Suivi Carburant'!C21&lt;&gt;"Super 98",'Suivi Carburant'!H21=""),NA(),'Suivi Carburant'!H21)</f>
        <v>#N/A</v>
      </c>
      <c r="Y7" s="82">
        <f>IF(OR('Suivi Carburant'!C21&lt;&gt;"SuperEthanol E85",'Suivi Carburant'!H21=""),NA(),'Suivi Carburant'!H21)</f>
        <v>6.7610619469026547</v>
      </c>
      <c r="AA7" s="82">
        <f>IF(ISNUMBER('Suivi Carburant'!A21),'Suivi Carburant'!A21,NA())</f>
        <v>6</v>
      </c>
      <c r="AB7" s="82">
        <f>IF(OR('Suivi Carburant'!G21="",NOT(ISNUMBER('Suivi Carburant'!G21))),NA(),'Suivi Carburant'!G21)</f>
        <v>0.75700000000000001</v>
      </c>
      <c r="AC7" s="82">
        <f>IF(OR('Suivi Carburant'!K21="",NOT(ISNUMBER('Suivi Carburant'!K21))),NA(),'Suivi Carburant'!K21)</f>
        <v>2.0979999999999999</v>
      </c>
      <c r="AE7" s="82">
        <v>5</v>
      </c>
      <c r="AF7" s="82">
        <f t="shared" si="0"/>
        <v>63.020920915664483</v>
      </c>
      <c r="AG7" s="82">
        <f>'Suivi Carburant'!$B$5</f>
        <v>514.54</v>
      </c>
    </row>
    <row r="8" spans="2:35" x14ac:dyDescent="0.25">
      <c r="O8" s="82">
        <f>IF(COUNTIFS('Suivi Carburant'!$C$16:$C$46,"SuperEthanol E85",'Suivi Carburant'!$N$16:$N$46,"&gt;=0")&gt;=ROW(O7)-1,ROW(O7)-1,NA())</f>
        <v>6</v>
      </c>
      <c r="P8" s="82" cm="1">
        <f t="array" ref="P8">IFERROR(INDEX('Suivi Carburant'!$N$16:$N$46,SMALL(IF(('Suivi Carburant'!$C$16:$C$46="SuperEthanol E85")*ISNUMBER('Suivi Carburant'!$N$16:$N$46),ROW('Suivi Carburant'!$C$16:$C$46)-ROW('Suivi Carburant'!$C$16)+1),6)),NA())</f>
        <v>76.890920667718092</v>
      </c>
      <c r="Q8" s="82">
        <f>IF(ISNA(O8),NA(),'Suivi Carburant'!$B$5)</f>
        <v>514.54</v>
      </c>
      <c r="S8" s="82">
        <f>IF(ISNUMBER('Suivi Carburant'!A22),'Suivi Carburant'!A22,NA())</f>
        <v>7</v>
      </c>
      <c r="T8" s="82" t="e">
        <f>IF(OR('Suivi Carburant'!C22&lt;&gt;"Super 98",'Suivi Carburant'!J22=""),NA(),'Suivi Carburant'!J22)</f>
        <v>#N/A</v>
      </c>
      <c r="U8" s="82">
        <f>IF(OR('Suivi Carburant'!C22&lt;&gt;"SuperEthanol E85",'Suivi Carburant'!J22=""),NA(),'Suivi Carburant'!J22)</f>
        <v>7.0404040404040398</v>
      </c>
      <c r="W8" s="82">
        <f>IF(ISNUMBER('Suivi Carburant'!A22),'Suivi Carburant'!A22,NA())</f>
        <v>7</v>
      </c>
      <c r="X8" s="82" t="e">
        <f>IF(OR('Suivi Carburant'!C22&lt;&gt;"Super 98",'Suivi Carburant'!H22=""),NA(),'Suivi Carburant'!H22)</f>
        <v>#N/A</v>
      </c>
      <c r="Y8" s="82">
        <f>IF(OR('Suivi Carburant'!C22&lt;&gt;"SuperEthanol E85",'Suivi Carburant'!H22=""),NA(),'Suivi Carburant'!H22)</f>
        <v>7.0404040404040398</v>
      </c>
      <c r="AA8" s="82">
        <f>IF(ISNUMBER('Suivi Carburant'!A22),'Suivi Carburant'!A22,NA())</f>
        <v>7</v>
      </c>
      <c r="AB8" s="82">
        <f>IF(OR('Suivi Carburant'!G22="",NOT(ISNUMBER('Suivi Carburant'!G22))),NA(),'Suivi Carburant'!G22)</f>
        <v>0.83499999999999996</v>
      </c>
      <c r="AC8" s="82">
        <f>IF(OR('Suivi Carburant'!K22="",NOT(ISNUMBER('Suivi Carburant'!K22))),NA(),'Suivi Carburant'!K22)</f>
        <v>2.0950000000000002</v>
      </c>
      <c r="AE8" s="82">
        <v>6</v>
      </c>
      <c r="AF8" s="82">
        <f t="shared" si="0"/>
        <v>76.890920667718092</v>
      </c>
      <c r="AG8" s="82">
        <f>'Suivi Carburant'!$B$5</f>
        <v>514.54</v>
      </c>
    </row>
    <row r="9" spans="2:35" x14ac:dyDescent="0.25">
      <c r="O9" s="82">
        <f>IF(COUNTIFS('Suivi Carburant'!$C$16:$C$46,"SuperEthanol E85",'Suivi Carburant'!$N$16:$N$46,"&gt;=0")&gt;=ROW(O8)-1,ROW(O8)-1,NA())</f>
        <v>7</v>
      </c>
      <c r="P9" s="82" cm="1">
        <f t="array" ref="P9">IFERROR(INDEX('Suivi Carburant'!$N$16:$N$46,SMALL(IF(('Suivi Carburant'!$C$16:$C$46="SuperEthanol E85")*ISNUMBER('Suivi Carburant'!$N$16:$N$46),ROW('Suivi Carburant'!$C$16:$C$46)-ROW('Suivi Carburant'!$C$16)+1),7)),NA())</f>
        <v>92.366928052204941</v>
      </c>
      <c r="Q9" s="82">
        <f>IF(ISNA(O9),NA(),'Suivi Carburant'!$B$5)</f>
        <v>514.54</v>
      </c>
      <c r="S9" s="82">
        <f>IF(ISNUMBER('Suivi Carburant'!A23),'Suivi Carburant'!A23,NA())</f>
        <v>8</v>
      </c>
      <c r="T9" s="82" t="e">
        <f>IF(OR('Suivi Carburant'!C23&lt;&gt;"Super 98",'Suivi Carburant'!J23=""),NA(),'Suivi Carburant'!J23)</f>
        <v>#N/A</v>
      </c>
      <c r="U9" s="82">
        <f>IF(OR('Suivi Carburant'!C23&lt;&gt;"SuperEthanol E85",'Suivi Carburant'!J23=""),NA(),'Suivi Carburant'!J23)</f>
        <v>6.5862068965517233</v>
      </c>
      <c r="W9" s="82">
        <f>IF(ISNUMBER('Suivi Carburant'!A23),'Suivi Carburant'!A23,NA())</f>
        <v>8</v>
      </c>
      <c r="X9" s="82" t="e">
        <f>IF(OR('Suivi Carburant'!C23&lt;&gt;"Super 98",'Suivi Carburant'!H23=""),NA(),'Suivi Carburant'!H23)</f>
        <v>#N/A</v>
      </c>
      <c r="Y9" s="82">
        <f>IF(OR('Suivi Carburant'!C23&lt;&gt;"SuperEthanol E85",'Suivi Carburant'!H23=""),NA(),'Suivi Carburant'!H23)</f>
        <v>6.5862068965517233</v>
      </c>
      <c r="AA9" s="82">
        <f>IF(ISNUMBER('Suivi Carburant'!A23),'Suivi Carburant'!A23,NA())</f>
        <v>8</v>
      </c>
      <c r="AB9" s="82">
        <f>IF(OR('Suivi Carburant'!G23="",NOT(ISNUMBER('Suivi Carburant'!G23))),NA(),'Suivi Carburant'!G23)</f>
        <v>0.71699999999999997</v>
      </c>
      <c r="AC9" s="82">
        <f>IF(OR('Suivi Carburant'!K23="",NOT(ISNUMBER('Suivi Carburant'!K23))),NA(),'Suivi Carburant'!K23)</f>
        <v>2.0950000000000002</v>
      </c>
      <c r="AE9" s="82">
        <v>7</v>
      </c>
      <c r="AF9" s="82">
        <f t="shared" si="0"/>
        <v>92.366928052204941</v>
      </c>
      <c r="AG9" s="82">
        <f>'Suivi Carburant'!$B$5</f>
        <v>514.54</v>
      </c>
    </row>
    <row r="10" spans="2:35" x14ac:dyDescent="0.25">
      <c r="O10" s="82" t="e">
        <f>IF(COUNTIFS('Suivi Carburant'!$C$16:$C$46,"SuperEthanol E85",'Suivi Carburant'!$N$16:$N$46,"&gt;=0")&gt;=ROW(O9)-1,ROW(O9)-1,NA())</f>
        <v>#N/A</v>
      </c>
      <c r="P10" s="82" t="e" cm="1">
        <f t="array" ref="P10">IFERROR(INDEX('Suivi Carburant'!$N$16:$N$46,SMALL(IF(('Suivi Carburant'!$C$16:$C$46="SuperEthanol E85")*ISNUMBER('Suivi Carburant'!$N$16:$N$46),ROW('Suivi Carburant'!$C$16:$C$46)-ROW('Suivi Carburant'!$C$16)+1),8)),NA())</f>
        <v>#N/A</v>
      </c>
      <c r="Q10" s="82" t="e">
        <f>IF(ISNA(O10),NA(),'Suivi Carburant'!$B$5)</f>
        <v>#N/A</v>
      </c>
      <c r="S10" s="82">
        <f>IF(ISNUMBER('Suivi Carburant'!A24),'Suivi Carburant'!A24,NA())</f>
        <v>9</v>
      </c>
      <c r="T10" s="82" t="e">
        <f>IF(OR('Suivi Carburant'!C24&lt;&gt;"Super 98",'Suivi Carburant'!J24=""),NA(),'Suivi Carburant'!J24)</f>
        <v>#N/A</v>
      </c>
      <c r="U10" s="82">
        <f>IF(OR('Suivi Carburant'!C24&lt;&gt;"SuperEthanol E85",'Suivi Carburant'!J24=""),NA(),'Suivi Carburant'!J24)</f>
        <v>6.7727272727272734</v>
      </c>
      <c r="W10" s="82">
        <f>IF(ISNUMBER('Suivi Carburant'!A24),'Suivi Carburant'!A24,NA())</f>
        <v>9</v>
      </c>
      <c r="X10" s="82" t="e">
        <f>IF(OR('Suivi Carburant'!C24&lt;&gt;"Super 98",'Suivi Carburant'!H24=""),NA(),'Suivi Carburant'!H24)</f>
        <v>#N/A</v>
      </c>
      <c r="Y10" s="82">
        <f>IF(OR('Suivi Carburant'!C24&lt;&gt;"SuperEthanol E85",'Suivi Carburant'!H24=""),NA(),'Suivi Carburant'!H24)</f>
        <v>6.7727272727272734</v>
      </c>
      <c r="AA10" s="82">
        <f>IF(ISNUMBER('Suivi Carburant'!A24),'Suivi Carburant'!A24,NA())</f>
        <v>9</v>
      </c>
      <c r="AB10" s="82">
        <f>IF(OR('Suivi Carburant'!G24="",NOT(ISNUMBER('Suivi Carburant'!G24))),NA(),'Suivi Carburant'!G24)</f>
        <v>0.79800000000000004</v>
      </c>
      <c r="AC10" s="82">
        <f>IF(OR('Suivi Carburant'!K24="",NOT(ISNUMBER('Suivi Carburant'!K24))),NA(),'Suivi Carburant'!K24)</f>
        <v>2.0910000000000002</v>
      </c>
      <c r="AE10" s="82">
        <v>8</v>
      </c>
      <c r="AF10" s="82" t="e">
        <f t="shared" si="0"/>
        <v>#N/A</v>
      </c>
      <c r="AG10" s="82">
        <f>'Suivi Carburant'!$B$5</f>
        <v>514.54</v>
      </c>
    </row>
    <row r="11" spans="2:35" x14ac:dyDescent="0.25">
      <c r="O11" s="82" t="e">
        <f>IF(COUNTIFS('Suivi Carburant'!$C$16:$C$46,"SuperEthanol E85",'Suivi Carburant'!$N$16:$N$46,"&gt;=0")&gt;=ROW(O10)-1,ROW(O10)-1,NA())</f>
        <v>#N/A</v>
      </c>
      <c r="P11" s="82" t="e" cm="1">
        <f t="array" ref="P11">IFERROR(INDEX('Suivi Carburant'!$N$16:$N$46,SMALL(IF(('Suivi Carburant'!$C$16:$C$46="SuperEthanol E85")*ISNUMBER('Suivi Carburant'!$N$16:$N$46),ROW('Suivi Carburant'!$C$16:$C$46)-ROW('Suivi Carburant'!$C$16)+1),9)),NA())</f>
        <v>#N/A</v>
      </c>
      <c r="Q11" s="82" t="e">
        <f>IF(ISNA(O11),NA(),'Suivi Carburant'!$B$5)</f>
        <v>#N/A</v>
      </c>
      <c r="S11" s="82" t="e">
        <f>IF(ISNUMBER('Suivi Carburant'!A26),'Suivi Carburant'!A26,NA())</f>
        <v>#N/A</v>
      </c>
      <c r="T11" s="82" t="e">
        <f>IF(OR('Suivi Carburant'!C26&lt;&gt;"Super 98",'Suivi Carburant'!J26=""),NA(),'Suivi Carburant'!J26)</f>
        <v>#N/A</v>
      </c>
      <c r="U11" s="82" t="e">
        <f>IF(OR('Suivi Carburant'!C26&lt;&gt;"SuperEthanol E85",'Suivi Carburant'!J26=""),NA(),'Suivi Carburant'!J26)</f>
        <v>#N/A</v>
      </c>
      <c r="W11" s="82" t="e">
        <f>IF(ISNUMBER('Suivi Carburant'!A26),'Suivi Carburant'!A26,NA())</f>
        <v>#N/A</v>
      </c>
      <c r="X11" s="82" t="e">
        <f>IF(OR('Suivi Carburant'!C26&lt;&gt;"Super 98",'Suivi Carburant'!H26=""),NA(),'Suivi Carburant'!H26)</f>
        <v>#N/A</v>
      </c>
      <c r="Y11" s="82" t="e">
        <f>IF(OR('Suivi Carburant'!C26&lt;&gt;"SuperEthanol E85",'Suivi Carburant'!H26=""),NA(),'Suivi Carburant'!H26)</f>
        <v>#N/A</v>
      </c>
      <c r="AA11" s="82" t="e">
        <f>IF(ISNUMBER('Suivi Carburant'!A26),'Suivi Carburant'!A26,NA())</f>
        <v>#N/A</v>
      </c>
      <c r="AB11" s="82" t="e">
        <f>IF(OR('Suivi Carburant'!G26="",NOT(ISNUMBER('Suivi Carburant'!G26))),NA(),'Suivi Carburant'!G26)</f>
        <v>#N/A</v>
      </c>
      <c r="AC11" s="82" t="e">
        <f>IF(OR('Suivi Carburant'!K26="",NOT(ISNUMBER('Suivi Carburant'!K26))),NA(),'Suivi Carburant'!K26)</f>
        <v>#N/A</v>
      </c>
      <c r="AE11" s="82">
        <v>9</v>
      </c>
      <c r="AF11" s="82" t="e">
        <f t="shared" si="0"/>
        <v>#N/A</v>
      </c>
      <c r="AG11" s="82">
        <f>'Suivi Carburant'!$B$5</f>
        <v>514.54</v>
      </c>
    </row>
    <row r="12" spans="2:35" x14ac:dyDescent="0.25">
      <c r="O12" s="82" t="e">
        <f>IF(COUNTIFS('Suivi Carburant'!$C$16:$C$46,"SuperEthanol E85",'Suivi Carburant'!$N$16:$N$46,"&gt;=0")&gt;=ROW(O11)-1,ROW(O11)-1,NA())</f>
        <v>#N/A</v>
      </c>
      <c r="P12" s="82" t="e" cm="1">
        <f t="array" ref="P12">IFERROR(INDEX('Suivi Carburant'!$N$16:$N$46,SMALL(IF(('Suivi Carburant'!$C$16:$C$46="SuperEthanol E85")*ISNUMBER('Suivi Carburant'!$N$16:$N$46),ROW('Suivi Carburant'!$C$16:$C$46)-ROW('Suivi Carburant'!$C$16)+1),10)),NA())</f>
        <v>#N/A</v>
      </c>
      <c r="Q12" s="82" t="e">
        <f>IF(ISNA(O12),NA(),'Suivi Carburant'!$B$5)</f>
        <v>#N/A</v>
      </c>
      <c r="S12" s="82" t="e">
        <f>IF(ISNUMBER('Suivi Carburant'!A27),'Suivi Carburant'!A27,NA())</f>
        <v>#N/A</v>
      </c>
      <c r="T12" s="82" t="e">
        <f>IF(OR('Suivi Carburant'!C27&lt;&gt;"Super 98",'Suivi Carburant'!J27=""),NA(),'Suivi Carburant'!J27)</f>
        <v>#N/A</v>
      </c>
      <c r="U12" s="82" t="e">
        <f>IF(OR('Suivi Carburant'!C27&lt;&gt;"SuperEthanol E85",'Suivi Carburant'!J27=""),NA(),'Suivi Carburant'!J27)</f>
        <v>#N/A</v>
      </c>
      <c r="W12" s="82" t="e">
        <f>IF(ISNUMBER('Suivi Carburant'!A27),'Suivi Carburant'!A27,NA())</f>
        <v>#N/A</v>
      </c>
      <c r="X12" s="82" t="e">
        <f>IF(OR('Suivi Carburant'!C27&lt;&gt;"Super 98",'Suivi Carburant'!H27=""),NA(),'Suivi Carburant'!H27)</f>
        <v>#N/A</v>
      </c>
      <c r="Y12" s="82" t="e">
        <f>IF(OR('Suivi Carburant'!C27&lt;&gt;"SuperEthanol E85",'Suivi Carburant'!H27=""),NA(),'Suivi Carburant'!H27)</f>
        <v>#N/A</v>
      </c>
      <c r="AA12" s="82" t="e">
        <f>IF(ISNUMBER('Suivi Carburant'!A27),'Suivi Carburant'!A27,NA())</f>
        <v>#N/A</v>
      </c>
      <c r="AB12" s="82" t="e">
        <f>IF(OR('Suivi Carburant'!G27="",NOT(ISNUMBER('Suivi Carburant'!G27))),NA(),'Suivi Carburant'!G27)</f>
        <v>#N/A</v>
      </c>
      <c r="AC12" s="82" t="e">
        <f>IF(OR('Suivi Carburant'!K27="",NOT(ISNUMBER('Suivi Carburant'!K27))),NA(),'Suivi Carburant'!K27)</f>
        <v>#N/A</v>
      </c>
      <c r="AE12" s="82">
        <v>10</v>
      </c>
      <c r="AF12" s="82" t="e">
        <f t="shared" si="0"/>
        <v>#N/A</v>
      </c>
      <c r="AG12" s="82">
        <f>'Suivi Carburant'!$B$5</f>
        <v>514.54</v>
      </c>
    </row>
    <row r="13" spans="2:35" x14ac:dyDescent="0.25">
      <c r="O13" s="82" t="e">
        <f>IF(COUNTIFS('Suivi Carburant'!$C$16:$C$46,"SuperEthanol E85",'Suivi Carburant'!$N$16:$N$46,"&gt;=0")&gt;=ROW(O12)-1,ROW(O12)-1,NA())</f>
        <v>#N/A</v>
      </c>
      <c r="P13" s="82" t="e" cm="1">
        <f t="array" ref="P13">IFERROR(INDEX('Suivi Carburant'!$N$16:$N$46,SMALL(IF(('Suivi Carburant'!$C$16:$C$46="SuperEthanol E85")*ISNUMBER('Suivi Carburant'!$N$16:$N$46),ROW('Suivi Carburant'!$C$16:$C$46)-ROW('Suivi Carburant'!$C$16)+1),11)),NA())</f>
        <v>#N/A</v>
      </c>
      <c r="Q13" s="82" t="e">
        <f>IF(ISNA(O13),NA(),'Suivi Carburant'!$B$5)</f>
        <v>#N/A</v>
      </c>
      <c r="S13" s="82" t="e">
        <f>IF(ISNUMBER('Suivi Carburant'!A28),'Suivi Carburant'!A28,NA())</f>
        <v>#N/A</v>
      </c>
      <c r="T13" s="82" t="e">
        <f>IF(OR('Suivi Carburant'!C28&lt;&gt;"Super 98",'Suivi Carburant'!J28=""),NA(),'Suivi Carburant'!J28)</f>
        <v>#N/A</v>
      </c>
      <c r="U13" s="82" t="e">
        <f>IF(OR('Suivi Carburant'!C28&lt;&gt;"SuperEthanol E85",'Suivi Carburant'!J28=""),NA(),'Suivi Carburant'!J28)</f>
        <v>#N/A</v>
      </c>
      <c r="W13" s="82" t="e">
        <f>IF(ISNUMBER('Suivi Carburant'!A28),'Suivi Carburant'!A28,NA())</f>
        <v>#N/A</v>
      </c>
      <c r="X13" s="82" t="e">
        <f>IF(OR('Suivi Carburant'!C28&lt;&gt;"Super 98",'Suivi Carburant'!H28=""),NA(),'Suivi Carburant'!H28)</f>
        <v>#N/A</v>
      </c>
      <c r="Y13" s="82" t="e">
        <f>IF(OR('Suivi Carburant'!C28&lt;&gt;"SuperEthanol E85",'Suivi Carburant'!H28=""),NA(),'Suivi Carburant'!H28)</f>
        <v>#N/A</v>
      </c>
      <c r="AA13" s="82" t="e">
        <f>IF(ISNUMBER('Suivi Carburant'!A28),'Suivi Carburant'!A28,NA())</f>
        <v>#N/A</v>
      </c>
      <c r="AB13" s="82" t="e">
        <f>IF(OR('Suivi Carburant'!G28="",NOT(ISNUMBER('Suivi Carburant'!G28))),NA(),'Suivi Carburant'!G28)</f>
        <v>#N/A</v>
      </c>
      <c r="AC13" s="82" t="e">
        <f>IF(OR('Suivi Carburant'!K28="",NOT(ISNUMBER('Suivi Carburant'!K28))),NA(),'Suivi Carburant'!K28)</f>
        <v>#N/A</v>
      </c>
      <c r="AE13" s="82">
        <v>11</v>
      </c>
      <c r="AF13" s="82" t="e">
        <f t="shared" si="0"/>
        <v>#N/A</v>
      </c>
      <c r="AG13" s="82">
        <f>'Suivi Carburant'!$B$5</f>
        <v>514.54</v>
      </c>
    </row>
    <row r="14" spans="2:35" x14ac:dyDescent="0.25">
      <c r="O14" s="82" t="e">
        <f>IF(COUNTIFS('Suivi Carburant'!$C$16:$C$46,"SuperEthanol E85",'Suivi Carburant'!$N$16:$N$46,"&gt;=0")&gt;=ROW(O13)-1,ROW(O13)-1,NA())</f>
        <v>#N/A</v>
      </c>
      <c r="P14" s="82" t="e" cm="1">
        <f t="array" ref="P14">IFERROR(INDEX('Suivi Carburant'!$N$16:$N$46,SMALL(IF(('Suivi Carburant'!$C$16:$C$46="SuperEthanol E85")*ISNUMBER('Suivi Carburant'!$N$16:$N$46),ROW('Suivi Carburant'!$C$16:$C$46)-ROW('Suivi Carburant'!$C$16)+1),12)),NA())</f>
        <v>#N/A</v>
      </c>
      <c r="Q14" s="82" t="e">
        <f>IF(ISNA(O14),NA(),'Suivi Carburant'!$B$5)</f>
        <v>#N/A</v>
      </c>
      <c r="S14" s="82" t="e">
        <f>IF(ISNUMBER('Suivi Carburant'!A29),'Suivi Carburant'!A29,NA())</f>
        <v>#N/A</v>
      </c>
      <c r="T14" s="82" t="e">
        <f>IF(OR('Suivi Carburant'!C29&lt;&gt;"Super 98",'Suivi Carburant'!J29=""),NA(),'Suivi Carburant'!J29)</f>
        <v>#N/A</v>
      </c>
      <c r="U14" s="82" t="e">
        <f>IF(OR('Suivi Carburant'!C29&lt;&gt;"SuperEthanol E85",'Suivi Carburant'!J29=""),NA(),'Suivi Carburant'!J29)</f>
        <v>#N/A</v>
      </c>
      <c r="W14" s="82" t="e">
        <f>IF(ISNUMBER('Suivi Carburant'!A29),'Suivi Carburant'!A29,NA())</f>
        <v>#N/A</v>
      </c>
      <c r="X14" s="82" t="e">
        <f>IF(OR('Suivi Carburant'!C29&lt;&gt;"Super 98",'Suivi Carburant'!H29=""),NA(),'Suivi Carburant'!H29)</f>
        <v>#N/A</v>
      </c>
      <c r="Y14" s="82" t="e">
        <f>IF(OR('Suivi Carburant'!C29&lt;&gt;"SuperEthanol E85",'Suivi Carburant'!H29=""),NA(),'Suivi Carburant'!H29)</f>
        <v>#N/A</v>
      </c>
      <c r="AA14" s="82" t="e">
        <f>IF(ISNUMBER('Suivi Carburant'!A29),'Suivi Carburant'!A29,NA())</f>
        <v>#N/A</v>
      </c>
      <c r="AB14" s="82" t="e">
        <f>IF(OR('Suivi Carburant'!G29="",NOT(ISNUMBER('Suivi Carburant'!G29))),NA(),'Suivi Carburant'!G29)</f>
        <v>#N/A</v>
      </c>
      <c r="AC14" s="82" t="e">
        <f>IF(OR('Suivi Carburant'!K29="",NOT(ISNUMBER('Suivi Carburant'!K29))),NA(),'Suivi Carburant'!K29)</f>
        <v>#N/A</v>
      </c>
      <c r="AE14" s="82">
        <v>12</v>
      </c>
      <c r="AF14" s="82" t="e">
        <f t="shared" si="0"/>
        <v>#N/A</v>
      </c>
      <c r="AG14" s="82">
        <f>'Suivi Carburant'!$B$5</f>
        <v>514.54</v>
      </c>
    </row>
    <row r="15" spans="2:35" x14ac:dyDescent="0.25">
      <c r="O15" s="82" t="e">
        <f>IF(COUNTIFS('Suivi Carburant'!$C$16:$C$46,"SuperEthanol E85",'Suivi Carburant'!$N$16:$N$46,"&gt;=0")&gt;=ROW(O14)-1,ROW(O14)-1,NA())</f>
        <v>#N/A</v>
      </c>
      <c r="P15" s="82" t="e" cm="1">
        <f t="array" ref="P15">IFERROR(INDEX('Suivi Carburant'!$N$16:$N$46,SMALL(IF(('Suivi Carburant'!$C$16:$C$46="SuperEthanol E85")*ISNUMBER('Suivi Carburant'!$N$16:$N$46),ROW('Suivi Carburant'!$C$16:$C$46)-ROW('Suivi Carburant'!$C$16)+1),13)),NA())</f>
        <v>#N/A</v>
      </c>
      <c r="Q15" s="82" t="e">
        <f>IF(ISNA(O15),NA(),'Suivi Carburant'!$B$5)</f>
        <v>#N/A</v>
      </c>
      <c r="S15" s="82" t="e">
        <f>IF(ISNUMBER('Suivi Carburant'!A30),'Suivi Carburant'!A30,NA())</f>
        <v>#N/A</v>
      </c>
      <c r="T15" s="82" t="e">
        <f>IF(OR('Suivi Carburant'!C30&lt;&gt;"Super 98",'Suivi Carburant'!J30=""),NA(),'Suivi Carburant'!J30)</f>
        <v>#N/A</v>
      </c>
      <c r="U15" s="82" t="e">
        <f>IF(OR('Suivi Carburant'!C30&lt;&gt;"SuperEthanol E85",'Suivi Carburant'!J30=""),NA(),'Suivi Carburant'!J30)</f>
        <v>#N/A</v>
      </c>
      <c r="W15" s="82" t="e">
        <f>IF(ISNUMBER('Suivi Carburant'!A30),'Suivi Carburant'!A30,NA())</f>
        <v>#N/A</v>
      </c>
      <c r="X15" s="82" t="e">
        <f>IF(OR('Suivi Carburant'!C30&lt;&gt;"Super 98",'Suivi Carburant'!H30=""),NA(),'Suivi Carburant'!H30)</f>
        <v>#N/A</v>
      </c>
      <c r="Y15" s="82" t="e">
        <f>IF(OR('Suivi Carburant'!C30&lt;&gt;"SuperEthanol E85",'Suivi Carburant'!H30=""),NA(),'Suivi Carburant'!H30)</f>
        <v>#N/A</v>
      </c>
      <c r="AA15" s="82" t="e">
        <f>IF(ISNUMBER('Suivi Carburant'!A30),'Suivi Carburant'!A30,NA())</f>
        <v>#N/A</v>
      </c>
      <c r="AB15" s="82" t="e">
        <f>IF(OR('Suivi Carburant'!G30="",NOT(ISNUMBER('Suivi Carburant'!G30))),NA(),'Suivi Carburant'!G30)</f>
        <v>#N/A</v>
      </c>
      <c r="AC15" s="82" t="e">
        <f>IF(OR('Suivi Carburant'!K30="",NOT(ISNUMBER('Suivi Carburant'!K30))),NA(),'Suivi Carburant'!K30)</f>
        <v>#N/A</v>
      </c>
      <c r="AE15" s="82">
        <v>13</v>
      </c>
      <c r="AF15" s="82" t="e">
        <f t="shared" si="0"/>
        <v>#N/A</v>
      </c>
      <c r="AG15" s="82">
        <f>'Suivi Carburant'!$B$5</f>
        <v>514.54</v>
      </c>
    </row>
    <row r="16" spans="2:35" x14ac:dyDescent="0.25">
      <c r="O16" s="82" t="e">
        <f>IF(COUNTIFS('Suivi Carburant'!$C$16:$C$46,"SuperEthanol E85",'Suivi Carburant'!$N$16:$N$46,"&gt;=0")&gt;=ROW(O15)-1,ROW(O15)-1,NA())</f>
        <v>#N/A</v>
      </c>
      <c r="P16" s="82" t="e" cm="1">
        <f t="array" ref="P16">IFERROR(INDEX('Suivi Carburant'!$N$16:$N$46,SMALL(IF(('Suivi Carburant'!$C$16:$C$46="SuperEthanol E85")*ISNUMBER('Suivi Carburant'!$N$16:$N$46),ROW('Suivi Carburant'!$C$16:$C$46)-ROW('Suivi Carburant'!$C$16)+1),14)),NA())</f>
        <v>#N/A</v>
      </c>
      <c r="Q16" s="82" t="e">
        <f>IF(ISNA(O16),NA(),'Suivi Carburant'!$B$5)</f>
        <v>#N/A</v>
      </c>
      <c r="S16" s="82" t="e">
        <f>IF(ISNUMBER('Suivi Carburant'!A31),'Suivi Carburant'!A31,NA())</f>
        <v>#N/A</v>
      </c>
      <c r="T16" s="82" t="e">
        <f>IF(OR('Suivi Carburant'!C31&lt;&gt;"Super 98",'Suivi Carburant'!J31=""),NA(),'Suivi Carburant'!J31)</f>
        <v>#N/A</v>
      </c>
      <c r="U16" s="82" t="e">
        <f>IF(OR('Suivi Carburant'!C31&lt;&gt;"SuperEthanol E85",'Suivi Carburant'!J31=""),NA(),'Suivi Carburant'!J31)</f>
        <v>#N/A</v>
      </c>
      <c r="W16" s="82" t="e">
        <f>IF(ISNUMBER('Suivi Carburant'!A31),'Suivi Carburant'!A31,NA())</f>
        <v>#N/A</v>
      </c>
      <c r="X16" s="82" t="e">
        <f>IF(OR('Suivi Carburant'!C31&lt;&gt;"Super 98",'Suivi Carburant'!H31=""),NA(),'Suivi Carburant'!H31)</f>
        <v>#N/A</v>
      </c>
      <c r="Y16" s="82" t="e">
        <f>IF(OR('Suivi Carburant'!C31&lt;&gt;"SuperEthanol E85",'Suivi Carburant'!H31=""),NA(),'Suivi Carburant'!H31)</f>
        <v>#N/A</v>
      </c>
      <c r="AA16" s="82" t="e">
        <f>IF(ISNUMBER('Suivi Carburant'!A31),'Suivi Carburant'!A31,NA())</f>
        <v>#N/A</v>
      </c>
      <c r="AB16" s="82" t="e">
        <f>IF(OR('Suivi Carburant'!G31="",NOT(ISNUMBER('Suivi Carburant'!G31))),NA(),'Suivi Carburant'!G31)</f>
        <v>#N/A</v>
      </c>
      <c r="AC16" s="82" t="e">
        <f>IF(OR('Suivi Carburant'!K31="",NOT(ISNUMBER('Suivi Carburant'!K31))),NA(),'Suivi Carburant'!K31)</f>
        <v>#N/A</v>
      </c>
      <c r="AE16" s="82">
        <v>14</v>
      </c>
      <c r="AF16" s="82" t="e">
        <f t="shared" si="0"/>
        <v>#N/A</v>
      </c>
      <c r="AG16" s="82">
        <f>'Suivi Carburant'!$B$5</f>
        <v>514.54</v>
      </c>
    </row>
    <row r="17" spans="15:33" x14ac:dyDescent="0.25">
      <c r="O17" s="82" t="e">
        <f>IF(COUNTIFS('Suivi Carburant'!$C$16:$C$46,"SuperEthanol E85",'Suivi Carburant'!$N$16:$N$46,"&gt;=0")&gt;=ROW(O16)-1,ROW(O16)-1,NA())</f>
        <v>#N/A</v>
      </c>
      <c r="P17" s="82" t="e" cm="1">
        <f t="array" ref="P17">IFERROR(INDEX('Suivi Carburant'!$N$16:$N$46,SMALL(IF(('Suivi Carburant'!$C$16:$C$46="SuperEthanol E85")*ISNUMBER('Suivi Carburant'!$N$16:$N$46),ROW('Suivi Carburant'!$C$16:$C$46)-ROW('Suivi Carburant'!$C$16)+1),15)),NA())</f>
        <v>#N/A</v>
      </c>
      <c r="Q17" s="82" t="e">
        <f>IF(ISNA(O17),NA(),'Suivi Carburant'!$B$5)</f>
        <v>#N/A</v>
      </c>
      <c r="S17" s="82" t="e">
        <f>IF(ISNUMBER('Suivi Carburant'!A32),'Suivi Carburant'!A32,NA())</f>
        <v>#N/A</v>
      </c>
      <c r="T17" s="82" t="e">
        <f>IF(OR('Suivi Carburant'!C32&lt;&gt;"Super 98",'Suivi Carburant'!J32=""),NA(),'Suivi Carburant'!J32)</f>
        <v>#N/A</v>
      </c>
      <c r="U17" s="82" t="e">
        <f>IF(OR('Suivi Carburant'!C32&lt;&gt;"SuperEthanol E85",'Suivi Carburant'!J32=""),NA(),'Suivi Carburant'!J32)</f>
        <v>#N/A</v>
      </c>
      <c r="W17" s="82" t="e">
        <f>IF(ISNUMBER('Suivi Carburant'!A32),'Suivi Carburant'!A32,NA())</f>
        <v>#N/A</v>
      </c>
      <c r="X17" s="82" t="e">
        <f>IF(OR('Suivi Carburant'!C32&lt;&gt;"Super 98",'Suivi Carburant'!H32=""),NA(),'Suivi Carburant'!H32)</f>
        <v>#N/A</v>
      </c>
      <c r="Y17" s="82" t="e">
        <f>IF(OR('Suivi Carburant'!C32&lt;&gt;"SuperEthanol E85",'Suivi Carburant'!H32=""),NA(),'Suivi Carburant'!H32)</f>
        <v>#N/A</v>
      </c>
      <c r="AA17" s="82" t="e">
        <f>IF(ISNUMBER('Suivi Carburant'!A32),'Suivi Carburant'!A32,NA())</f>
        <v>#N/A</v>
      </c>
      <c r="AB17" s="82" t="e">
        <f>IF(OR('Suivi Carburant'!G32="",NOT(ISNUMBER('Suivi Carburant'!G32))),NA(),'Suivi Carburant'!G32)</f>
        <v>#N/A</v>
      </c>
      <c r="AC17" s="82" t="e">
        <f>IF(OR('Suivi Carburant'!K32="",NOT(ISNUMBER('Suivi Carburant'!K32))),NA(),'Suivi Carburant'!K32)</f>
        <v>#N/A</v>
      </c>
      <c r="AE17" s="82">
        <v>15</v>
      </c>
      <c r="AF17" s="82" t="e">
        <f t="shared" si="0"/>
        <v>#N/A</v>
      </c>
      <c r="AG17" s="82">
        <f>'Suivi Carburant'!$B$5</f>
        <v>514.54</v>
      </c>
    </row>
    <row r="18" spans="15:33" x14ac:dyDescent="0.25">
      <c r="O18" s="82" t="e">
        <f>IF(COUNTIFS('Suivi Carburant'!$C$16:$C$46,"SuperEthanol E85",'Suivi Carburant'!$N$16:$N$46,"&gt;=0")&gt;=ROW(O17)-1,ROW(O17)-1,NA())</f>
        <v>#N/A</v>
      </c>
      <c r="P18" s="82" t="e" cm="1">
        <f t="array" ref="P18">IFERROR(INDEX('Suivi Carburant'!$N$16:$N$46,SMALL(IF(('Suivi Carburant'!$C$16:$C$46="SuperEthanol E85")*ISNUMBER('Suivi Carburant'!$N$16:$N$46),ROW('Suivi Carburant'!$C$16:$C$46)-ROW('Suivi Carburant'!$C$16)+1),16)),NA())</f>
        <v>#N/A</v>
      </c>
      <c r="Q18" s="82" t="e">
        <f>IF(ISNA(O18),NA(),'Suivi Carburant'!$B$5)</f>
        <v>#N/A</v>
      </c>
      <c r="S18" s="82" t="e">
        <f>IF(ISNUMBER('Suivi Carburant'!A33),'Suivi Carburant'!A33,NA())</f>
        <v>#N/A</v>
      </c>
      <c r="T18" s="82" t="e">
        <f>IF(OR('Suivi Carburant'!C33&lt;&gt;"Super 98",'Suivi Carburant'!J33=""),NA(),'Suivi Carburant'!J33)</f>
        <v>#N/A</v>
      </c>
      <c r="U18" s="82" t="e">
        <f>IF(OR('Suivi Carburant'!C33&lt;&gt;"SuperEthanol E85",'Suivi Carburant'!J33=""),NA(),'Suivi Carburant'!J33)</f>
        <v>#N/A</v>
      </c>
      <c r="W18" s="82" t="e">
        <f>IF(ISNUMBER('Suivi Carburant'!A33),'Suivi Carburant'!A33,NA())</f>
        <v>#N/A</v>
      </c>
      <c r="X18" s="82" t="e">
        <f>IF(OR('Suivi Carburant'!C33&lt;&gt;"Super 98",'Suivi Carburant'!H33=""),NA(),'Suivi Carburant'!H33)</f>
        <v>#N/A</v>
      </c>
      <c r="Y18" s="82" t="e">
        <f>IF(OR('Suivi Carburant'!C33&lt;&gt;"SuperEthanol E85",'Suivi Carburant'!H33=""),NA(),'Suivi Carburant'!H33)</f>
        <v>#N/A</v>
      </c>
      <c r="AA18" s="82" t="e">
        <f>IF(ISNUMBER('Suivi Carburant'!A33),'Suivi Carburant'!A33,NA())</f>
        <v>#N/A</v>
      </c>
      <c r="AB18" s="82" t="e">
        <f>IF(OR('Suivi Carburant'!G33="",NOT(ISNUMBER('Suivi Carburant'!G33))),NA(),'Suivi Carburant'!G33)</f>
        <v>#N/A</v>
      </c>
      <c r="AC18" s="82" t="e">
        <f>IF(OR('Suivi Carburant'!K33="",NOT(ISNUMBER('Suivi Carburant'!K33))),NA(),'Suivi Carburant'!K33)</f>
        <v>#N/A</v>
      </c>
      <c r="AE18" s="82">
        <v>16</v>
      </c>
      <c r="AF18" s="82" t="e">
        <f t="shared" si="0"/>
        <v>#N/A</v>
      </c>
      <c r="AG18" s="82">
        <f>'Suivi Carburant'!$B$5</f>
        <v>514.54</v>
      </c>
    </row>
    <row r="19" spans="15:33" x14ac:dyDescent="0.25">
      <c r="O19" s="82" t="e">
        <f>IF(COUNTIFS('Suivi Carburant'!$C$16:$C$46,"SuperEthanol E85",'Suivi Carburant'!$N$16:$N$46,"&gt;=0")&gt;=ROW(O18)-1,ROW(O18)-1,NA())</f>
        <v>#N/A</v>
      </c>
      <c r="P19" s="82" t="e" cm="1">
        <f t="array" ref="P19">IFERROR(INDEX('Suivi Carburant'!$N$16:$N$46,SMALL(IF(('Suivi Carburant'!$C$16:$C$46="SuperEthanol E85")*ISNUMBER('Suivi Carburant'!$N$16:$N$46),ROW('Suivi Carburant'!$C$16:$C$46)-ROW('Suivi Carburant'!$C$16)+1),17)),NA())</f>
        <v>#N/A</v>
      </c>
      <c r="Q19" s="82" t="e">
        <f>IF(ISNA(O19),NA(),'Suivi Carburant'!$B$5)</f>
        <v>#N/A</v>
      </c>
      <c r="S19" s="82" t="e">
        <f>IF(ISNUMBER('Suivi Carburant'!A34),'Suivi Carburant'!A34,NA())</f>
        <v>#N/A</v>
      </c>
      <c r="T19" s="82" t="e">
        <f>IF(OR('Suivi Carburant'!C34&lt;&gt;"Super 98",'Suivi Carburant'!J34=""),NA(),'Suivi Carburant'!J34)</f>
        <v>#N/A</v>
      </c>
      <c r="U19" s="82" t="e">
        <f>IF(OR('Suivi Carburant'!C34&lt;&gt;"SuperEthanol E85",'Suivi Carburant'!J34=""),NA(),'Suivi Carburant'!J34)</f>
        <v>#N/A</v>
      </c>
      <c r="W19" s="82" t="e">
        <f>IF(ISNUMBER('Suivi Carburant'!A34),'Suivi Carburant'!A34,NA())</f>
        <v>#N/A</v>
      </c>
      <c r="X19" s="82" t="e">
        <f>IF(OR('Suivi Carburant'!C34&lt;&gt;"Super 98",'Suivi Carburant'!H34=""),NA(),'Suivi Carburant'!H34)</f>
        <v>#N/A</v>
      </c>
      <c r="Y19" s="82" t="e">
        <f>IF(OR('Suivi Carburant'!C34&lt;&gt;"SuperEthanol E85",'Suivi Carburant'!H34=""),NA(),'Suivi Carburant'!H34)</f>
        <v>#N/A</v>
      </c>
      <c r="AA19" s="82" t="e">
        <f>IF(ISNUMBER('Suivi Carburant'!A34),'Suivi Carburant'!A34,NA())</f>
        <v>#N/A</v>
      </c>
      <c r="AB19" s="82" t="e">
        <f>IF(OR('Suivi Carburant'!G34="",NOT(ISNUMBER('Suivi Carburant'!G34))),NA(),'Suivi Carburant'!G34)</f>
        <v>#N/A</v>
      </c>
      <c r="AC19" s="82" t="e">
        <f>IF(OR('Suivi Carburant'!K34="",NOT(ISNUMBER('Suivi Carburant'!K34))),NA(),'Suivi Carburant'!K34)</f>
        <v>#N/A</v>
      </c>
      <c r="AE19" s="82">
        <v>17</v>
      </c>
      <c r="AF19" s="82" t="e">
        <f t="shared" si="0"/>
        <v>#N/A</v>
      </c>
      <c r="AG19" s="82">
        <f>'Suivi Carburant'!$B$5</f>
        <v>514.54</v>
      </c>
    </row>
    <row r="20" spans="15:33" x14ac:dyDescent="0.25">
      <c r="O20" s="82" t="e">
        <f>IF(COUNTIFS('Suivi Carburant'!$C$16:$C$46,"SuperEthanol E85",'Suivi Carburant'!$N$16:$N$46,"&gt;=0")&gt;=ROW(O19)-1,ROW(O19)-1,NA())</f>
        <v>#N/A</v>
      </c>
      <c r="P20" s="82" t="e" cm="1">
        <f t="array" ref="P20">IFERROR(INDEX('Suivi Carburant'!$N$16:$N$46,SMALL(IF(('Suivi Carburant'!$C$16:$C$46="SuperEthanol E85")*ISNUMBER('Suivi Carburant'!$N$16:$N$46),ROW('Suivi Carburant'!$C$16:$C$46)-ROW('Suivi Carburant'!$C$16)+1),18)),NA())</f>
        <v>#N/A</v>
      </c>
      <c r="Q20" s="82" t="e">
        <f>IF(ISNA(O20),NA(),'Suivi Carburant'!$B$5)</f>
        <v>#N/A</v>
      </c>
      <c r="S20" s="82" t="e">
        <f>IF(ISNUMBER('Suivi Carburant'!A35),'Suivi Carburant'!A35,NA())</f>
        <v>#N/A</v>
      </c>
      <c r="T20" s="82" t="e">
        <f>IF(OR('Suivi Carburant'!C35&lt;&gt;"Super 98",'Suivi Carburant'!J35=""),NA(),'Suivi Carburant'!J35)</f>
        <v>#N/A</v>
      </c>
      <c r="U20" s="82" t="e">
        <f>IF(OR('Suivi Carburant'!C35&lt;&gt;"SuperEthanol E85",'Suivi Carburant'!J35=""),NA(),'Suivi Carburant'!J35)</f>
        <v>#N/A</v>
      </c>
      <c r="W20" s="82" t="e">
        <f>IF(ISNUMBER('Suivi Carburant'!A35),'Suivi Carburant'!A35,NA())</f>
        <v>#N/A</v>
      </c>
      <c r="X20" s="82" t="e">
        <f>IF(OR('Suivi Carburant'!C35&lt;&gt;"Super 98",'Suivi Carburant'!H35=""),NA(),'Suivi Carburant'!H35)</f>
        <v>#N/A</v>
      </c>
      <c r="Y20" s="82" t="e">
        <f>IF(OR('Suivi Carburant'!C35&lt;&gt;"SuperEthanol E85",'Suivi Carburant'!H35=""),NA(),'Suivi Carburant'!H35)</f>
        <v>#N/A</v>
      </c>
      <c r="AA20" s="82" t="e">
        <f>IF(ISNUMBER('Suivi Carburant'!A35),'Suivi Carburant'!A35,NA())</f>
        <v>#N/A</v>
      </c>
      <c r="AB20" s="82" t="e">
        <f>IF(OR('Suivi Carburant'!G35="",NOT(ISNUMBER('Suivi Carburant'!G35))),NA(),'Suivi Carburant'!G35)</f>
        <v>#N/A</v>
      </c>
      <c r="AC20" s="82" t="e">
        <f>IF(OR('Suivi Carburant'!K35="",NOT(ISNUMBER('Suivi Carburant'!K35))),NA(),'Suivi Carburant'!K35)</f>
        <v>#N/A</v>
      </c>
      <c r="AE20" s="82">
        <v>18</v>
      </c>
      <c r="AF20" s="82" t="e">
        <f t="shared" si="0"/>
        <v>#N/A</v>
      </c>
      <c r="AG20" s="82">
        <f>'Suivi Carburant'!$B$5</f>
        <v>514.54</v>
      </c>
    </row>
    <row r="21" spans="15:33" x14ac:dyDescent="0.25">
      <c r="O21" s="82" t="e">
        <f>IF(COUNTIFS('Suivi Carburant'!$C$16:$C$46,"SuperEthanol E85",'Suivi Carburant'!$N$16:$N$46,"&gt;=0")&gt;=ROW(O20)-1,ROW(O20)-1,NA())</f>
        <v>#N/A</v>
      </c>
      <c r="P21" s="82" t="e" cm="1">
        <f t="array" ref="P21">IFERROR(INDEX('Suivi Carburant'!$N$16:$N$46,SMALL(IF(('Suivi Carburant'!$C$16:$C$46="SuperEthanol E85")*ISNUMBER('Suivi Carburant'!$N$16:$N$46),ROW('Suivi Carburant'!$C$16:$C$46)-ROW('Suivi Carburant'!$C$16)+1),19)),NA())</f>
        <v>#N/A</v>
      </c>
      <c r="Q21" s="82" t="e">
        <f>IF(ISNA(O21),NA(),'Suivi Carburant'!$B$5)</f>
        <v>#N/A</v>
      </c>
      <c r="S21" s="82" t="e">
        <f>IF(ISNUMBER('Suivi Carburant'!A36),'Suivi Carburant'!A36,NA())</f>
        <v>#N/A</v>
      </c>
      <c r="T21" s="82" t="e">
        <f>IF(OR('Suivi Carburant'!C36&lt;&gt;"Super 98",'Suivi Carburant'!J36=""),NA(),'Suivi Carburant'!J36)</f>
        <v>#N/A</v>
      </c>
      <c r="U21" s="82" t="e">
        <f>IF(OR('Suivi Carburant'!C36&lt;&gt;"SuperEthanol E85",'Suivi Carburant'!J36=""),NA(),'Suivi Carburant'!J36)</f>
        <v>#N/A</v>
      </c>
      <c r="W21" s="82" t="e">
        <f>IF(ISNUMBER('Suivi Carburant'!A36),'Suivi Carburant'!A36,NA())</f>
        <v>#N/A</v>
      </c>
      <c r="X21" s="82" t="e">
        <f>IF(OR('Suivi Carburant'!C36&lt;&gt;"Super 98",'Suivi Carburant'!H36=""),NA(),'Suivi Carburant'!H36)</f>
        <v>#N/A</v>
      </c>
      <c r="Y21" s="82" t="e">
        <f>IF(OR('Suivi Carburant'!C36&lt;&gt;"SuperEthanol E85",'Suivi Carburant'!H36=""),NA(),'Suivi Carburant'!H36)</f>
        <v>#N/A</v>
      </c>
      <c r="AA21" s="82" t="e">
        <f>IF(ISNUMBER('Suivi Carburant'!A36),'Suivi Carburant'!A36,NA())</f>
        <v>#N/A</v>
      </c>
      <c r="AB21" s="82" t="e">
        <f>IF(OR('Suivi Carburant'!G36="",NOT(ISNUMBER('Suivi Carburant'!G36))),NA(),'Suivi Carburant'!G36)</f>
        <v>#N/A</v>
      </c>
      <c r="AC21" s="82" t="e">
        <f>IF(OR('Suivi Carburant'!K36="",NOT(ISNUMBER('Suivi Carburant'!K36))),NA(),'Suivi Carburant'!K36)</f>
        <v>#N/A</v>
      </c>
      <c r="AE21" s="82">
        <v>19</v>
      </c>
      <c r="AF21" s="82" t="e">
        <f t="shared" si="0"/>
        <v>#N/A</v>
      </c>
      <c r="AG21" s="82">
        <f>'Suivi Carburant'!$B$5</f>
        <v>514.54</v>
      </c>
    </row>
    <row r="22" spans="15:33" x14ac:dyDescent="0.25">
      <c r="O22" s="82" t="e">
        <f>IF(COUNTIFS('Suivi Carburant'!$C$16:$C$46,"SuperEthanol E85",'Suivi Carburant'!$N$16:$N$46,"&gt;=0")&gt;=ROW(O21)-1,ROW(O21)-1,NA())</f>
        <v>#N/A</v>
      </c>
      <c r="P22" s="82" t="e" cm="1">
        <f t="array" ref="P22">IFERROR(INDEX('Suivi Carburant'!$N$16:$N$46,SMALL(IF(('Suivi Carburant'!$C$16:$C$46="SuperEthanol E85")*ISNUMBER('Suivi Carburant'!$N$16:$N$46),ROW('Suivi Carburant'!$C$16:$C$46)-ROW('Suivi Carburant'!$C$16)+1),20)),NA())</f>
        <v>#N/A</v>
      </c>
      <c r="Q22" s="82" t="e">
        <f>IF(ISNA(O22),NA(),'Suivi Carburant'!$B$5)</f>
        <v>#N/A</v>
      </c>
      <c r="S22" s="82" t="e">
        <f>IF(ISNUMBER('Suivi Carburant'!A37),'Suivi Carburant'!A37,NA())</f>
        <v>#N/A</v>
      </c>
      <c r="T22" s="82" t="e">
        <f>IF(OR('Suivi Carburant'!C37&lt;&gt;"Super 98",'Suivi Carburant'!J37=""),NA(),'Suivi Carburant'!J37)</f>
        <v>#N/A</v>
      </c>
      <c r="U22" s="82" t="e">
        <f>IF(OR('Suivi Carburant'!C37&lt;&gt;"SuperEthanol E85",'Suivi Carburant'!J37=""),NA(),'Suivi Carburant'!J37)</f>
        <v>#N/A</v>
      </c>
      <c r="W22" s="82" t="e">
        <f>IF(ISNUMBER('Suivi Carburant'!A37),'Suivi Carburant'!A37,NA())</f>
        <v>#N/A</v>
      </c>
      <c r="X22" s="82" t="e">
        <f>IF(OR('Suivi Carburant'!C37&lt;&gt;"Super 98",'Suivi Carburant'!H37=""),NA(),'Suivi Carburant'!H37)</f>
        <v>#N/A</v>
      </c>
      <c r="Y22" s="82" t="e">
        <f>IF(OR('Suivi Carburant'!C37&lt;&gt;"SuperEthanol E85",'Suivi Carburant'!H37=""),NA(),'Suivi Carburant'!H37)</f>
        <v>#N/A</v>
      </c>
      <c r="AA22" s="82" t="e">
        <f>IF(ISNUMBER('Suivi Carburant'!A37),'Suivi Carburant'!A37,NA())</f>
        <v>#N/A</v>
      </c>
      <c r="AB22" s="82" t="e">
        <f>IF(OR('Suivi Carburant'!G37="",NOT(ISNUMBER('Suivi Carburant'!G37))),NA(),'Suivi Carburant'!G37)</f>
        <v>#N/A</v>
      </c>
      <c r="AC22" s="82" t="e">
        <f>IF(OR('Suivi Carburant'!K37="",NOT(ISNUMBER('Suivi Carburant'!K37))),NA(),'Suivi Carburant'!K37)</f>
        <v>#N/A</v>
      </c>
      <c r="AE22" s="82">
        <v>20</v>
      </c>
      <c r="AF22" s="82" t="e">
        <f t="shared" si="0"/>
        <v>#N/A</v>
      </c>
      <c r="AG22" s="82">
        <f>'Suivi Carburant'!$B$5</f>
        <v>514.54</v>
      </c>
    </row>
    <row r="23" spans="15:33" x14ac:dyDescent="0.25">
      <c r="O23" s="82" t="e">
        <f>IF(COUNTIFS('Suivi Carburant'!$C$16:$C$46,"SuperEthanol E85",'Suivi Carburant'!$N$16:$N$46,"&gt;=0")&gt;=ROW(O22)-1,ROW(O22)-1,NA())</f>
        <v>#N/A</v>
      </c>
      <c r="P23" s="82" t="e" cm="1">
        <f t="array" ref="P23">IFERROR(INDEX('Suivi Carburant'!$N$16:$N$46,SMALL(IF(('Suivi Carburant'!$C$16:$C$46="SuperEthanol E85")*ISNUMBER('Suivi Carburant'!$N$16:$N$46),ROW('Suivi Carburant'!$C$16:$C$46)-ROW('Suivi Carburant'!$C$16)+1),21)),NA())</f>
        <v>#N/A</v>
      </c>
      <c r="Q23" s="82" t="e">
        <f>IF(ISNA(O23),NA(),'Suivi Carburant'!$B$5)</f>
        <v>#N/A</v>
      </c>
      <c r="S23" s="82" t="e">
        <f>IF(ISNUMBER('Suivi Carburant'!A38),'Suivi Carburant'!A38,NA())</f>
        <v>#N/A</v>
      </c>
      <c r="T23" s="82" t="e">
        <f>IF(OR('Suivi Carburant'!C38&lt;&gt;"Super 98",'Suivi Carburant'!J38=""),NA(),'Suivi Carburant'!J38)</f>
        <v>#N/A</v>
      </c>
      <c r="U23" s="82" t="e">
        <f>IF(OR('Suivi Carburant'!C38&lt;&gt;"SuperEthanol E85",'Suivi Carburant'!J38=""),NA(),'Suivi Carburant'!J38)</f>
        <v>#N/A</v>
      </c>
      <c r="W23" s="82" t="e">
        <f>IF(ISNUMBER('Suivi Carburant'!A38),'Suivi Carburant'!A38,NA())</f>
        <v>#N/A</v>
      </c>
      <c r="X23" s="82" t="e">
        <f>IF(OR('Suivi Carburant'!C38&lt;&gt;"Super 98",'Suivi Carburant'!H38=""),NA(),'Suivi Carburant'!H38)</f>
        <v>#N/A</v>
      </c>
      <c r="Y23" s="82" t="e">
        <f>IF(OR('Suivi Carburant'!C38&lt;&gt;"SuperEthanol E85",'Suivi Carburant'!H38=""),NA(),'Suivi Carburant'!H38)</f>
        <v>#N/A</v>
      </c>
      <c r="AA23" s="82" t="e">
        <f>IF(ISNUMBER('Suivi Carburant'!A38),'Suivi Carburant'!A38,NA())</f>
        <v>#N/A</v>
      </c>
      <c r="AB23" s="82" t="e">
        <f>IF(OR('Suivi Carburant'!G38="",NOT(ISNUMBER('Suivi Carburant'!G38))),NA(),'Suivi Carburant'!G38)</f>
        <v>#N/A</v>
      </c>
      <c r="AC23" s="82" t="e">
        <f>IF(OR('Suivi Carburant'!K38="",NOT(ISNUMBER('Suivi Carburant'!K38))),NA(),'Suivi Carburant'!K38)</f>
        <v>#N/A</v>
      </c>
      <c r="AE23" s="82">
        <v>21</v>
      </c>
      <c r="AF23" s="82" t="e">
        <f t="shared" si="0"/>
        <v>#N/A</v>
      </c>
      <c r="AG23" s="82">
        <f>'Suivi Carburant'!$B$5</f>
        <v>514.54</v>
      </c>
    </row>
    <row r="24" spans="15:33" x14ac:dyDescent="0.25">
      <c r="O24" s="82" t="e">
        <f>IF(COUNTIFS('Suivi Carburant'!$C$16:$C$46,"SuperEthanol E85",'Suivi Carburant'!$N$16:$N$46,"&gt;=0")&gt;=ROW(O23)-1,ROW(O23)-1,NA())</f>
        <v>#N/A</v>
      </c>
      <c r="P24" s="82" t="e" cm="1">
        <f t="array" ref="P24">IFERROR(INDEX('Suivi Carburant'!$N$16:$N$46,SMALL(IF(('Suivi Carburant'!$C$16:$C$46="SuperEthanol E85")*ISNUMBER('Suivi Carburant'!$N$16:$N$46),ROW('Suivi Carburant'!$C$16:$C$46)-ROW('Suivi Carburant'!$C$16)+1),22)),NA())</f>
        <v>#N/A</v>
      </c>
      <c r="Q24" s="82" t="e">
        <f>IF(ISNA(O24),NA(),'Suivi Carburant'!$B$5)</f>
        <v>#N/A</v>
      </c>
      <c r="S24" s="82" t="e">
        <f>IF(ISNUMBER('Suivi Carburant'!A39),'Suivi Carburant'!A39,NA())</f>
        <v>#N/A</v>
      </c>
      <c r="T24" s="82" t="e">
        <f>IF(OR('Suivi Carburant'!C39&lt;&gt;"Super 98",'Suivi Carburant'!J39=""),NA(),'Suivi Carburant'!J39)</f>
        <v>#N/A</v>
      </c>
      <c r="U24" s="82" t="e">
        <f>IF(OR('Suivi Carburant'!C39&lt;&gt;"SuperEthanol E85",'Suivi Carburant'!J39=""),NA(),'Suivi Carburant'!J39)</f>
        <v>#N/A</v>
      </c>
      <c r="W24" s="82" t="e">
        <f>IF(ISNUMBER('Suivi Carburant'!A39),'Suivi Carburant'!A39,NA())</f>
        <v>#N/A</v>
      </c>
      <c r="X24" s="82" t="e">
        <f>IF(OR('Suivi Carburant'!C39&lt;&gt;"Super 98",'Suivi Carburant'!H39=""),NA(),'Suivi Carburant'!H39)</f>
        <v>#N/A</v>
      </c>
      <c r="Y24" s="82" t="e">
        <f>IF(OR('Suivi Carburant'!C39&lt;&gt;"SuperEthanol E85",'Suivi Carburant'!H39=""),NA(),'Suivi Carburant'!H39)</f>
        <v>#N/A</v>
      </c>
      <c r="AA24" s="82" t="e">
        <f>IF(ISNUMBER('Suivi Carburant'!A39),'Suivi Carburant'!A39,NA())</f>
        <v>#N/A</v>
      </c>
      <c r="AB24" s="82" t="e">
        <f>IF(OR('Suivi Carburant'!G39="",NOT(ISNUMBER('Suivi Carburant'!G39))),NA(),'Suivi Carburant'!G39)</f>
        <v>#N/A</v>
      </c>
      <c r="AC24" s="82" t="e">
        <f>IF(OR('Suivi Carburant'!K39="",NOT(ISNUMBER('Suivi Carburant'!K39))),NA(),'Suivi Carburant'!K39)</f>
        <v>#N/A</v>
      </c>
      <c r="AE24" s="82">
        <v>22</v>
      </c>
      <c r="AF24" s="82" t="e">
        <f t="shared" si="0"/>
        <v>#N/A</v>
      </c>
      <c r="AG24" s="82">
        <f>'Suivi Carburant'!$B$5</f>
        <v>514.54</v>
      </c>
    </row>
    <row r="25" spans="15:33" x14ac:dyDescent="0.25">
      <c r="O25" s="82" t="e">
        <f>IF(COUNTIFS('Suivi Carburant'!$C$16:$C$46,"SuperEthanol E85",'Suivi Carburant'!$N$16:$N$46,"&gt;=0")&gt;=ROW(O24)-1,ROW(O24)-1,NA())</f>
        <v>#N/A</v>
      </c>
      <c r="P25" s="82" t="e" cm="1">
        <f t="array" ref="P25">IFERROR(INDEX('Suivi Carburant'!$N$16:$N$46,SMALL(IF(('Suivi Carburant'!$C$16:$C$46="SuperEthanol E85")*ISNUMBER('Suivi Carburant'!$N$16:$N$46),ROW('Suivi Carburant'!$C$16:$C$46)-ROW('Suivi Carburant'!$C$16)+1),23)),NA())</f>
        <v>#N/A</v>
      </c>
      <c r="Q25" s="82" t="e">
        <f>IF(ISNA(O25),NA(),'Suivi Carburant'!$B$5)</f>
        <v>#N/A</v>
      </c>
      <c r="S25" s="82" t="e">
        <f>IF(ISNUMBER('Suivi Carburant'!A40),'Suivi Carburant'!A40,NA())</f>
        <v>#N/A</v>
      </c>
      <c r="T25" s="82" t="e">
        <f>IF(OR('Suivi Carburant'!C40&lt;&gt;"Super 98",'Suivi Carburant'!J40=""),NA(),'Suivi Carburant'!J40)</f>
        <v>#N/A</v>
      </c>
      <c r="U25" s="82" t="e">
        <f>IF(OR('Suivi Carburant'!C40&lt;&gt;"SuperEthanol E85",'Suivi Carburant'!J40=""),NA(),'Suivi Carburant'!J40)</f>
        <v>#N/A</v>
      </c>
      <c r="W25" s="82" t="e">
        <f>IF(ISNUMBER('Suivi Carburant'!A40),'Suivi Carburant'!A40,NA())</f>
        <v>#N/A</v>
      </c>
      <c r="X25" s="82" t="e">
        <f>IF(OR('Suivi Carburant'!C40&lt;&gt;"Super 98",'Suivi Carburant'!H40=""),NA(),'Suivi Carburant'!H40)</f>
        <v>#N/A</v>
      </c>
      <c r="Y25" s="82" t="e">
        <f>IF(OR('Suivi Carburant'!C40&lt;&gt;"SuperEthanol E85",'Suivi Carburant'!H40=""),NA(),'Suivi Carburant'!H40)</f>
        <v>#N/A</v>
      </c>
      <c r="AA25" s="82" t="e">
        <f>IF(ISNUMBER('Suivi Carburant'!A40),'Suivi Carburant'!A40,NA())</f>
        <v>#N/A</v>
      </c>
      <c r="AB25" s="82" t="e">
        <f>IF(OR('Suivi Carburant'!G40="",NOT(ISNUMBER('Suivi Carburant'!G40))),NA(),'Suivi Carburant'!G40)</f>
        <v>#N/A</v>
      </c>
      <c r="AC25" s="82" t="e">
        <f>IF(OR('Suivi Carburant'!K40="",NOT(ISNUMBER('Suivi Carburant'!K40))),NA(),'Suivi Carburant'!K40)</f>
        <v>#N/A</v>
      </c>
      <c r="AE25" s="82">
        <v>23</v>
      </c>
      <c r="AF25" s="82" t="e">
        <f t="shared" si="0"/>
        <v>#N/A</v>
      </c>
      <c r="AG25" s="82">
        <f>'Suivi Carburant'!$B$5</f>
        <v>514.54</v>
      </c>
    </row>
    <row r="26" spans="15:33" x14ac:dyDescent="0.25">
      <c r="O26" s="82" t="e">
        <f>IF(COUNTIFS('Suivi Carburant'!$C$16:$C$46,"SuperEthanol E85",'Suivi Carburant'!$N$16:$N$46,"&gt;=0")&gt;=ROW(O25)-1,ROW(O25)-1,NA())</f>
        <v>#N/A</v>
      </c>
      <c r="P26" s="82" t="e" cm="1">
        <f t="array" ref="P26">IFERROR(INDEX('Suivi Carburant'!$N$16:$N$46,SMALL(IF(('Suivi Carburant'!$C$16:$C$46="SuperEthanol E85")*ISNUMBER('Suivi Carburant'!$N$16:$N$46),ROW('Suivi Carburant'!$C$16:$C$46)-ROW('Suivi Carburant'!$C$16)+1),24)),NA())</f>
        <v>#N/A</v>
      </c>
      <c r="Q26" s="82" t="e">
        <f>IF(ISNA(O26),NA(),'Suivi Carburant'!$B$5)</f>
        <v>#N/A</v>
      </c>
      <c r="S26" s="82" t="e">
        <f>IF(ISNUMBER('Suivi Carburant'!A41),'Suivi Carburant'!A41,NA())</f>
        <v>#N/A</v>
      </c>
      <c r="T26" s="82" t="e">
        <f>IF(OR('Suivi Carburant'!C41&lt;&gt;"Super 98",'Suivi Carburant'!J41=""),NA(),'Suivi Carburant'!J41)</f>
        <v>#N/A</v>
      </c>
      <c r="U26" s="82" t="e">
        <f>IF(OR('Suivi Carburant'!C41&lt;&gt;"SuperEthanol E85",'Suivi Carburant'!J41=""),NA(),'Suivi Carburant'!J41)</f>
        <v>#N/A</v>
      </c>
      <c r="W26" s="82" t="e">
        <f>IF(ISNUMBER('Suivi Carburant'!A41),'Suivi Carburant'!A41,NA())</f>
        <v>#N/A</v>
      </c>
      <c r="X26" s="82" t="e">
        <f>IF(OR('Suivi Carburant'!C41&lt;&gt;"Super 98",'Suivi Carburant'!H41=""),NA(),'Suivi Carburant'!H41)</f>
        <v>#N/A</v>
      </c>
      <c r="Y26" s="82" t="e">
        <f>IF(OR('Suivi Carburant'!C41&lt;&gt;"SuperEthanol E85",'Suivi Carburant'!H41=""),NA(),'Suivi Carburant'!H41)</f>
        <v>#N/A</v>
      </c>
      <c r="AA26" s="82" t="e">
        <f>IF(ISNUMBER('Suivi Carburant'!A41),'Suivi Carburant'!A41,NA())</f>
        <v>#N/A</v>
      </c>
      <c r="AB26" s="82" t="e">
        <f>IF(OR('Suivi Carburant'!G41="",NOT(ISNUMBER('Suivi Carburant'!G41))),NA(),'Suivi Carburant'!G41)</f>
        <v>#N/A</v>
      </c>
      <c r="AC26" s="82" t="e">
        <f>IF(OR('Suivi Carburant'!K41="",NOT(ISNUMBER('Suivi Carburant'!K41))),NA(),'Suivi Carburant'!K41)</f>
        <v>#N/A</v>
      </c>
      <c r="AE26" s="82">
        <v>24</v>
      </c>
      <c r="AF26" s="82" t="e">
        <f t="shared" si="0"/>
        <v>#N/A</v>
      </c>
      <c r="AG26" s="82">
        <f>'Suivi Carburant'!$B$5</f>
        <v>514.54</v>
      </c>
    </row>
    <row r="27" spans="15:33" x14ac:dyDescent="0.25">
      <c r="O27" s="82" t="e">
        <f>IF(COUNTIFS('Suivi Carburant'!$C$16:$C$46,"SuperEthanol E85",'Suivi Carburant'!$N$16:$N$46,"&gt;=0")&gt;=ROW(O26)-1,ROW(O26)-1,NA())</f>
        <v>#N/A</v>
      </c>
      <c r="P27" s="82" t="e" cm="1">
        <f t="array" ref="P27">IFERROR(INDEX('Suivi Carburant'!$N$16:$N$46,SMALL(IF(('Suivi Carburant'!$C$16:$C$46="SuperEthanol E85")*ISNUMBER('Suivi Carburant'!$N$16:$N$46),ROW('Suivi Carburant'!$C$16:$C$46)-ROW('Suivi Carburant'!$C$16)+1),25)),NA())</f>
        <v>#N/A</v>
      </c>
      <c r="Q27" s="82" t="e">
        <f>IF(ISNA(O27),NA(),'Suivi Carburant'!$B$5)</f>
        <v>#N/A</v>
      </c>
      <c r="S27" s="82" t="e">
        <f>IF(ISNUMBER('Suivi Carburant'!A42),'Suivi Carburant'!A42,NA())</f>
        <v>#N/A</v>
      </c>
      <c r="T27" s="82" t="e">
        <f>IF(OR('Suivi Carburant'!C42&lt;&gt;"Super 98",'Suivi Carburant'!J42=""),NA(),'Suivi Carburant'!J42)</f>
        <v>#N/A</v>
      </c>
      <c r="U27" s="82" t="e">
        <f>IF(OR('Suivi Carburant'!C42&lt;&gt;"SuperEthanol E85",'Suivi Carburant'!J42=""),NA(),'Suivi Carburant'!J42)</f>
        <v>#N/A</v>
      </c>
      <c r="W27" s="82" t="e">
        <f>IF(ISNUMBER('Suivi Carburant'!A42),'Suivi Carburant'!A42,NA())</f>
        <v>#N/A</v>
      </c>
      <c r="X27" s="82" t="e">
        <f>IF(OR('Suivi Carburant'!C42&lt;&gt;"Super 98",'Suivi Carburant'!H42=""),NA(),'Suivi Carburant'!H42)</f>
        <v>#N/A</v>
      </c>
      <c r="Y27" s="82" t="e">
        <f>IF(OR('Suivi Carburant'!C42&lt;&gt;"SuperEthanol E85",'Suivi Carburant'!H42=""),NA(),'Suivi Carburant'!H42)</f>
        <v>#N/A</v>
      </c>
      <c r="AA27" s="82" t="e">
        <f>IF(ISNUMBER('Suivi Carburant'!A42),'Suivi Carburant'!A42,NA())</f>
        <v>#N/A</v>
      </c>
      <c r="AB27" s="82" t="e">
        <f>IF(OR('Suivi Carburant'!G42="",NOT(ISNUMBER('Suivi Carburant'!G42))),NA(),'Suivi Carburant'!G42)</f>
        <v>#N/A</v>
      </c>
      <c r="AC27" s="82" t="e">
        <f>IF(OR('Suivi Carburant'!K42="",NOT(ISNUMBER('Suivi Carburant'!K42))),NA(),'Suivi Carburant'!K42)</f>
        <v>#N/A</v>
      </c>
      <c r="AE27" s="82">
        <v>25</v>
      </c>
      <c r="AF27" s="82" t="e">
        <f t="shared" si="0"/>
        <v>#N/A</v>
      </c>
      <c r="AG27" s="82">
        <f>'Suivi Carburant'!$B$5</f>
        <v>514.54</v>
      </c>
    </row>
    <row r="28" spans="15:33" x14ac:dyDescent="0.25">
      <c r="O28" s="82" t="e">
        <f>IF(COUNTIFS('Suivi Carburant'!$C$16:$C$46,"SuperEthanol E85",'Suivi Carburant'!$N$16:$N$46,"&gt;=0")&gt;=ROW(O27)-1,ROW(O27)-1,NA())</f>
        <v>#N/A</v>
      </c>
      <c r="P28" s="82" t="e" cm="1">
        <f t="array" ref="P28">IFERROR(INDEX('Suivi Carburant'!$N$16:$N$46,SMALL(IF(('Suivi Carburant'!$C$16:$C$46="SuperEthanol E85")*ISNUMBER('Suivi Carburant'!$N$16:$N$46),ROW('Suivi Carburant'!$C$16:$C$46)-ROW('Suivi Carburant'!$C$16)+1),26)),NA())</f>
        <v>#N/A</v>
      </c>
      <c r="Q28" s="82" t="e">
        <f>IF(ISNA(O28),NA(),'Suivi Carburant'!$B$5)</f>
        <v>#N/A</v>
      </c>
      <c r="S28" s="82" t="e">
        <f>IF(ISNUMBER('Suivi Carburant'!A43),'Suivi Carburant'!A43,NA())</f>
        <v>#N/A</v>
      </c>
      <c r="T28" s="82" t="e">
        <f>IF(OR('Suivi Carburant'!C43&lt;&gt;"Super 98",'Suivi Carburant'!J43=""),NA(),'Suivi Carburant'!J43)</f>
        <v>#N/A</v>
      </c>
      <c r="U28" s="82" t="e">
        <f>IF(OR('Suivi Carburant'!C43&lt;&gt;"SuperEthanol E85",'Suivi Carburant'!J43=""),NA(),'Suivi Carburant'!J43)</f>
        <v>#N/A</v>
      </c>
      <c r="W28" s="82" t="e">
        <f>IF(ISNUMBER('Suivi Carburant'!A43),'Suivi Carburant'!A43,NA())</f>
        <v>#N/A</v>
      </c>
      <c r="X28" s="82" t="e">
        <f>IF(OR('Suivi Carburant'!C43&lt;&gt;"Super 98",'Suivi Carburant'!H43=""),NA(),'Suivi Carburant'!H43)</f>
        <v>#N/A</v>
      </c>
      <c r="Y28" s="82" t="e">
        <f>IF(OR('Suivi Carburant'!C43&lt;&gt;"SuperEthanol E85",'Suivi Carburant'!H43=""),NA(),'Suivi Carburant'!H43)</f>
        <v>#N/A</v>
      </c>
      <c r="AA28" s="82" t="e">
        <f>IF(ISNUMBER('Suivi Carburant'!A43),'Suivi Carburant'!A43,NA())</f>
        <v>#N/A</v>
      </c>
      <c r="AB28" s="82" t="e">
        <f>IF(OR('Suivi Carburant'!G43="",NOT(ISNUMBER('Suivi Carburant'!G43))),NA(),'Suivi Carburant'!G43)</f>
        <v>#N/A</v>
      </c>
      <c r="AC28" s="82" t="e">
        <f>IF(OR('Suivi Carburant'!K43="",NOT(ISNUMBER('Suivi Carburant'!K43))),NA(),'Suivi Carburant'!K43)</f>
        <v>#N/A</v>
      </c>
      <c r="AE28" s="82">
        <v>26</v>
      </c>
      <c r="AF28" s="82" t="e">
        <f t="shared" si="0"/>
        <v>#N/A</v>
      </c>
      <c r="AG28" s="82">
        <f>'Suivi Carburant'!$B$5</f>
        <v>514.54</v>
      </c>
    </row>
    <row r="29" spans="15:33" x14ac:dyDescent="0.25">
      <c r="O29" s="82" t="e">
        <f>IF(COUNTIFS('Suivi Carburant'!$C$16:$C$46,"SuperEthanol E85",'Suivi Carburant'!$N$16:$N$46,"&gt;=0")&gt;=ROW(O28)-1,ROW(O28)-1,NA())</f>
        <v>#N/A</v>
      </c>
      <c r="P29" s="82" t="e" cm="1">
        <f t="array" ref="P29">IFERROR(INDEX('Suivi Carburant'!$N$16:$N$46,SMALL(IF(('Suivi Carburant'!$C$16:$C$46="SuperEthanol E85")*ISNUMBER('Suivi Carburant'!$N$16:$N$46),ROW('Suivi Carburant'!$C$16:$C$46)-ROW('Suivi Carburant'!$C$16)+1),27)),NA())</f>
        <v>#N/A</v>
      </c>
      <c r="Q29" s="82" t="e">
        <f>IF(ISNA(O29),NA(),'Suivi Carburant'!$B$5)</f>
        <v>#N/A</v>
      </c>
      <c r="S29" s="82" t="e">
        <f>IF(ISNUMBER('Suivi Carburant'!A44),'Suivi Carburant'!A44,NA())</f>
        <v>#N/A</v>
      </c>
      <c r="T29" s="82" t="e">
        <f>IF(OR('Suivi Carburant'!C44&lt;&gt;"Super 98",'Suivi Carburant'!J44=""),NA(),'Suivi Carburant'!J44)</f>
        <v>#N/A</v>
      </c>
      <c r="U29" s="82" t="e">
        <f>IF(OR('Suivi Carburant'!C44&lt;&gt;"SuperEthanol E85",'Suivi Carburant'!J44=""),NA(),'Suivi Carburant'!J44)</f>
        <v>#N/A</v>
      </c>
      <c r="W29" s="82" t="e">
        <f>IF(ISNUMBER('Suivi Carburant'!A44),'Suivi Carburant'!A44,NA())</f>
        <v>#N/A</v>
      </c>
      <c r="X29" s="82" t="e">
        <f>IF(OR('Suivi Carburant'!C44&lt;&gt;"Super 98",'Suivi Carburant'!H44=""),NA(),'Suivi Carburant'!H44)</f>
        <v>#N/A</v>
      </c>
      <c r="Y29" s="82" t="e">
        <f>IF(OR('Suivi Carburant'!C44&lt;&gt;"SuperEthanol E85",'Suivi Carburant'!H44=""),NA(),'Suivi Carburant'!H44)</f>
        <v>#N/A</v>
      </c>
      <c r="AA29" s="82" t="e">
        <f>IF(ISNUMBER('Suivi Carburant'!A44),'Suivi Carburant'!A44,NA())</f>
        <v>#N/A</v>
      </c>
      <c r="AB29" s="82" t="e">
        <f>IF(OR('Suivi Carburant'!G44="",NOT(ISNUMBER('Suivi Carburant'!G44))),NA(),'Suivi Carburant'!G44)</f>
        <v>#N/A</v>
      </c>
      <c r="AC29" s="82" t="e">
        <f>IF(OR('Suivi Carburant'!K44="",NOT(ISNUMBER('Suivi Carburant'!K44))),NA(),'Suivi Carburant'!K44)</f>
        <v>#N/A</v>
      </c>
      <c r="AE29" s="82">
        <v>27</v>
      </c>
      <c r="AF29" s="82" t="e">
        <f t="shared" si="0"/>
        <v>#N/A</v>
      </c>
      <c r="AG29" s="82">
        <f>'Suivi Carburant'!$B$5</f>
        <v>514.54</v>
      </c>
    </row>
    <row r="30" spans="15:33" x14ac:dyDescent="0.25">
      <c r="O30" s="82" t="e">
        <f>IF(COUNTIFS('Suivi Carburant'!$C$16:$C$46,"SuperEthanol E85",'Suivi Carburant'!$N$16:$N$46,"&gt;=0")&gt;=ROW(O29)-1,ROW(O29)-1,NA())</f>
        <v>#N/A</v>
      </c>
      <c r="P30" s="82" t="e" cm="1">
        <f t="array" ref="P30">IFERROR(INDEX('Suivi Carburant'!$N$16:$N$46,SMALL(IF(('Suivi Carburant'!$C$16:$C$46="SuperEthanol E85")*ISNUMBER('Suivi Carburant'!$N$16:$N$46),ROW('Suivi Carburant'!$C$16:$C$46)-ROW('Suivi Carburant'!$C$16)+1),28)),NA())</f>
        <v>#N/A</v>
      </c>
      <c r="Q30" s="82" t="e">
        <f>IF(ISNA(O30),NA(),'Suivi Carburant'!$B$5)</f>
        <v>#N/A</v>
      </c>
      <c r="S30" s="82" t="e">
        <f>IF(ISNUMBER('Suivi Carburant'!A45),'Suivi Carburant'!A45,NA())</f>
        <v>#N/A</v>
      </c>
      <c r="T30" s="82" t="e">
        <f>IF(OR('Suivi Carburant'!C45&lt;&gt;"Super 98",'Suivi Carburant'!J45=""),NA(),'Suivi Carburant'!J45)</f>
        <v>#N/A</v>
      </c>
      <c r="U30" s="82" t="e">
        <f>IF(OR('Suivi Carburant'!C45&lt;&gt;"SuperEthanol E85",'Suivi Carburant'!J45=""),NA(),'Suivi Carburant'!J45)</f>
        <v>#N/A</v>
      </c>
      <c r="W30" s="82" t="e">
        <f>IF(ISNUMBER('Suivi Carburant'!A45),'Suivi Carburant'!A45,NA())</f>
        <v>#N/A</v>
      </c>
      <c r="X30" s="82" t="e">
        <f>IF(OR('Suivi Carburant'!C45&lt;&gt;"Super 98",'Suivi Carburant'!H45=""),NA(),'Suivi Carburant'!H45)</f>
        <v>#N/A</v>
      </c>
      <c r="Y30" s="82" t="e">
        <f>IF(OR('Suivi Carburant'!C45&lt;&gt;"SuperEthanol E85",'Suivi Carburant'!H45=""),NA(),'Suivi Carburant'!H45)</f>
        <v>#N/A</v>
      </c>
      <c r="AA30" s="82" t="e">
        <f>IF(ISNUMBER('Suivi Carburant'!A45),'Suivi Carburant'!A45,NA())</f>
        <v>#N/A</v>
      </c>
      <c r="AB30" s="82" t="e">
        <f>IF(OR('Suivi Carburant'!G45="",NOT(ISNUMBER('Suivi Carburant'!G45))),NA(),'Suivi Carburant'!G45)</f>
        <v>#N/A</v>
      </c>
      <c r="AC30" s="82" t="e">
        <f>IF(OR('Suivi Carburant'!K45="",NOT(ISNUMBER('Suivi Carburant'!K45))),NA(),'Suivi Carburant'!K45)</f>
        <v>#N/A</v>
      </c>
      <c r="AE30" s="82">
        <v>28</v>
      </c>
      <c r="AF30" s="82" t="e">
        <f t="shared" si="0"/>
        <v>#N/A</v>
      </c>
      <c r="AG30" s="82">
        <f>'Suivi Carburant'!$B$5</f>
        <v>514.54</v>
      </c>
    </row>
    <row r="31" spans="15:33" x14ac:dyDescent="0.25">
      <c r="O31" s="82" t="e">
        <f>IF(COUNTIFS('Suivi Carburant'!$C$16:$C$46,"SuperEthanol E85",'Suivi Carburant'!$N$16:$N$46,"&gt;=0")&gt;=ROW(O30)-1,ROW(O30)-1,NA())</f>
        <v>#N/A</v>
      </c>
      <c r="P31" s="82" t="e" cm="1">
        <f t="array" ref="P31">IFERROR(INDEX('Suivi Carburant'!$N$16:$N$46,SMALL(IF(('Suivi Carburant'!$C$16:$C$46="SuperEthanol E85")*ISNUMBER('Suivi Carburant'!$N$16:$N$46),ROW('Suivi Carburant'!$C$16:$C$46)-ROW('Suivi Carburant'!$C$16)+1),29)),NA())</f>
        <v>#N/A</v>
      </c>
      <c r="Q31" s="82" t="e">
        <f>IF(ISNA(O31),NA(),'Suivi Carburant'!$B$5)</f>
        <v>#N/A</v>
      </c>
      <c r="S31" s="82" t="e">
        <f>IF(ISNUMBER('Suivi Carburant'!A46),'Suivi Carburant'!A46,NA())</f>
        <v>#N/A</v>
      </c>
      <c r="T31" s="82" t="e">
        <f>IF(OR('Suivi Carburant'!C46&lt;&gt;"Super 98",'Suivi Carburant'!J46=""),NA(),'Suivi Carburant'!J46)</f>
        <v>#N/A</v>
      </c>
      <c r="U31" s="82" t="e">
        <f>IF(OR('Suivi Carburant'!C46&lt;&gt;"SuperEthanol E85",'Suivi Carburant'!J46=""),NA(),'Suivi Carburant'!J46)</f>
        <v>#N/A</v>
      </c>
      <c r="W31" s="82" t="e">
        <f>IF(ISNUMBER('Suivi Carburant'!A46),'Suivi Carburant'!A46,NA())</f>
        <v>#N/A</v>
      </c>
      <c r="X31" s="82" t="e">
        <f>IF(OR('Suivi Carburant'!C46&lt;&gt;"Super 98",'Suivi Carburant'!H46=""),NA(),'Suivi Carburant'!H46)</f>
        <v>#N/A</v>
      </c>
      <c r="Y31" s="82" t="e">
        <f>IF(OR('Suivi Carburant'!C46&lt;&gt;"SuperEthanol E85",'Suivi Carburant'!H46=""),NA(),'Suivi Carburant'!H46)</f>
        <v>#N/A</v>
      </c>
      <c r="AA31" s="82" t="e">
        <f>IF(ISNUMBER('Suivi Carburant'!A46),'Suivi Carburant'!A46,NA())</f>
        <v>#N/A</v>
      </c>
      <c r="AB31" s="82" t="e">
        <f>IF(OR('Suivi Carburant'!G46="",NOT(ISNUMBER('Suivi Carburant'!G46))),NA(),'Suivi Carburant'!G46)</f>
        <v>#N/A</v>
      </c>
      <c r="AC31" s="82" t="e">
        <f>IF(OR('Suivi Carburant'!K46="",NOT(ISNUMBER('Suivi Carburant'!K46))),NA(),'Suivi Carburant'!K46)</f>
        <v>#N/A</v>
      </c>
      <c r="AE31" s="82">
        <v>29</v>
      </c>
      <c r="AF31" s="82" t="e">
        <f t="shared" si="0"/>
        <v>#N/A</v>
      </c>
      <c r="AG31" s="82">
        <f>'Suivi Carburant'!$B$5</f>
        <v>514.54</v>
      </c>
    </row>
    <row r="32" spans="15:33" x14ac:dyDescent="0.25">
      <c r="O32" s="82" t="e">
        <f>IF(COUNTIFS('Suivi Carburant'!$C$16:$C$46,"SuperEthanol E85",'Suivi Carburant'!$N$16:$N$46,"&gt;=0")&gt;=ROW(O31)-1,ROW(O31)-1,NA())</f>
        <v>#N/A</v>
      </c>
      <c r="P32" s="82" t="e" cm="1">
        <f t="array" ref="P32">IFERROR(INDEX('Suivi Carburant'!$N$16:$N$46,SMALL(IF(('Suivi Carburant'!$C$16:$C$46="SuperEthanol E85")*ISNUMBER('Suivi Carburant'!$N$16:$N$46),ROW('Suivi Carburant'!$C$16:$C$46)-ROW('Suivi Carburant'!$C$16)+1),30)),NA())</f>
        <v>#N/A</v>
      </c>
      <c r="Q32" s="82" t="e">
        <f>IF(ISNA(O32),NA(),'Suivi Carburant'!$B$5)</f>
        <v>#N/A</v>
      </c>
      <c r="S32" s="82" t="e">
        <f>IF(ISNUMBER('Suivi Carburant'!A47),'Suivi Carburant'!A47,NA())</f>
        <v>#N/A</v>
      </c>
      <c r="T32" s="82" t="e">
        <f>IF(OR('Suivi Carburant'!C47&lt;&gt;"Super 98",'Suivi Carburant'!J47=""),NA(),'Suivi Carburant'!J47)</f>
        <v>#N/A</v>
      </c>
      <c r="U32" s="82" t="e">
        <f>IF(OR('Suivi Carburant'!C47&lt;&gt;"SuperEthanol E85",'Suivi Carburant'!J47=""),NA(),'Suivi Carburant'!J47)</f>
        <v>#N/A</v>
      </c>
      <c r="W32" s="82" t="e">
        <f>IF(ISNUMBER('Suivi Carburant'!A47),'Suivi Carburant'!A47,NA())</f>
        <v>#N/A</v>
      </c>
      <c r="X32" s="82" t="e">
        <f>IF(OR('Suivi Carburant'!C47&lt;&gt;"Super 98",'Suivi Carburant'!H47=""),NA(),'Suivi Carburant'!H47)</f>
        <v>#N/A</v>
      </c>
      <c r="Y32" s="82" t="e">
        <f>IF(OR('Suivi Carburant'!C47&lt;&gt;"SuperEthanol E85",'Suivi Carburant'!H47=""),NA(),'Suivi Carburant'!H47)</f>
        <v>#N/A</v>
      </c>
      <c r="AA32" s="82" t="e">
        <f>IF(ISNUMBER('Suivi Carburant'!A47),'Suivi Carburant'!A47,NA())</f>
        <v>#N/A</v>
      </c>
      <c r="AB32" s="82" t="e">
        <f>IF(OR('Suivi Carburant'!G47="",NOT(ISNUMBER('Suivi Carburant'!G47))),NA(),'Suivi Carburant'!G47)</f>
        <v>#N/A</v>
      </c>
      <c r="AC32" s="82" t="e">
        <f>IF(OR('Suivi Carburant'!K47="",NOT(ISNUMBER('Suivi Carburant'!K47))),NA(),'Suivi Carburant'!K47)</f>
        <v>#N/A</v>
      </c>
      <c r="AE32" s="82">
        <v>30</v>
      </c>
      <c r="AF32" s="82" t="e">
        <f t="shared" si="0"/>
        <v>#N/A</v>
      </c>
      <c r="AG32" s="82">
        <f>'Suivi Carburant'!$B$5</f>
        <v>514.54</v>
      </c>
    </row>
    <row r="33" spans="31:33" x14ac:dyDescent="0.25">
      <c r="AE33" s="82">
        <v>31</v>
      </c>
      <c r="AF33" s="82" t="e">
        <f t="shared" ref="AF33:AF54" si="1">IFERROR(VLOOKUP(AE33,$O$2:$P$32,2,FALSE),NA())</f>
        <v>#N/A</v>
      </c>
      <c r="AG33" s="82">
        <f>'Suivi Carburant'!$B$5</f>
        <v>514.54</v>
      </c>
    </row>
    <row r="34" spans="31:33" x14ac:dyDescent="0.25">
      <c r="AE34" s="82">
        <v>32</v>
      </c>
      <c r="AF34" s="82" t="e">
        <f t="shared" si="1"/>
        <v>#N/A</v>
      </c>
      <c r="AG34" s="82">
        <f>'Suivi Carburant'!$B$5</f>
        <v>514.54</v>
      </c>
    </row>
    <row r="35" spans="31:33" x14ac:dyDescent="0.25">
      <c r="AE35" s="82">
        <v>33</v>
      </c>
      <c r="AF35" s="82" t="e">
        <f t="shared" si="1"/>
        <v>#N/A</v>
      </c>
      <c r="AG35" s="82">
        <f>'Suivi Carburant'!$B$5</f>
        <v>514.54</v>
      </c>
    </row>
    <row r="36" spans="31:33" x14ac:dyDescent="0.25">
      <c r="AE36" s="82">
        <v>34</v>
      </c>
      <c r="AF36" s="82" t="e">
        <f t="shared" si="1"/>
        <v>#N/A</v>
      </c>
      <c r="AG36" s="82">
        <f>'Suivi Carburant'!$B$5</f>
        <v>514.54</v>
      </c>
    </row>
    <row r="37" spans="31:33" x14ac:dyDescent="0.25">
      <c r="AE37" s="82">
        <v>35</v>
      </c>
      <c r="AF37" s="82" t="e">
        <f t="shared" si="1"/>
        <v>#N/A</v>
      </c>
      <c r="AG37" s="82">
        <f>'Suivi Carburant'!$B$5</f>
        <v>514.54</v>
      </c>
    </row>
    <row r="38" spans="31:33" x14ac:dyDescent="0.25">
      <c r="AE38" s="82">
        <v>36</v>
      </c>
      <c r="AF38" s="82" t="e">
        <f t="shared" si="1"/>
        <v>#N/A</v>
      </c>
      <c r="AG38" s="82">
        <f>'Suivi Carburant'!$B$5</f>
        <v>514.54</v>
      </c>
    </row>
    <row r="39" spans="31:33" x14ac:dyDescent="0.25">
      <c r="AE39" s="82">
        <v>37</v>
      </c>
      <c r="AF39" s="82" t="e">
        <f t="shared" si="1"/>
        <v>#N/A</v>
      </c>
      <c r="AG39" s="82">
        <f>'Suivi Carburant'!$B$5</f>
        <v>514.54</v>
      </c>
    </row>
    <row r="40" spans="31:33" x14ac:dyDescent="0.25">
      <c r="AE40" s="82">
        <v>38</v>
      </c>
      <c r="AF40" s="82" t="e">
        <f t="shared" si="1"/>
        <v>#N/A</v>
      </c>
      <c r="AG40" s="82">
        <f>'Suivi Carburant'!$B$5</f>
        <v>514.54</v>
      </c>
    </row>
    <row r="41" spans="31:33" x14ac:dyDescent="0.25">
      <c r="AE41" s="82">
        <v>39</v>
      </c>
      <c r="AF41" s="82" t="e">
        <f t="shared" si="1"/>
        <v>#N/A</v>
      </c>
      <c r="AG41" s="82">
        <f>'Suivi Carburant'!$B$5</f>
        <v>514.54</v>
      </c>
    </row>
    <row r="42" spans="31:33" x14ac:dyDescent="0.25">
      <c r="AE42" s="82">
        <v>40</v>
      </c>
      <c r="AF42" s="82" t="e">
        <f t="shared" si="1"/>
        <v>#N/A</v>
      </c>
      <c r="AG42" s="82">
        <f>'Suivi Carburant'!$B$5</f>
        <v>514.54</v>
      </c>
    </row>
    <row r="43" spans="31:33" x14ac:dyDescent="0.25">
      <c r="AE43" s="82">
        <v>41</v>
      </c>
      <c r="AF43" s="82" t="e">
        <f t="shared" si="1"/>
        <v>#N/A</v>
      </c>
      <c r="AG43" s="82">
        <f>'Suivi Carburant'!$B$5</f>
        <v>514.54</v>
      </c>
    </row>
    <row r="44" spans="31:33" x14ac:dyDescent="0.25">
      <c r="AE44" s="82">
        <v>42</v>
      </c>
      <c r="AF44" s="82" t="e">
        <f t="shared" si="1"/>
        <v>#N/A</v>
      </c>
      <c r="AG44" s="82">
        <f>'Suivi Carburant'!$B$5</f>
        <v>514.54</v>
      </c>
    </row>
    <row r="45" spans="31:33" x14ac:dyDescent="0.25">
      <c r="AE45" s="82">
        <v>43</v>
      </c>
      <c r="AF45" s="82" t="e">
        <f t="shared" si="1"/>
        <v>#N/A</v>
      </c>
      <c r="AG45" s="82">
        <f>'Suivi Carburant'!$B$5</f>
        <v>514.54</v>
      </c>
    </row>
    <row r="46" spans="31:33" x14ac:dyDescent="0.25">
      <c r="AE46" s="82">
        <v>44</v>
      </c>
      <c r="AF46" s="82" t="e">
        <f t="shared" si="1"/>
        <v>#N/A</v>
      </c>
      <c r="AG46" s="82">
        <f>'Suivi Carburant'!$B$5</f>
        <v>514.54</v>
      </c>
    </row>
    <row r="47" spans="31:33" x14ac:dyDescent="0.25">
      <c r="AE47" s="82">
        <v>45</v>
      </c>
      <c r="AF47" s="82" t="e">
        <f t="shared" si="1"/>
        <v>#N/A</v>
      </c>
      <c r="AG47" s="82">
        <f>'Suivi Carburant'!$B$5</f>
        <v>514.54</v>
      </c>
    </row>
    <row r="48" spans="31:33" x14ac:dyDescent="0.25">
      <c r="AE48" s="82">
        <v>46</v>
      </c>
      <c r="AF48" s="82" t="e">
        <f t="shared" si="1"/>
        <v>#N/A</v>
      </c>
      <c r="AG48" s="82">
        <f>'Suivi Carburant'!$B$5</f>
        <v>514.54</v>
      </c>
    </row>
    <row r="49" spans="31:33" x14ac:dyDescent="0.25">
      <c r="AE49" s="82">
        <v>47</v>
      </c>
      <c r="AF49" s="82" t="e">
        <f t="shared" si="1"/>
        <v>#N/A</v>
      </c>
      <c r="AG49" s="82">
        <f>'Suivi Carburant'!$B$5</f>
        <v>514.54</v>
      </c>
    </row>
    <row r="50" spans="31:33" x14ac:dyDescent="0.25">
      <c r="AE50" s="82">
        <v>48</v>
      </c>
      <c r="AF50" s="82" t="e">
        <f t="shared" si="1"/>
        <v>#N/A</v>
      </c>
      <c r="AG50" s="82">
        <f>'Suivi Carburant'!$B$5</f>
        <v>514.54</v>
      </c>
    </row>
    <row r="51" spans="31:33" x14ac:dyDescent="0.25">
      <c r="AE51" s="82">
        <v>49</v>
      </c>
      <c r="AF51" s="82" t="e">
        <f t="shared" si="1"/>
        <v>#N/A</v>
      </c>
      <c r="AG51" s="82">
        <f>'Suivi Carburant'!$B$5</f>
        <v>514.54</v>
      </c>
    </row>
    <row r="52" spans="31:33" x14ac:dyDescent="0.25">
      <c r="AE52" s="82">
        <v>50</v>
      </c>
      <c r="AF52" s="82" t="e">
        <f t="shared" si="1"/>
        <v>#N/A</v>
      </c>
      <c r="AG52" s="82">
        <f>'Suivi Carburant'!$B$5</f>
        <v>514.54</v>
      </c>
    </row>
    <row r="53" spans="31:33" x14ac:dyDescent="0.25">
      <c r="AE53" s="82">
        <v>51</v>
      </c>
      <c r="AF53" s="82" t="e">
        <f t="shared" si="1"/>
        <v>#N/A</v>
      </c>
      <c r="AG53" s="82">
        <f>'Suivi Carburant'!$B$5</f>
        <v>514.54</v>
      </c>
    </row>
    <row r="54" spans="31:33" x14ac:dyDescent="0.25">
      <c r="AE54" s="82">
        <v>52</v>
      </c>
      <c r="AF54" s="82" t="e">
        <f t="shared" si="1"/>
        <v>#N/A</v>
      </c>
      <c r="AG54" s="82">
        <f>'Suivi Carburant'!$B$5</f>
        <v>514.54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F8" sqref="F8"/>
    </sheetView>
  </sheetViews>
  <sheetFormatPr baseColWidth="10" defaultColWidth="14" defaultRowHeight="15.75" x14ac:dyDescent="0.25"/>
  <cols>
    <col min="1" max="1" width="3.25" style="82" customWidth="1"/>
    <col min="2" max="2" width="19.375" style="82" customWidth="1"/>
    <col min="3" max="3" width="1.125" style="82" customWidth="1"/>
    <col min="4" max="4" width="45.125" style="82" customWidth="1"/>
    <col min="5" max="16384" width="14" style="82"/>
  </cols>
  <sheetData>
    <row r="1" spans="2:4" ht="9.75" customHeight="1" x14ac:dyDescent="0.25"/>
    <row r="2" spans="2:4" x14ac:dyDescent="0.25">
      <c r="B2" s="82" t="s">
        <v>283</v>
      </c>
      <c r="D2" s="82" t="s">
        <v>286</v>
      </c>
    </row>
    <row r="3" spans="2:4" x14ac:dyDescent="0.25">
      <c r="B3" s="82" t="s">
        <v>285</v>
      </c>
    </row>
    <row r="4" spans="2:4" x14ac:dyDescent="0.25">
      <c r="B4" s="82" t="s">
        <v>284</v>
      </c>
    </row>
    <row r="5" spans="2:4" x14ac:dyDescent="0.25">
      <c r="B5" s="82" t="s">
        <v>81</v>
      </c>
    </row>
    <row r="6" spans="2:4" x14ac:dyDescent="0.25">
      <c r="B6" s="82" t="s">
        <v>100</v>
      </c>
    </row>
    <row r="19" spans="4:4" x14ac:dyDescent="0.25">
      <c r="D19" s="82" t="s">
        <v>341</v>
      </c>
    </row>
    <row r="20" spans="4:4" x14ac:dyDescent="0.25">
      <c r="D20" s="82" t="s">
        <v>364</v>
      </c>
    </row>
    <row r="21" spans="4:4" x14ac:dyDescent="0.25">
      <c r="D21" s="82" t="s">
        <v>289</v>
      </c>
    </row>
    <row r="22" spans="4:4" x14ac:dyDescent="0.25">
      <c r="D22" s="82" t="s">
        <v>354</v>
      </c>
    </row>
    <row r="23" spans="4:4" x14ac:dyDescent="0.25">
      <c r="D23" s="82" t="s">
        <v>311</v>
      </c>
    </row>
    <row r="24" spans="4:4" x14ac:dyDescent="0.25">
      <c r="D24" s="82" t="s">
        <v>365</v>
      </c>
    </row>
    <row r="25" spans="4:4" x14ac:dyDescent="0.25">
      <c r="D25" s="82" t="s">
        <v>288</v>
      </c>
    </row>
    <row r="26" spans="4:4" x14ac:dyDescent="0.25">
      <c r="D26" s="82" t="s">
        <v>312</v>
      </c>
    </row>
    <row r="27" spans="4:4" x14ac:dyDescent="0.25">
      <c r="D27" s="82" t="s">
        <v>287</v>
      </c>
    </row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2026-05-25T01:15:27Z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