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8AAA1E3F-503A-4DAF-8F02-82D8C87495AC}" xr6:coauthVersionLast="47" xr6:coauthVersionMax="47" xr10:uidLastSave="{00000000-0000-0000-0000-000000000000}"/>
  <bookViews>
    <workbookView xWindow="-120" yWindow="-120" windowWidth="24240" windowHeight="13020" firstSheet="1" activeTab="2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<sst xmlns="http://schemas.openxmlformats.org/spreadsheetml/2006/main" count="491" uniqueCount="380">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</sst>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  <numFmt numFmtId="181" formatCode="0.00&quot; L/100km&quot;"/>
    <numFmt numFmtId="182" formatCode="0&quot; €&quot;"/>
    <numFmt numFmtId="183" formatCode="0&quot; € cumules&quot;"/>
    <numFmt numFmtId="184" formatCode="0.000&quot; €/L&quot;"/>
    <numFmt numFmtId="185" formatCode="dd/mm/yyyy\ hh:mm"/>
    <numFmt numFmtId="186" formatCode="0&quot; L&quot;"/>
  </numFmts>
  <fonts count="28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2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6" fillId="0" borderId="0" xfId="0" applyFont="1" applyBorder="1" applyAlignment="1">
      <alignment horizontal="left" vertical="center"/>
    </xf>
    <xf numFmtId="181" fontId="27" fillId="0" borderId="0" xfId="0" applyNumberFormat="1" applyFont="1" applyBorder="1" applyAlignment="1">
      <alignment horizontal="right" vertical="center"/>
    </xf>
    <xf numFmtId="0" fontId="26" fillId="0" borderId="11" xfId="0" applyFont="1" applyBorder="1" applyAlignment="1">
      <alignment horizontal="left" vertical="center"/>
    </xf>
    <xf numFmtId="174" fontId="27" fillId="0" borderId="11" xfId="0" applyNumberFormat="1" applyFont="1" applyBorder="1" applyAlignment="1">
      <alignment horizontal="right" vertical="center"/>
    </xf>
    <xf numFmtId="182" fontId="27" fillId="0" borderId="11" xfId="0" applyNumberFormat="1" applyFont="1" applyBorder="1" applyAlignment="1">
      <alignment horizontal="right" vertical="center"/>
    </xf>
    <xf numFmtId="1" fontId="27" fillId="0" borderId="11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9" fontId="27" fillId="0" borderId="11" xfId="0" applyNumberFormat="1" applyFont="1" applyBorder="1" applyAlignment="1">
      <alignment horizontal="right" vertical="center"/>
    </xf>
    <xf numFmtId="183" fontId="27" fillId="0" borderId="11" xfId="0" applyNumberFormat="1" applyFont="1" applyBorder="1" applyAlignment="1">
      <alignment horizontal="right" vertical="center"/>
    </xf>
    <xf numFmtId="184" fontId="27" fillId="0" borderId="11" xfId="0" applyNumberFormat="1" applyFont="1" applyBorder="1" applyAlignment="1">
      <alignment horizontal="right" vertical="center"/>
    </xf>
    <xf numFmtId="185" fontId="27" fillId="0" borderId="11" xfId="0" applyNumberFormat="1" applyFont="1" applyBorder="1" applyAlignment="1">
      <alignment horizontal="right" vertical="center"/>
    </xf>
    <xf numFmtId="186" fontId="27" fillId="0" borderId="11" xfId="0" applyNumberFormat="1" applyFont="1" applyBorder="1" applyAlignment="1">
      <alignment horizontal="right" vertical="center"/>
    </xf>
    <xf numFmtId="175" fontId="27" fillId="0" borderId="10" xfId="0" applyNumberFormat="1" applyFont="1" applyBorder="1" applyAlignment="1">
      <alignment horizontal="right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11" tableType="queryTable" totalsRowShown="0" headerRowDxfId="45" dataDxfId="44">
  <autoFilter ref="A1:O11" xr:uid="{74CBBEF5-DAC6-4FFF-B9BF-F912C02B05A8}"/>
  <sortState xmlns:xlrd2="http://schemas.microsoft.com/office/spreadsheetml/2017/richdata2" ref="A2:O11">
    <sortCondition ref="A1:A11"/>
  </sortState>
  <tableColumns count="15">
    <tableColumn id="1" xr3:uid="{D1245828-BB9F-457F-9D89-03E146E97A20}" uniqueName="1" name="Horodatage" queryTableFieldId="1" dataDxfId="5"/>
    <tableColumn id="2" xr3:uid="{6AFDA1AD-8B7E-4056-B820-4B105507BC22}" uniqueName="2" name="Date" queryTableFieldId="2" dataDxfId="3"/>
    <tableColumn id="3" xr3:uid="{0E3159AD-DEC3-4CB0-8263-673EE4364DE4}" uniqueName="3" name="Type" queryTableFieldId="3" dataDxfId="4"/>
    <tableColumn id="4" xr3:uid="{9CA1100B-4402-4A99-881C-A70EA8E0EBA0}" uniqueName="4" name="Km" queryTableFieldId="4" dataDxfId="43"/>
    <tableColumn id="5" xr3:uid="{3DC79D37-A57D-45A6-B68B-28F91AE90D1B}" uniqueName="5" name="Litres" queryTableFieldId="5" dataDxfId="42"/>
    <tableColumn id="6" xr3:uid="{E20F9B47-933F-4695-AC5B-7BFCB43AA70B}" uniqueName="6" name="PrixL" queryTableFieldId="6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67A477-B02D-42F2-9670-642DCE65F766}" name="DonneesExternes_1" displayName="DonneesExternes_1" ref="A1:Y11" totalsRowShown="0">
  <autoFilter ref="A1:Y11" xr:uid="{3167A477-B02D-42F2-9670-642DCE65F766}"/>
  <tableColumns count="25">
    <tableColumn id="1" xr3:uid="{79B2F727-1090-4434-B6A7-0F780B4B4F7B}" name="Horodatage" dataDxfId="1"/>
    <tableColumn id="2" xr3:uid="{5EA5ABEB-D578-45C2-A904-4A61D0A4AD51}" name="Date" dataDxfId="0"/>
    <tableColumn id="3" xr3:uid="{41833D15-2B6E-4C80-B3C4-03EF6D87F6E3}" name="Type"/>
    <tableColumn id="4" xr3:uid="{460C5F2C-A6B1-4355-9041-7BF9304C182F}" name="Km compteur"/>
    <tableColumn id="5" xr3:uid="{C07F1FF5-F40F-4D7C-BEF5-872938D62B9F}" name="Nb. Litres"/>
    <tableColumn id="6" xr3:uid="{3CF2CF5F-7E71-4910-B286-13DA4C9B4D7F}" name="Prix €/L"/>
    <tableColumn id="7" xr3:uid="{2B00554C-FB04-4DC7-A165-EE997332EA77}" name="Station essence"/>
    <tableColumn id="8" xr3:uid="{57EAB45B-B3B0-4F9B-BAAD-BF919CE946CD}" name="Véhicule"/>
    <tableColumn id="9" xr3:uid="{E27E9CA9-AD9B-4659-BB3B-1429CD98723F}" name="E85 station (€/L)"/>
    <tableColumn id="10" xr3:uid="{397F9C18-741A-43C1-AE88-0337A1D117CD}" name="SP98 station (€/L)"/>
    <tableColumn id="11" xr3:uid="{D597CA26-CF99-427D-9BEE-BD87AF963AE9}" name="SP95 station (€/L)"/>
    <tableColumn id="12" xr3:uid="{B526FDBB-B908-405D-93B4-48EE8A7E9C0F}" name="E10 station (€/L)"/>
    <tableColumn id="13" xr3:uid="{95174652-5C1E-4E92-85FF-A044E38F0620}" name="Gazole station (€/L)"/>
    <tableColumn id="14" xr3:uid="{9DF82B5C-27A6-48FD-896A-F847C845C7F0}" name="GPLc station (€/L)"/>
    <tableColumn id="15" xr3:uid="{83693EC2-80A5-4C67-A465-E3664319E76D}" name="sync_id"/>
    <tableColumn id="16" xr3:uid="{ADA4E274-BFEB-4A09-B81A-0264E23EA337}" name="Colonne1"/>
    <tableColumn id="17" xr3:uid="{08C0590E-0835-4213-88E1-6833D7832782}" name="Colonne2"/>
    <tableColumn id="18" xr3:uid="{4A5BD5B9-0924-46B1-AEF4-3E07D67B174F}" name="Colonne3"/>
    <tableColumn id="19" xr3:uid="{5C7D7875-881C-4824-B1A0-A626F4375F67}" name="Colonne4"/>
    <tableColumn id="20" xr3:uid="{1CE6BB30-25EB-4E7B-912D-91651519D495}" name="Colonne5"/>
    <tableColumn id="21" xr3:uid="{387C099F-30EF-4C6D-B34B-AFF673D03D9B}" name="Colonne6"/>
    <tableColumn id="22" xr3:uid="{23FB6DCF-703E-4552-8A2F-63B3BFD92E72}" name="Colonne7"/>
    <tableColumn id="23" xr3:uid="{90F00E21-5892-4F5F-A917-3E9B1640213B}" name="Colonne8"/>
    <tableColumn id="24" xr3:uid="{438B2463-F3C3-4459-8A63-A24E8115BDA4}" name="Colonne9"/>
    <tableColumn id="25" xr3:uid="{BA31DE7D-5BE2-40A8-885D-B3FF8AC90B24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1" dataDxfId="29" headerRowBorderDxfId="30" tableBorderDxfId="28" totalsRowBorderDxfId="27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6">
      <calculatedColumnFormula>IF(B16="","",A15+1)</calculatedColumnFormula>
    </tableColumn>
    <tableColumn id="2" xr3:uid="{D9E9EBFF-BC9D-4E59-9822-91D7DEC1E7CE}" name="Date" dataDxfId="25"/>
    <tableColumn id="11" xr3:uid="{A77486BA-32D8-4661-BA23-1144AE2FD0EC}" name="Type" dataDxfId="24"/>
    <tableColumn id="3" xr3:uid="{6C87F133-7224-4AAB-ACB2-666E8B7315B5}" name="Km compteur" dataDxfId="23"/>
    <tableColumn id="15" xr3:uid="{E9E70181-907F-4D1A-BD9D-156B992A2880}" name="Nb. km" dataDxfId="22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1"/>
    <tableColumn id="5" xr3:uid="{A61BA34E-E60B-4F70-A1D9-62090C37C449}" name="Prix €/L" dataDxfId="20"/>
    <tableColumn id="13" xr3:uid="{C796B9E8-7AC6-4345-B44F-194876D2515D}" name="Coût c€/km" dataDxfId="19">
      <calculatedColumnFormula>IF(OR(D16="",D15="",I16="",ISTEXT(D15)),"",F16/(D16-D15)*100)</calculatedColumnFormula>
    </tableColumn>
    <tableColumn id="6" xr3:uid="{7A10B093-08A0-4955-A678-47B342940366}" name="Coût Plein (€)" dataDxfId="18">
      <calculatedColumnFormula>IF(F16="","",F16*G16)</calculatedColumnFormula>
    </tableColumn>
    <tableColumn id="7" xr3:uid="{0D4F331E-E5DE-4D78-8EE4-6B964BF0DB88}" name="Conso. (L/100km)" dataDxfId="17">
      <calculatedColumnFormula>IF(OR(D16="",D15="",F16="",ISTEXT(D15)),"",F16/(D16-D15)*100)</calculatedColumnFormula>
    </tableColumn>
    <tableColumn id="8" xr3:uid="{8C4BCB7E-42BC-494E-A304-19A9848326C2}" name="Prix S98 jour (€/L)" dataDxfId="16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5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4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3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1" dataDxfId="10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8" dataDxfId="7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activeCell="B7" sqref="B7"/>
    </sheetView>
  </sheetViews>
  <sheetFormatPr baseColWidth="10" defaultRowHeight="15.75" x14ac:dyDescent="0.25"/>
  <cols>
    <col min="1" max="1" width="42.625" style="3" customWidth="1"/>
    <col min="2" max="2" width="24.625" style="3" customWidth="1"/>
    <col min="3" max="16384" width="11" style="3"/>
  </cols>
  <sheetData>
    <row r="1" spans="1:2" ht="38.1" customHeight="1" x14ac:dyDescent="0.25">
      <c r="A1" s="112" t="s">
        <v>366</v>
      </c>
      <c r="B1" s="122"/>
    </row>
    <row r="2" spans="1:2" x14ac:dyDescent="0.25">
      <c r="A2" s="113" t="s">
        <v>367</v>
      </c>
      <c r="B2" s="122"/>
    </row>
    <row r="3" spans="1:2" ht="3.75" customHeight="1" x14ac:dyDescent="0.25"/>
    <row r="4" spans="1:2" ht="26.1" customHeight="1" x14ac:dyDescent="0.25">
      <c r="A4" s="114" t="s">
        <v>368</v>
      </c>
      <c r="B4" s="114" t="s">
        <v>369</v>
      </c>
    </row>
    <row r="5" spans="1:2" ht="26.1" customHeight="1" x14ac:dyDescent="0.25">
      <c r="A5" s="115" t="s">
        <v>370</v>
      </c>
      <c r="B5" s="116">
        <f>IFERROR(SUM(GS_Pleins[Litres])/(MAX(GS_Pleins[Km])-MIN(GS_Pleins[Km]))*100,0)</f>
        <v>6.7999009410599314</v>
      </c>
    </row>
    <row r="6" spans="1:2" ht="26.1" customHeight="1" x14ac:dyDescent="0.25">
      <c r="A6" s="117" t="s">
        <v>371</v>
      </c>
      <c r="B6" s="118">
        <f>IFERROR(SUMPRODUCT(GS_Pleins[Litres],GS_Pleins[PrixL])/(MAX(GS_Pleins[Km])-MIN(GS_Pleins[Km])),0)</f>
        <v>7.6973561168895491E-2</v>
      </c>
    </row>
    <row r="7" spans="1:2" ht="26.1" customHeight="1" x14ac:dyDescent="0.25">
      <c r="A7" s="117" t="s">
        <v>372</v>
      </c>
      <c r="B7" s="119">
        <f ca="1">SUMPRODUCT((YEAR(GS_Pleins[Date])=YEAR(TODAY()))*GS_Pleins[Litres]*GS_Pleins[PrixL])</f>
        <v>155.40961999999999</v>
      </c>
    </row>
    <row r="8" spans="1:2" ht="26.1" customHeight="1" x14ac:dyDescent="0.25">
      <c r="A8" s="117" t="s">
        <v>373</v>
      </c>
      <c r="B8" s="120">
        <f ca="1">SUMPRODUCT((YEAR(GS_Pleins[Date])=YEAR(TODAY()))*1)</f>
        <v>10</v>
      </c>
    </row>
    <row r="9" spans="1:2" ht="26.1" customHeight="1" x14ac:dyDescent="0.25">
      <c r="A9" s="117" t="s">
        <v>374</v>
      </c>
      <c r="B9" s="123">
        <f>IFERROR(COUNTIF(GS_Pleins[Type],"*E85*")/COUNTA(GS_Pleins[Type]),0)</f>
        <v>0.7</v>
      </c>
    </row>
    <row r="10" spans="1:2" ht="26.1" customHeight="1" x14ac:dyDescent="0.25">
      <c r="A10" s="117" t="s">
        <v>375</v>
      </c>
      <c r="B10" s="124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25">
      <c r="A11" s="117" t="s">
        <v>376</v>
      </c>
      <c r="B11" s="125">
        <f ca="1">IFERROR(AVERAGEIFS(GS_Pleins[PrixL],GS_Pleins[Type],"*E85*",GS_Pleins[Date],"&gt;="&amp;TODAY()-30),0)</f>
        <v>0.78014285714285714</v>
      </c>
    </row>
    <row r="12" spans="1:2" ht="26.1" customHeight="1" x14ac:dyDescent="0.25">
      <c r="A12" s="117" t="s">
        <v>377</v>
      </c>
      <c r="B12" s="126">
        <f>IFERROR(MAX(GS_Pleins[Horodatage]),"")</f>
        <v>46164.921076388891</v>
      </c>
    </row>
    <row r="13" spans="1:2" ht="26.1" customHeight="1" x14ac:dyDescent="0.25">
      <c r="A13" s="117" t="s">
        <v>378</v>
      </c>
      <c r="B13" s="127">
        <f>SUM(GS_Pleins[Litres])</f>
        <v>137.29000000000002</v>
      </c>
    </row>
    <row r="14" spans="1:2" ht="26.1" customHeight="1" x14ac:dyDescent="0.25">
      <c r="A14" s="121" t="s">
        <v>379</v>
      </c>
      <c r="B14" s="128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11"/>
  <sheetViews>
    <sheetView tabSelected="1" zoomScale="70" zoomScaleNormal="70" workbookViewId="0">
      <selection activeCell="N32" sqref="N32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</row>
    <row r="2" spans="1:15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</row>
    <row r="3" spans="1:15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</row>
    <row r="4" spans="1:15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</row>
    <row r="5" spans="1:15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</row>
    <row r="6" spans="1:15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</row>
    <row r="7" spans="1:15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</row>
    <row r="8" spans="1:15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</row>
    <row r="9" spans="1:15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</row>
    <row r="10" spans="1:15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</row>
    <row r="11" spans="1:15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2026-05-25T06:16:18Z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