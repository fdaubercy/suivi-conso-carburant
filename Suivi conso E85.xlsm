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66D614F1-11AD-42C7-A33B-599775DC70ED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<sst xmlns="http://schemas.openxmlformats.org/spreadsheetml/2006/main" count="415" uniqueCount="359">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</sst>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5">
    <dxf>
      <numFmt numFmtId="27" formatCode="dd/mm/yyyy\ hh:mm"/>
    </dxf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6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4" tableType="queryTable" totalsRowShown="0" headerRowDxfId="44" dataDxfId="43">
  <autoFilter ref="A1:O4" xr:uid="{74CBBEF5-DAC6-4FFF-B9BF-F912C02B05A8}"/>
  <tableColumns count="15">
    <tableColumn id="1" xr3:uid="{D1245828-BB9F-457F-9D89-03E146E97A20}" uniqueName="1" name="Horodatage" queryTableFieldId="1" dataDxfId="42"/>
    <tableColumn id="2" xr3:uid="{6AFDA1AD-8B7E-4056-B820-4B105507BC22}" uniqueName="2" name="Date" queryTableFieldId="2" dataDxfId="41"/>
    <tableColumn id="3" xr3:uid="{0E3159AD-DEC3-4CB0-8263-673EE4364DE4}" uniqueName="3" name="Type" queryTableFieldId="3" dataDxfId="40"/>
    <tableColumn id="4" xr3:uid="{9CA1100B-4402-4A99-881C-A70EA8E0EBA0}" uniqueName="4" name="Km" queryTableFieldId="4" dataDxfId="39"/>
    <tableColumn id="5" xr3:uid="{3DC79D37-A57D-45A6-B68B-28F91AE90D1B}" uniqueName="5" name="Litres" queryTableFieldId="5" dataDxfId="38"/>
    <tableColumn id="6" xr3:uid="{E20F9B47-933F-4695-AC5B-7BFCB43AA70B}" uniqueName="6" name="PrixL" queryTableFieldId="6" dataDxfId="37"/>
    <tableColumn id="7" xr3:uid="{55FB565F-6DB2-4A5B-A401-A402FE60DCE5}" uniqueName="7" name="PrixS98" queryTableFieldId="7" dataDxfId="36"/>
    <tableColumn id="8" xr3:uid="{1810D7F1-75C0-4692-B633-9344880F4391}" uniqueName="8" name="Station essence" queryTableFieldId="8" dataDxfId="35"/>
    <tableColumn id="9" xr3:uid="{B958E2B1-5DEB-4CEF-B30E-3537BD55A8E8}" uniqueName="9" name="Vehicule" queryTableFieldId="9" dataDxfId="34"/>
    <tableColumn id="10" xr3:uid="{7955E5A1-C834-43AD-B7C1-739EA1C9FB0B}" uniqueName="10" name="E85 station" queryTableFieldId="10" dataDxfId="33"/>
    <tableColumn id="11" xr3:uid="{168A26EB-A626-4924-B067-7D0EE30B248F}" uniqueName="11" name="SP98 station" queryTableFieldId="11" dataDxfId="32"/>
    <tableColumn id="12" xr3:uid="{18AADF40-972E-454B-9FD3-FD2D10CCF4B9}" uniqueName="12" name="SP95 station" queryTableFieldId="12" dataDxfId="31"/>
    <tableColumn id="13" xr3:uid="{A1195D38-1809-462B-9D20-AE18F43CBC4B}" uniqueName="13" name="E10 station" queryTableFieldId="13" dataDxfId="30"/>
    <tableColumn id="14" xr3:uid="{9F059A0B-5171-4FB9-8BF4-0CBD57021E52}" uniqueName="14" name="Gazole station" queryTableFieldId="14" dataDxfId="29"/>
    <tableColumn id="15" xr3:uid="{BE30AC6F-80E2-4B6C-B72A-506C9FC60853}" uniqueName="15" name="GPLc station" queryTableFieldId="15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2432A9-FD7F-4CF4-B222-1F94BBBBB606}" name="DonneesExternes_1" displayName="DonneesExternes_1" ref="A1:Z2" totalsRowShown="0">
  <autoFilter ref="A1:Z2" xr:uid="{EA2432A9-FD7F-4CF4-B222-1F94BBBBB606}"/>
  <tableColumns count="26">
    <tableColumn id="1" xr3:uid="{CE3CE5CB-3B7D-4582-8C0F-CF9A54EE628E}" name="Horodatage" dataDxfId="0"/>
    <tableColumn id="2" xr3:uid="{F1A23CD9-06D7-4080-9AED-D10C6E9BA5D5}" name="Date"/>
    <tableColumn id="3" xr3:uid="{65A53C59-F2BC-43A0-8DB6-C2A63C69454B}" name="Type"/>
    <tableColumn id="4" xr3:uid="{6FF53895-23CF-4708-B117-EB20736069DC}" name="Km compteur"/>
    <tableColumn id="5" xr3:uid="{EDF7A475-28A2-4D4B-A2CD-35CCBA012DF9}" name="Nb. Litres"/>
    <tableColumn id="6" xr3:uid="{D724CCA1-01FC-4B11-89F8-D3FB11F23D4B}" name="Prix €/L"/>
    <tableColumn id="7" xr3:uid="{37F8D9DA-641B-4F6C-A8EC-09A46D02A93C}" name="Prix S98 jour (€/L)"/>
    <tableColumn id="8" xr3:uid="{891E5CBD-A964-4DE1-BFDE-09E34EACABA8}" name="Station essence"/>
    <tableColumn id="9" xr3:uid="{96B76C1B-2ABA-4CA1-ADD7-5F1158FA6333}" name="Véhicule"/>
    <tableColumn id="10" xr3:uid="{C9B0E01B-4990-417F-AD1E-5BD3D1CFC6C8}" name="E85 station (€/L)"/>
    <tableColumn id="11" xr3:uid="{F786CB32-D990-4D00-BB4B-7098D28DA19E}" name="SP98 station (€/L)"/>
    <tableColumn id="12" xr3:uid="{DEEA26C0-AC08-4075-B91F-AEC727E36C83}" name="SP95 station (€/L)"/>
    <tableColumn id="13" xr3:uid="{D446E9A0-71E8-4ADC-BFB7-434A12EAD339}" name="E10 station (€/L)"/>
    <tableColumn id="14" xr3:uid="{0D3F0127-A5A2-4F0C-BFC5-B0BC36976A35}" name="Gazole station (€/L)"/>
    <tableColumn id="15" xr3:uid="{C482B5F6-C057-4AD6-9AE6-EDAEC410F1D2}" name="GPLc station (€/L)"/>
    <tableColumn id="16" xr3:uid="{C51E9EF4-5932-488B-8C91-ABC1ACDAA0DC}" name="Colonne1"/>
    <tableColumn id="17" xr3:uid="{D50BC068-E1A8-4135-889A-74C68579E5C1}" name="Colonne2"/>
    <tableColumn id="18" xr3:uid="{873CA293-D299-44C2-8356-83D275C47591}" name="Colonne3"/>
    <tableColumn id="19" xr3:uid="{74F4A98D-0034-4612-B3B4-4C4240D59613}" name="Colonne4"/>
    <tableColumn id="20" xr3:uid="{90C9BA71-026C-4545-AF3E-6D737D6C273D}" name="Colonne5"/>
    <tableColumn id="21" xr3:uid="{2337A9F7-B54D-44B5-96A2-5218A691CA78}" name="Colonne6"/>
    <tableColumn id="22" xr3:uid="{1B78F3D3-7BFC-4B1A-892F-28E811D4E9EC}" name="Colonne7"/>
    <tableColumn id="23" xr3:uid="{EE968821-E3F0-4F4C-91FC-4FE334D16668}" name="Colonne8"/>
    <tableColumn id="24" xr3:uid="{762CBAED-A959-4B57-B548-26FE0ED91E80}" name="Colonne9"/>
    <tableColumn id="25" xr3:uid="{BD18F5EE-D7FA-4DF5-AA3E-C2F4992F74CD}" name="Colonne10"/>
    <tableColumn id="26" xr3:uid="{49974968-20C5-4F82-9285-C0D081707793}" name="Colonne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7" dataDxfId="25" headerRowBorderDxfId="26" tableBorderDxfId="24" totalsRowBorderDxfId="23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/>
    <tableColumn id="11" xr3:uid="{A77486BA-32D8-4661-BA23-1144AE2FD0EC}" name="Type" dataDxfId="20"/>
    <tableColumn id="3" xr3:uid="{6C87F133-7224-4AAB-ACB2-666E8B7315B5}" name="Km compteur" dataDxfId="19"/>
    <tableColumn id="15" xr3:uid="{E9E70181-907F-4D1A-BD9D-156B992A2880}" name="Nb. km" dataDxfId="18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7"/>
    <tableColumn id="5" xr3:uid="{A61BA34E-E60B-4F70-A1D9-62090C37C449}" name="Prix €/L" dataDxfId="16"/>
    <tableColumn id="13" xr3:uid="{C796B9E8-7AC6-4345-B44F-194876D2515D}" name="Coût c€/km" dataDxfId="15">
      <calculatedColumnFormula>IF(OR(D16="",D15="",I16="",ISTEXT(D15)),"",F16/(D16-D15)*100)</calculatedColumnFormula>
    </tableColumn>
    <tableColumn id="6" xr3:uid="{7A10B093-08A0-4955-A678-47B342940366}" name="Coût Plein (€)" dataDxfId="14">
      <calculatedColumnFormula>IF(F16="","",F16*G16)</calculatedColumnFormula>
    </tableColumn>
    <tableColumn id="7" xr3:uid="{0D4F331E-E5DE-4D78-8EE4-6B964BF0DB88}" name="Conso. (L/100km)" dataDxfId="13">
      <calculatedColumnFormula>IF(OR(D16="",D15="",F16="",ISTEXT(D15)),"",F16/(D16-D15)*100)</calculatedColumnFormula>
    </tableColumn>
    <tableColumn id="8" xr3:uid="{8C4BCB7E-42BC-494E-A304-19A9848326C2}" name="Prix S98 jour (€/L)" dataDxfId="12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7" dataDxfId="6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4" dataDxfId="3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4"/>
  <sheetViews>
    <sheetView tabSelected="1" zoomScale="70" zoomScaleNormal="70" workbookViewId="0">
      <selection activeCell="C13" sqref="C13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384" width="11" style="101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</row>
    <row r="2" spans="1:15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</row>
    <row r="3" spans="1:15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</row>
    <row r="4" spans="1:15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348</v>
      </c>
      <c r="Q1" t="s">
        <v>349</v>
      </c>
      <c r="R1" t="s">
        <v>350</v>
      </c>
      <c r="S1" t="s">
        <v>351</v>
      </c>
      <c r="T1" t="s">
        <v>352</v>
      </c>
      <c r="U1" t="s">
        <v>353</v>
      </c>
      <c r="V1" t="s">
        <v>354</v>
      </c>
      <c r="W1" t="s">
        <v>355</v>
      </c>
      <c r="X1" t="s">
        <v>356</v>
      </c>
      <c r="Y1" t="s">
        <v>357</v>
      </c>
      <c r="Z1" t="s">
        <v>358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2026-05-24T18:34:44Z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