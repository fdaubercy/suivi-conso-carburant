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esktop\"/>
    </mc:Choice>
  </mc:AlternateContent>
  <xr:revisionPtr revIDLastSave="0" documentId="13_ncr:1_{3F0663B6-1403-450E-9A8B-1028629B4C7F}" xr6:coauthVersionLast="47" xr6:coauthVersionMax="47" xr10:uidLastSave="{00000000-0000-0000-0000-000000000000}"/>
  <bookViews>
    <workbookView xWindow="-120" yWindow="-120" windowWidth="24240" windowHeight="13020" firstSheet="2" activeTab="2" xr2:uid="{51658058-8315-A640-B733-1DFC39D6EEC8}"/>
  </bookViews>
  <sheets>
    <sheet name="Claude Log" sheetId="3" state="hidden" r:id="rId1"/>
    <sheet name="_ImportGS" sheetId="5" state="hidden" r:id="rId2"/>
    <sheet name="Suivi Carburant" sheetId="2" r:id="rId3"/>
    <sheet name="Prix par Station" sheetId="7" r:id="rId4"/>
    <sheet name="Graphiques" sheetId="4" r:id="rId5"/>
    <sheet name="Notes" sheetId="6" state="hidden" r:id="rId6"/>
  </sheets>
  <externalReferences>
    <externalReference r:id="rId7"/>
  </externalReferenc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7" l="1"/>
  <c r="E17" i="7"/>
  <c r="F17" i="7"/>
  <c r="G17" i="7"/>
  <c r="H17" i="7"/>
  <c r="C17" i="7"/>
  <c r="I7" i="7"/>
  <c r="I8" i="7"/>
  <c r="I9" i="7"/>
  <c r="I10" i="7"/>
  <c r="I11" i="7"/>
  <c r="I12" i="7"/>
  <c r="I13" i="7"/>
  <c r="I14" i="7"/>
  <c r="I15" i="7"/>
  <c r="I16" i="7"/>
  <c r="I6" i="7"/>
  <c r="D7" i="7"/>
  <c r="E7" i="7"/>
  <c r="F7" i="7"/>
  <c r="G7" i="7"/>
  <c r="H7" i="7"/>
  <c r="D8" i="7"/>
  <c r="E8" i="7"/>
  <c r="F8" i="7"/>
  <c r="G8" i="7"/>
  <c r="H8" i="7"/>
  <c r="D9" i="7"/>
  <c r="E9" i="7"/>
  <c r="F9" i="7"/>
  <c r="G9" i="7"/>
  <c r="H9" i="7"/>
  <c r="D10" i="7"/>
  <c r="E10" i="7"/>
  <c r="F10" i="7"/>
  <c r="G10" i="7"/>
  <c r="H10" i="7"/>
  <c r="D11" i="7"/>
  <c r="E11" i="7"/>
  <c r="F11" i="7"/>
  <c r="G11" i="7"/>
  <c r="H11" i="7"/>
  <c r="D12" i="7"/>
  <c r="E12" i="7"/>
  <c r="F12" i="7"/>
  <c r="G12" i="7"/>
  <c r="H12" i="7"/>
  <c r="D13" i="7"/>
  <c r="E13" i="7"/>
  <c r="F13" i="7"/>
  <c r="G13" i="7"/>
  <c r="H13" i="7"/>
  <c r="D14" i="7"/>
  <c r="E14" i="7"/>
  <c r="F14" i="7"/>
  <c r="G14" i="7"/>
  <c r="H14" i="7"/>
  <c r="D15" i="7"/>
  <c r="E15" i="7"/>
  <c r="F15" i="7"/>
  <c r="G15" i="7"/>
  <c r="H15" i="7"/>
  <c r="D16" i="7"/>
  <c r="E16" i="7"/>
  <c r="F16" i="7"/>
  <c r="G16" i="7"/>
  <c r="H16" i="7"/>
  <c r="E6" i="7"/>
  <c r="F6" i="7"/>
  <c r="G6" i="7"/>
  <c r="H6" i="7"/>
  <c r="D6" i="7"/>
  <c r="C7" i="7"/>
  <c r="C8" i="7"/>
  <c r="C9" i="7"/>
  <c r="C10" i="7"/>
  <c r="C11" i="7"/>
  <c r="C12" i="7"/>
  <c r="C13" i="7"/>
  <c r="C14" i="7"/>
  <c r="C15" i="7"/>
  <c r="C16" i="7"/>
  <c r="C6" i="7"/>
  <c r="B29" i="2" l="1"/>
  <c r="B33" i="2"/>
  <c r="B28" i="2"/>
  <c r="B30" i="2"/>
  <c r="A25" i="2"/>
  <c r="E25" i="2"/>
  <c r="I25" i="2"/>
  <c r="H25" i="2" s="1"/>
  <c r="J25" i="2"/>
  <c r="L25" i="2"/>
  <c r="M25" i="2" s="1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B36" i="2" s="1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5" i="2" l="1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9" i="2" s="1"/>
  <c r="L17" i="2"/>
  <c r="B7" i="2" a="1"/>
  <c r="B7" i="2" s="1"/>
  <c r="L23" i="2" l="1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AC2" i="4"/>
  <c r="Y9" i="4"/>
  <c r="X9" i="4"/>
  <c r="Y4" i="4"/>
  <c r="X4" i="4"/>
  <c r="H19" i="2"/>
  <c r="N19" i="2"/>
  <c r="M19" i="2"/>
  <c r="Y2" i="4"/>
  <c r="X2" i="4"/>
  <c r="M23" i="2"/>
  <c r="M20" i="2"/>
  <c r="M21" i="2"/>
  <c r="J28" i="2" l="1"/>
  <c r="U13" i="4" s="1"/>
  <c r="T13" i="4"/>
  <c r="Y5" i="4"/>
  <c r="X5" i="4"/>
  <c r="N20" i="2"/>
  <c r="N21" i="2" s="1"/>
  <c r="N22" i="2" s="1"/>
  <c r="N23" i="2" s="1"/>
  <c r="N24" i="2" s="1"/>
  <c r="N25" i="2" s="1"/>
  <c r="J29" i="2"/>
  <c r="P28" i="4" l="1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O3" i="4"/>
  <c r="Q3" i="4" s="1"/>
  <c r="O17" i="4"/>
  <c r="Q17" i="4" s="1"/>
  <c r="O32" i="4"/>
  <c r="Q32" i="4" s="1"/>
  <c r="O16" i="4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9" i="4"/>
  <c r="Q22" i="4"/>
  <c r="Q11" i="4"/>
  <c r="Q5" i="4"/>
  <c r="Q16" i="4"/>
  <c r="Q18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<sst xmlns="http://schemas.openxmlformats.org/spreadsheetml/2006/main" count="383" uniqueCount="331">
  <si>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</si>
  <si>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</si>
  <si>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</si>
  <si>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</si>
  <si>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</si>
  <si>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</si>
  <si>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</si>
  <si>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</si>
  <si>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</si>
  <si>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</si>
  <si>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</si>
  <si>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</si>
  <si>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</si>
  <si>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</si>
  <si>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</si>
  <si>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</si>
  <si>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</si>
  <si>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</si>
  <si>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</si>
  <si>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</si>
  <si>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</si>
  <si>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</si>
  <si>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</si>
  <si>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</si>
  <si>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</si>
  <si>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</si>
  <si>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</si>
  <si>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</si>
  <si>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</si>
  <si>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</si>
  <si>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</si>
  <si>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</si>
  <si>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</si>
  <si>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</si>
  <si>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</si>
  <si>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</si>
  <si>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</si>
  <si>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</si>
  <si>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</si>
  <si>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</si>
  <si>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</si>
  <si>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</si>
  <si>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</si>
  <si>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</si>
  <si>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</si>
  <si>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</si>
  <si>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</si>
  <si>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</si>
  <si>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</si>
  <si>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</si>
  <si>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</si>
  <si>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</si>
  <si>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</si>
  <si>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</si>
  <si>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</si>
  <si>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</si>
  <si>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</si>
  <si>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</si>
  <si>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</si>
  <si>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</si>
  <si>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</si>
  <si>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</si>
  <si>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</si>
  <si>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</si>
  <si>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</si>
  <si>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</si>
  <si>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</si>
  <si>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</si>
  <si>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</si>
  <si>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</si>
  <si>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</si>
  <si>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</si>
  <si>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</si>
  <si>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</si>
  <si>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</si>
  <si>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</si>
  <si>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</si>
  <si>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</si>
  <si>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</si>
  <si>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</si>
  <si>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</si>
  <si>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</si>
  <si>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</si>
  <si>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</si>
  <si>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</si>
  <si>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</si>
  <si>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</si>
  <si>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</si>
  <si>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</si>
  <si>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</si>
  <si>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</si>
  <si>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</si>
  <si>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</si>
  <si>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</si>
  <si>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</si>
  <si>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</si>
  <si>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</si>
  <si>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</si>
  <si>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</si>
  <si>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</si>
  <si>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</si>
  <si>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</si>
  <si>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</si>
  <si>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</si>
  <si>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</si>
  <si>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</si>
  <si>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</si>
  <si>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</si>
  <si>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</si>
  <si>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</si>
  <si>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</si>
  <si>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</si>
  <si>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</si>
  <si>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</si>
  <si>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</si>
  <si>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</si>
  <si>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</si>
  <si>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</si>
  <si>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</si>
  <si>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</si>
  <si>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</si>
  <si>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</si>
  <si>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</si>
  <si>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</si>
  <si>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</si>
  <si>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</si>
  <si>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</si>
  <si>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</si>
  <si>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</si>
  <si>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</si>
  <si>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</si>
  <si>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</si>
  <si>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</si>
  <si>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</si>
  <si>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</si>
  <si>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</si>
  <si>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</si>
  <si>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</si>
  <si>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</si>
  <si>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</si>
  <si>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</si>
  <si>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</si>
  <si>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</si>
  <si>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</si>
  <si>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</si>
  <si>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</si>
  <si>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</si>
  <si>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</si>
  <si>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</si>
  <si>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</si>
  <si>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</si>
  <si>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</si>
  <si>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</si>
  <si>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</si>
  <si>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</si>
  <si>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</si>
  <si>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</si>
  <si>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</si>
  <si>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</si>
  <si>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</si>
  <si>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</si>
  <si>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</si>
  <si>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</si>
  <si>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</si>
  <si>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</si>
  <si>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</si>
  <si>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</si>
  <si>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</si>
  <si>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</si>
  <si>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</si>
  <si>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</si>
  <si>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</si>
  <si>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</si>
  <si>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</si>
  <si>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</si>
  <si>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</si>
  <si>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</si>
  <si>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</si>
  <si>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</si>
  <si>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</si>
  <si>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</si>
  <si>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</si>
  <si>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</si>
  <si>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</si>
  <si>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</si>
  <si>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</si>
  <si>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</si>
  <si>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</si>
  <si>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</si>
  <si>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</si>
  <si>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</si>
  <si>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</si>
  <si>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</si>
  <si>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</si>
  <si>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</si>
  <si>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</si>
  <si>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</si>
  <si>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</si>
  <si>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</si>
  <si>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</si>
  <si>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</si>
  <si>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</si>
  <si>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</si>
  <si>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</si>
  <si>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</si>
  <si>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</si>
  <si>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</si>
  <si>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</si>
  <si>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</si>
  <si>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</si>
  <si>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</si>
  <si>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</si>
  <si>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</si>
  <si>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</si>
  <si>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</si>
  <si>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</si>
  <si>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</si>
  <si>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</si>
  <si>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</si>
  <si>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</si>
  <si>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</si>
  <si>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</si>
  <si>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</si>
  <si>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</si>
  <si>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</si>
  <si>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</si>
  <si>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</si>
  <si>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</si>
  <si>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</si>
  <si>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</si>
  <si>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</si>
  <si>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</si>
  <si>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</si>
  <si>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</si>
  <si>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</si>
  <si>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</si>
  <si>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</si>
  <si>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</si>
  <si>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</si>
  <si>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</si>
  <si>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</si>
  <si>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</si>
  <si>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</si>
  <si>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</si>
  <si>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</si>
  <si>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</si>
  <si>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</si>
  <si>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</si>
  <si>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</si>
  <si>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</si>
  <si>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</si>
  <si>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</si>
  <si>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</si>
  <si>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</si>
  <si>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</si>
  <si>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</si>
  <si>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</si>
  <si>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</si>
  <si>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</si>
  <si>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</si>
  <si>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</si>
  <si>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</si>
  <si>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</si>
  <si>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</si>
  <si>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</si>
  <si>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</si>
  <si>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</si>
  <si>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</si>
  <si>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</si>
  <si>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</si>
  <si>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</si>
  <si>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</si>
  <si>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</si>
  <si>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</si>
  <si>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</si>
  <si>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</si>
  <si>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</si>
  <si>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</si>
  <si>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</si>
  <si>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</si>
  <si>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</si>
  <si>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</si>
  <si>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</si>
  <si>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</si>
  <si>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</si>
  <si>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</si>
  <si>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</si>
  <si>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</si>
  <si>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</si>
  <si>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</si>
  <si>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</si>
  <si>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</si>
  <si>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</si>
  <si>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</si>
  <si>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</si>
  <si>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</si>
  <si>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</si>
  <si>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</si>
  <si>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</si>
  <si>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</si>
  <si>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</si>
  <si>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</si>
  <si>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</si>
  <si>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</si>
  <si>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</si>
  <si>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</si>
  <si>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</si>
  <si>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</si>
  <si>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</si>
  <si>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</si>
  <si>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</si>
  <si>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</si>
  <si>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</si>
  <si>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</si>
  <si>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</si>
  <si>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</si>
  <si>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</si>
  <si>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</si>
  <si>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</si>
  <si>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</si>
  <si>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</si>
  <si>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⛽  PRIX MOYENS PAR STATION ET PAR CARBURANT</t>
  </si>
  <si>
    <t>Moyennes calculées à partir des prix relevés par le formulaire web lors de chaque plein  ·  Source : _ImportGS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</si>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</sst>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08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0" borderId="0" xfId="3"/>
    <xf numFmtId="0" fontId="18" fillId="14" borderId="0" xfId="3" applyFont="1" applyFill="1" applyAlignment="1">
      <alignment horizontal="center" vertical="center"/>
    </xf>
    <xf numFmtId="0" fontId="19" fillId="16" borderId="8" xfId="3" applyFont="1" applyFill="1" applyBorder="1" applyAlignment="1">
      <alignment horizontal="left" vertical="center" wrapText="1" indent="1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3">
    <dxf>
      <font>
        <color rgb="FF9C5700"/>
      </font>
      <fill>
        <patternFill patternType="solid">
          <fgColor indexed="64"/>
          <bgColor rgb="FFFFE69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6DDE6C-0FFB-4262-98C7-B2DBE2ED5B5E}" name="DonneesExternes" displayName="DonneesExternes" ref="A1:N6" totalsRowShown="0" headerRowDxfId="16" dataDxfId="15">
  <autoFilter ref="A1:N6" xr:uid="{486DDE6C-0FFB-4262-98C7-B2DBE2ED5B5E}"/>
  <tableColumns count="14">
    <tableColumn id="1" xr3:uid="{DF429002-86EC-4D41-8E20-843F1E11432C}" name="Horodatage" dataDxfId="14"/>
    <tableColumn id="2" xr3:uid="{954FCA0C-5D25-4519-A77F-B47B494EEFEE}" name="Date" dataDxfId="13"/>
    <tableColumn id="3" xr3:uid="{BC40CEA1-B393-4C33-B1B1-0024EDD4D18C}" name="Type" dataDxfId="12"/>
    <tableColumn id="4" xr3:uid="{B1CE602B-FFEB-4B42-92CD-EF4ED0F5C461}" name="Km compteur" dataDxfId="11"/>
    <tableColumn id="5" xr3:uid="{F054B9F8-AFA7-4D59-9C76-56AA7015AE8C}" name="Nb. Litres" dataDxfId="10"/>
    <tableColumn id="6" xr3:uid="{E4A01B24-300C-4E17-8643-5CC585DC8FF7}" name="Prix €/L" dataDxfId="9"/>
    <tableColumn id="7" xr3:uid="{FD846526-1748-48FF-AB8A-8C7FB3E765D0}" name="Prix S98 jour (€/L)" dataDxfId="8"/>
    <tableColumn id="8" xr3:uid="{4547B9BE-B6AB-493A-A22C-52625938CB87}" name="Station essence" dataDxfId="7"/>
    <tableColumn id="9" xr3:uid="{669C1814-5A04-4306-976B-4DFB05E7605F}" name="E85 station (€/L)" dataDxfId="6"/>
    <tableColumn id="10" xr3:uid="{607007AC-642A-4AF1-9C22-73CFACCFF80B}" name="SP98 station (€/L)" dataDxfId="5"/>
    <tableColumn id="11" xr3:uid="{EBCEF071-33DB-4364-8AB3-753B83878D4A}" name="SP95 station (€/L)" dataDxfId="4"/>
    <tableColumn id="12" xr3:uid="{7E449399-F4C9-415D-A66F-0EDFA482B649}" name="E10 station (€/L)" dataDxfId="3"/>
    <tableColumn id="13" xr3:uid="{539AE01D-5E98-4B60-8224-D85894EC680B}" name="Gazole station (€/L)" dataDxfId="2"/>
    <tableColumn id="14" xr3:uid="{7887DCC2-1E13-4FD4-83E2-E17A8F14CD92}" name="GPLc station (€/L)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17" dataDxfId="41" headerRowBorderDxfId="42" tableBorderDxfId="40" totalsRowBorderDxfId="39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38">
      <calculatedColumnFormula>IF(B16="","",A15+1)</calculatedColumnFormula>
    </tableColumn>
    <tableColumn id="2" xr3:uid="{D9E9EBFF-BC9D-4E59-9822-91D7DEC1E7CE}" name="Date" dataDxfId="37"/>
    <tableColumn id="11" xr3:uid="{A77486BA-32D8-4661-BA23-1144AE2FD0EC}" name="Type" dataDxfId="36"/>
    <tableColumn id="3" xr3:uid="{6C87F133-7224-4AAB-ACB2-666E8B7315B5}" name="Km compteur" dataDxfId="35"/>
    <tableColumn id="15" xr3:uid="{E9E70181-907F-4D1A-BD9D-156B992A2880}" name="Nb. km" dataDxfId="3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3"/>
    <tableColumn id="5" xr3:uid="{A61BA34E-E60B-4F70-A1D9-62090C37C449}" name="Prix €/L" dataDxfId="32"/>
    <tableColumn id="13" xr3:uid="{C796B9E8-7AC6-4345-B44F-194876D2515D}" name="Coût c€/km" dataDxfId="31">
      <calculatedColumnFormula>IF(OR(D16="",D15="",I16="",ISTEXT(D15)),"",F16/(D16-D15)*100)</calculatedColumnFormula>
    </tableColumn>
    <tableColumn id="6" xr3:uid="{7A10B093-08A0-4955-A678-47B342940366}" name="Coût Plein (€)" dataDxfId="30">
      <calculatedColumnFormula>IF(F16="","",F16*G16)</calculatedColumnFormula>
    </tableColumn>
    <tableColumn id="7" xr3:uid="{0D4F331E-E5DE-4D78-8EE4-6B964BF0DB88}" name="Conso. (L/100km)" dataDxfId="29">
      <calculatedColumnFormula>IF(OR(D16="",D15="",F16="",ISTEXT(D15)),"",F16/(D16-D15)*100)</calculatedColumnFormula>
    </tableColumn>
    <tableColumn id="8" xr3:uid="{8C4BCB7E-42BC-494E-A304-19A9848326C2}" name="Prix S98 jour (€/L)" dataDxfId="2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2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3" dataDxfId="2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4" totalsRowShown="0" headerRowDxfId="20" dataDxfId="19">
  <autoFilter ref="D2:D24" xr:uid="{25AB3DD4-00E3-4CC0-B281-01FA80424A7F}"/>
  <sortState xmlns:xlrd2="http://schemas.microsoft.com/office/spreadsheetml/2017/richdata2" ref="D3:D10">
    <sortCondition ref="D2:D24"/>
  </sortState>
  <tableColumns count="1">
    <tableColumn id="1" xr3:uid="{15E89797-5AED-42ED-A3B9-120C7515903D}" name="Station essence utilisée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FEAB8-33DB-4DFF-94D9-17C750774C57}">
  <sheetPr codeName="Feuil4"/>
  <dimension ref="A1:N6"/>
  <sheetViews>
    <sheetView zoomScale="70" zoomScaleNormal="70" workbookViewId="0">
      <selection activeCell="H29" sqref="H29"/>
    </sheetView>
  </sheetViews>
  <sheetFormatPr baseColWidth="10" defaultRowHeight="15.75" x14ac:dyDescent="0.25"/>
  <cols>
    <col min="1" max="1" width="18.5" style="82" customWidth="1"/>
    <col min="2" max="2" width="17" style="82" customWidth="1"/>
    <col min="3" max="3" width="23.625" style="82" customWidth="1"/>
    <col min="4" max="4" width="23" style="82" bestFit="1" customWidth="1"/>
    <col min="5" max="5" width="17.125" style="82" customWidth="1"/>
    <col min="6" max="6" width="21.75" style="82" customWidth="1"/>
    <col min="7" max="7" width="23.625" style="82" customWidth="1"/>
    <col min="8" max="8" width="45.375" style="82" customWidth="1"/>
    <col min="9" max="9" width="18.875" style="82" bestFit="1" customWidth="1"/>
    <col min="10" max="11" width="20.125" style="82" bestFit="1" customWidth="1"/>
    <col min="12" max="12" width="18.875" style="82" bestFit="1" customWidth="1"/>
    <col min="13" max="13" width="21.625" style="82" bestFit="1" customWidth="1"/>
    <col min="14" max="14" width="20.125" style="82" bestFit="1" customWidth="1"/>
    <col min="15" max="23" width="11.375" style="82" bestFit="1" customWidth="1"/>
    <col min="24" max="24" width="24.25" style="82" bestFit="1" customWidth="1"/>
    <col min="25" max="27" width="13.375" style="82" bestFit="1" customWidth="1"/>
    <col min="28" max="28" width="11.375" style="82" bestFit="1" customWidth="1"/>
    <col min="29" max="29" width="81" style="82" bestFit="1" customWidth="1"/>
    <col min="30" max="30" width="26.875" style="82" bestFit="1" customWidth="1"/>
    <col min="31" max="32" width="11.375" style="82" bestFit="1" customWidth="1"/>
    <col min="33" max="33" width="12.125" style="82" bestFit="1" customWidth="1"/>
    <col min="34" max="34" width="20.25" style="82" bestFit="1" customWidth="1"/>
    <col min="35" max="36" width="11.375" style="82" bestFit="1" customWidth="1"/>
    <col min="37" max="37" width="27" style="82" bestFit="1" customWidth="1"/>
    <col min="38" max="55" width="11.375" style="82" bestFit="1" customWidth="1"/>
    <col min="56" max="56" width="28.125" style="82" bestFit="1" customWidth="1"/>
    <col min="57" max="59" width="13.375" style="82" bestFit="1" customWidth="1"/>
    <col min="60" max="60" width="11.375" style="82" bestFit="1" customWidth="1"/>
    <col min="61" max="61" width="81" style="82" bestFit="1" customWidth="1"/>
    <col min="62" max="62" width="27" style="82" bestFit="1" customWidth="1"/>
    <col min="63" max="65" width="11.375" style="82" bestFit="1" customWidth="1"/>
    <col min="66" max="66" width="25.375" style="82" bestFit="1" customWidth="1"/>
    <col min="67" max="70" width="11.375" style="82" bestFit="1" customWidth="1"/>
    <col min="71" max="71" width="23.75" style="82" bestFit="1" customWidth="1"/>
    <col min="72" max="75" width="11.375" style="82" bestFit="1" customWidth="1"/>
    <col min="76" max="76" width="29.375" style="82" bestFit="1" customWidth="1"/>
    <col min="77" max="80" width="11.375" style="82" bestFit="1" customWidth="1"/>
    <col min="81" max="81" width="23.875" style="82" bestFit="1" customWidth="1"/>
    <col min="82" max="85" width="11.375" style="82" bestFit="1" customWidth="1"/>
    <col min="86" max="86" width="12.5" style="82" bestFit="1" customWidth="1"/>
    <col min="87" max="98" width="11.375" style="82" bestFit="1" customWidth="1"/>
    <col min="99" max="106" width="12.375" style="82" bestFit="1" customWidth="1"/>
    <col min="107" max="107" width="28.25" style="82" bestFit="1" customWidth="1"/>
    <col min="108" max="110" width="14.375" style="82" bestFit="1" customWidth="1"/>
    <col min="111" max="111" width="12.375" style="82" bestFit="1" customWidth="1"/>
    <col min="112" max="112" width="81" style="82" bestFit="1" customWidth="1"/>
    <col min="113" max="113" width="25.25" style="82" bestFit="1" customWidth="1"/>
    <col min="114" max="114" width="44.25" style="82" bestFit="1" customWidth="1"/>
    <col min="115" max="121" width="12.375" style="82" bestFit="1" customWidth="1"/>
    <col min="122" max="122" width="20.125" style="82" bestFit="1" customWidth="1"/>
    <col min="123" max="123" width="38.125" style="82" bestFit="1" customWidth="1"/>
    <col min="124" max="136" width="12.375" style="82" bestFit="1" customWidth="1"/>
    <col min="137" max="137" width="25.875" style="82" bestFit="1" customWidth="1"/>
    <col min="138" max="138" width="12.375" style="82" bestFit="1" customWidth="1"/>
    <col min="139" max="139" width="45.5" style="82" bestFit="1" customWidth="1"/>
    <col min="140" max="142" width="14.375" style="82" bestFit="1" customWidth="1"/>
    <col min="143" max="143" width="12.375" style="82" bestFit="1" customWidth="1"/>
    <col min="144" max="144" width="81" style="82" bestFit="1" customWidth="1"/>
    <col min="145" max="145" width="25.625" style="82" bestFit="1" customWidth="1"/>
    <col min="146" max="146" width="16.875" style="82" bestFit="1" customWidth="1"/>
    <col min="147" max="154" width="12.375" style="82" bestFit="1" customWidth="1"/>
    <col min="155" max="155" width="14.625" style="82" bestFit="1" customWidth="1"/>
    <col min="156" max="156" width="15" style="82" bestFit="1" customWidth="1"/>
    <col min="157" max="157" width="25.375" style="82" bestFit="1" customWidth="1"/>
    <col min="158" max="158" width="17.25" style="82" bestFit="1" customWidth="1"/>
    <col min="159" max="171" width="12.375" style="82" bestFit="1" customWidth="1"/>
    <col min="172" max="172" width="26.375" style="82" bestFit="1" customWidth="1"/>
    <col min="173" max="173" width="12.375" style="82" bestFit="1" customWidth="1"/>
    <col min="174" max="174" width="16.875" style="82" bestFit="1" customWidth="1"/>
    <col min="175" max="175" width="12.375" style="82" bestFit="1" customWidth="1"/>
    <col min="176" max="178" width="14.375" style="82" bestFit="1" customWidth="1"/>
    <col min="179" max="179" width="12.375" style="82" bestFit="1" customWidth="1"/>
    <col min="180" max="181" width="81" style="82" bestFit="1" customWidth="1"/>
    <col min="182" max="182" width="30.25" style="82" bestFit="1" customWidth="1"/>
    <col min="183" max="183" width="15.75" style="82" bestFit="1" customWidth="1"/>
    <col min="184" max="184" width="15.5" style="82" bestFit="1" customWidth="1"/>
    <col min="185" max="185" width="20.125" style="82" bestFit="1" customWidth="1"/>
    <col min="186" max="192" width="12.375" style="82" bestFit="1" customWidth="1"/>
    <col min="193" max="193" width="14.625" style="82" bestFit="1" customWidth="1"/>
    <col min="194" max="194" width="15" style="82" bestFit="1" customWidth="1"/>
    <col min="195" max="195" width="25.375" style="82" bestFit="1" customWidth="1"/>
    <col min="196" max="196" width="17.25" style="82" bestFit="1" customWidth="1"/>
    <col min="197" max="209" width="12.375" style="82" bestFit="1" customWidth="1"/>
    <col min="210" max="210" width="30.875" style="82" bestFit="1" customWidth="1"/>
    <col min="211" max="211" width="12.375" style="82" bestFit="1" customWidth="1"/>
    <col min="212" max="212" width="15.75" style="82" bestFit="1" customWidth="1"/>
    <col min="213" max="213" width="15.5" style="82" bestFit="1" customWidth="1"/>
    <col min="214" max="214" width="21.5" style="82" bestFit="1" customWidth="1"/>
    <col min="215" max="217" width="14.375" style="82" bestFit="1" customWidth="1"/>
    <col min="218" max="218" width="12.375" style="82" bestFit="1" customWidth="1"/>
    <col min="219" max="219" width="81" style="82" bestFit="1" customWidth="1"/>
    <col min="220" max="220" width="15.5" style="82" bestFit="1" customWidth="1"/>
    <col min="221" max="221" width="81" style="82" bestFit="1" customWidth="1"/>
    <col min="222" max="222" width="14.25" style="82" bestFit="1" customWidth="1"/>
    <col min="223" max="223" width="14.875" style="82" bestFit="1" customWidth="1"/>
    <col min="224" max="224" width="14.625" style="82" bestFit="1" customWidth="1"/>
    <col min="225" max="225" width="81" style="82" bestFit="1" customWidth="1"/>
    <col min="226" max="226" width="12.375" style="82" bestFit="1" customWidth="1"/>
    <col min="227" max="229" width="81" style="82" bestFit="1" customWidth="1"/>
    <col min="230" max="248" width="12.375" style="82" bestFit="1" customWidth="1"/>
    <col min="249" max="249" width="13" style="82" bestFit="1" customWidth="1"/>
    <col min="250" max="250" width="12.375" style="82" bestFit="1" customWidth="1"/>
    <col min="251" max="251" width="15.5" style="82" bestFit="1" customWidth="1"/>
    <col min="252" max="257" width="12.375" style="82" bestFit="1" customWidth="1"/>
    <col min="258" max="258" width="17.25" style="82" bestFit="1" customWidth="1"/>
    <col min="259" max="268" width="12.375" style="82" bestFit="1" customWidth="1"/>
    <col min="269" max="269" width="16.875" style="82" bestFit="1" customWidth="1"/>
    <col min="270" max="270" width="12.375" style="82" bestFit="1" customWidth="1"/>
    <col min="271" max="271" width="15.625" style="82" bestFit="1" customWidth="1"/>
    <col min="272" max="274" width="12.375" style="82" bestFit="1" customWidth="1"/>
    <col min="275" max="275" width="15.625" style="82" bestFit="1" customWidth="1"/>
    <col min="276" max="279" width="12.375" style="82" bestFit="1" customWidth="1"/>
    <col min="280" max="280" width="14" style="82" bestFit="1" customWidth="1"/>
    <col min="281" max="284" width="12.375" style="82" bestFit="1" customWidth="1"/>
    <col min="285" max="285" width="19.625" style="82" bestFit="1" customWidth="1"/>
    <col min="286" max="289" width="12.375" style="82" bestFit="1" customWidth="1"/>
    <col min="290" max="290" width="14.125" style="82" bestFit="1" customWidth="1"/>
    <col min="291" max="313" width="12.375" style="82" bestFit="1" customWidth="1"/>
    <col min="314" max="314" width="17" style="82" bestFit="1" customWidth="1"/>
    <col min="315" max="315" width="12.375" style="82" bestFit="1" customWidth="1"/>
    <col min="316" max="316" width="14" style="82" bestFit="1" customWidth="1"/>
    <col min="317" max="317" width="33" style="82" bestFit="1" customWidth="1"/>
    <col min="318" max="325" width="12.375" style="82" bestFit="1" customWidth="1"/>
    <col min="326" max="326" width="28.125" style="82" bestFit="1" customWidth="1"/>
    <col min="327" max="333" width="12.375" style="82" bestFit="1" customWidth="1"/>
    <col min="334" max="334" width="14.625" style="82" bestFit="1" customWidth="1"/>
    <col min="335" max="335" width="12.375" style="82" bestFit="1" customWidth="1"/>
    <col min="336" max="336" width="34.25" style="82" bestFit="1" customWidth="1"/>
    <col min="337" max="337" width="12.375" style="82" bestFit="1" customWidth="1"/>
    <col min="338" max="338" width="14.375" style="82" bestFit="1" customWidth="1"/>
    <col min="339" max="339" width="13.75" style="82" bestFit="1" customWidth="1"/>
    <col min="340" max="348" width="12.375" style="82" bestFit="1" customWidth="1"/>
    <col min="349" max="349" width="32.625" style="82" bestFit="1" customWidth="1"/>
    <col min="350" max="356" width="12.375" style="82" bestFit="1" customWidth="1"/>
    <col min="357" max="357" width="15" style="82" bestFit="1" customWidth="1"/>
    <col min="358" max="358" width="12.375" style="82" bestFit="1" customWidth="1"/>
    <col min="359" max="359" width="15" style="82" bestFit="1" customWidth="1"/>
    <col min="360" max="360" width="12.375" style="82" bestFit="1" customWidth="1"/>
    <col min="361" max="361" width="19" style="82" bestFit="1" customWidth="1"/>
    <col min="362" max="362" width="40.125" style="82" bestFit="1" customWidth="1"/>
    <col min="363" max="371" width="12.375" style="82" bestFit="1" customWidth="1"/>
    <col min="372" max="372" width="32.625" style="82" bestFit="1" customWidth="1"/>
    <col min="373" max="379" width="12.375" style="82" bestFit="1" customWidth="1"/>
    <col min="380" max="380" width="19.625" style="82" bestFit="1" customWidth="1"/>
    <col min="381" max="381" width="12.375" style="82" bestFit="1" customWidth="1"/>
    <col min="382" max="382" width="41.375" style="82" bestFit="1" customWidth="1"/>
    <col min="383" max="383" width="12.375" style="82" bestFit="1" customWidth="1"/>
    <col min="384" max="384" width="24.125" style="82" bestFit="1" customWidth="1"/>
    <col min="385" max="385" width="48.25" style="82" bestFit="1" customWidth="1"/>
    <col min="386" max="394" width="12.375" style="82" bestFit="1" customWidth="1"/>
    <col min="395" max="395" width="24.75" style="82" bestFit="1" customWidth="1"/>
    <col min="396" max="396" width="12.375" style="82" bestFit="1" customWidth="1"/>
    <col min="397" max="397" width="58.5" style="82" bestFit="1" customWidth="1"/>
    <col min="398" max="398" width="12.375" style="82" bestFit="1" customWidth="1"/>
    <col min="399" max="399" width="33" style="82" bestFit="1" customWidth="1"/>
    <col min="400" max="400" width="51.625" style="82" bestFit="1" customWidth="1"/>
    <col min="401" max="409" width="12.375" style="82" bestFit="1" customWidth="1"/>
    <col min="410" max="410" width="32.625" style="82" bestFit="1" customWidth="1"/>
    <col min="411" max="417" width="12.375" style="82" bestFit="1" customWidth="1"/>
    <col min="418" max="418" width="33.625" style="82" bestFit="1" customWidth="1"/>
    <col min="419" max="419" width="12.375" style="82" bestFit="1" customWidth="1"/>
    <col min="420" max="420" width="53.625" style="82" bestFit="1" customWidth="1"/>
    <col min="421" max="421" width="18.375" style="82" bestFit="1" customWidth="1"/>
    <col min="422" max="451" width="12.375" style="82" bestFit="1" customWidth="1"/>
    <col min="452" max="452" width="81" style="82" bestFit="1" customWidth="1"/>
    <col min="453" max="453" width="12.375" style="82" bestFit="1" customWidth="1"/>
    <col min="454" max="454" width="26" style="82" bestFit="1" customWidth="1"/>
    <col min="455" max="464" width="12.375" style="82" bestFit="1" customWidth="1"/>
    <col min="465" max="465" width="59.375" style="82" bestFit="1" customWidth="1"/>
    <col min="466" max="469" width="12.375" style="82" bestFit="1" customWidth="1"/>
    <col min="470" max="470" width="81" style="82" bestFit="1" customWidth="1"/>
    <col min="471" max="998" width="12.375" style="82" bestFit="1" customWidth="1"/>
    <col min="999" max="4783" width="13.375" style="82" bestFit="1" customWidth="1"/>
    <col min="4784" max="4833" width="13.375" style="82" customWidth="1"/>
    <col min="4834" max="4841" width="13.375" style="82" bestFit="1" customWidth="1"/>
    <col min="4842" max="16384" width="11" style="82"/>
  </cols>
  <sheetData>
    <row r="1" spans="1:14" x14ac:dyDescent="0.25">
      <c r="A1" s="82" t="s">
        <v>310</v>
      </c>
      <c r="B1" s="82" t="s">
        <v>1</v>
      </c>
      <c r="C1" s="82" t="s">
        <v>55</v>
      </c>
      <c r="D1" s="82" t="s">
        <v>12</v>
      </c>
      <c r="E1" s="82" t="s">
        <v>56</v>
      </c>
      <c r="F1" s="82" t="s">
        <v>57</v>
      </c>
      <c r="G1" s="82" t="s">
        <v>135</v>
      </c>
      <c r="H1" s="82" t="s">
        <v>282</v>
      </c>
      <c r="I1" s="82" t="s">
        <v>315</v>
      </c>
      <c r="J1" s="82" t="s">
        <v>316</v>
      </c>
      <c r="K1" s="82" t="s">
        <v>317</v>
      </c>
      <c r="L1" s="82" t="s">
        <v>318</v>
      </c>
      <c r="M1" s="82" t="s">
        <v>319</v>
      </c>
      <c r="N1" s="82" t="s">
        <v>320</v>
      </c>
    </row>
    <row r="2" spans="1:14" x14ac:dyDescent="0.25">
      <c r="A2" s="105">
        <v>46164.251331018517</v>
      </c>
      <c r="B2" s="82" t="s">
        <v>311</v>
      </c>
      <c r="C2" s="82" t="s">
        <v>100</v>
      </c>
      <c r="D2" s="82">
        <v>15000</v>
      </c>
      <c r="E2" s="82">
        <v>22</v>
      </c>
      <c r="F2" s="82">
        <v>0.6</v>
      </c>
      <c r="H2" s="82" t="s">
        <v>312</v>
      </c>
    </row>
    <row r="3" spans="1:14" x14ac:dyDescent="0.25">
      <c r="A3" s="105">
        <v>46164.261678240742</v>
      </c>
      <c r="B3" s="82" t="s">
        <v>311</v>
      </c>
      <c r="C3" s="82" t="s">
        <v>100</v>
      </c>
      <c r="D3" s="82">
        <v>15000</v>
      </c>
      <c r="E3" s="82">
        <v>15</v>
      </c>
      <c r="F3" s="82">
        <v>0.6</v>
      </c>
      <c r="G3" s="82">
        <v>2.0910000000000002</v>
      </c>
      <c r="H3" s="82" t="s">
        <v>313</v>
      </c>
      <c r="J3" s="82">
        <v>2.0910000000000002</v>
      </c>
    </row>
    <row r="4" spans="1:14" x14ac:dyDescent="0.25">
      <c r="A4" s="105">
        <v>46164.806400462963</v>
      </c>
      <c r="B4" s="82" t="s">
        <v>311</v>
      </c>
      <c r="C4" s="82" t="s">
        <v>100</v>
      </c>
      <c r="D4" s="82">
        <v>11831</v>
      </c>
      <c r="E4" s="82">
        <v>15</v>
      </c>
      <c r="F4" s="82">
        <v>0.79800000000000004</v>
      </c>
      <c r="G4" s="82">
        <v>2.117</v>
      </c>
      <c r="H4" s="82" t="s">
        <v>314</v>
      </c>
      <c r="I4" s="82">
        <v>0.79800000000000004</v>
      </c>
      <c r="J4" s="82">
        <v>2.117</v>
      </c>
    </row>
    <row r="5" spans="1:14" x14ac:dyDescent="0.25">
      <c r="A5" s="105">
        <v>46164.820196759261</v>
      </c>
      <c r="B5" s="82" t="s">
        <v>311</v>
      </c>
      <c r="C5" s="82" t="s">
        <v>100</v>
      </c>
      <c r="D5" s="82">
        <v>11831</v>
      </c>
      <c r="E5" s="82">
        <v>16.25</v>
      </c>
      <c r="F5" s="82">
        <v>0.79800000000000004</v>
      </c>
      <c r="G5" s="82">
        <v>2.117</v>
      </c>
      <c r="H5" s="82" t="s">
        <v>314</v>
      </c>
      <c r="I5" s="82">
        <v>0.79800000000000004</v>
      </c>
      <c r="J5" s="82">
        <v>2.117</v>
      </c>
    </row>
    <row r="6" spans="1:14" x14ac:dyDescent="0.25">
      <c r="A6" s="105">
        <v>46164.837743055556</v>
      </c>
      <c r="B6" s="82" t="s">
        <v>311</v>
      </c>
      <c r="C6" s="82" t="s">
        <v>100</v>
      </c>
      <c r="D6" s="82">
        <v>11831</v>
      </c>
      <c r="E6" s="82">
        <v>16.25</v>
      </c>
      <c r="F6" s="82">
        <v>0.79800000000000004</v>
      </c>
      <c r="G6" s="82">
        <v>2.117</v>
      </c>
      <c r="H6" s="82" t="s">
        <v>314</v>
      </c>
      <c r="I6" s="82">
        <v>0.79800000000000004</v>
      </c>
      <c r="J6" s="82">
        <v>2.117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N8" sqref="N8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97" t="s">
        <v>72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Z1" s="78">
        <v>46164.837743055556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96" t="s">
        <v>107</v>
      </c>
      <c r="H10" s="96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101" t="s">
        <v>11</v>
      </c>
      <c r="B15" s="102" t="s">
        <v>1</v>
      </c>
      <c r="C15" s="102" t="s">
        <v>55</v>
      </c>
      <c r="D15" s="102" t="s">
        <v>12</v>
      </c>
      <c r="E15" s="102" t="s">
        <v>196</v>
      </c>
      <c r="F15" s="102" t="s">
        <v>56</v>
      </c>
      <c r="G15" s="102" t="s">
        <v>57</v>
      </c>
      <c r="H15" s="102" t="s">
        <v>99</v>
      </c>
      <c r="I15" s="103" t="s">
        <v>58</v>
      </c>
      <c r="J15" s="103" t="s">
        <v>13</v>
      </c>
      <c r="K15" s="102" t="s">
        <v>135</v>
      </c>
      <c r="L15" s="103" t="s">
        <v>82</v>
      </c>
      <c r="M15" s="104" t="s">
        <v>101</v>
      </c>
      <c r="N15" s="104" t="s">
        <v>14</v>
      </c>
      <c r="O15" s="103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0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topLeftCell="A3" workbookViewId="0">
      <selection activeCell="M15" sqref="M15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99" t="s">
        <v>321</v>
      </c>
      <c r="C2" s="98"/>
      <c r="D2" s="98"/>
      <c r="E2" s="98"/>
      <c r="F2" s="98"/>
      <c r="G2" s="98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0" t="s">
        <v>322</v>
      </c>
      <c r="C4" s="98"/>
      <c r="D4" s="98"/>
      <c r="E4" s="98"/>
      <c r="F4" s="98"/>
      <c r="G4" s="98"/>
    </row>
    <row r="5" spans="2:9" ht="32.1" customHeight="1" x14ac:dyDescent="0.25">
      <c r="B5" s="86" t="s">
        <v>290</v>
      </c>
      <c r="C5" s="87" t="s">
        <v>323</v>
      </c>
      <c r="D5" s="87" t="s">
        <v>324</v>
      </c>
      <c r="E5" s="87" t="s">
        <v>325</v>
      </c>
      <c r="F5" s="87" t="s">
        <v>326</v>
      </c>
      <c r="G5" s="87" t="s">
        <v>327</v>
      </c>
      <c r="H5" s="87" t="s">
        <v>328</v>
      </c>
      <c r="I5" s="86" t="s">
        <v>329</v>
      </c>
    </row>
    <row r="6" spans="2:9" ht="21.95" customHeight="1" x14ac:dyDescent="0.25">
      <c r="B6" s="89" t="str">
        <f>IF(Notes!$D$3="","",Notes!$D$3)</f>
        <v>Carrefour Flers</v>
      </c>
      <c r="C6" s="90" t="str">
        <f>IFERROR(AVERAGEIF(_ImportGS!$H:$H,$B6,_ImportGS!I:I),"")</f>
        <v/>
      </c>
      <c r="D6" s="90" t="str">
        <f>IFERROR(AVERAGEIF(_ImportGS!$H:$H,$B6,_ImportGS!J:J),"")</f>
        <v/>
      </c>
      <c r="E6" s="90" t="str">
        <f>IFERROR(AVERAGEIF(_ImportGS!$H:$H,$B6,_ImportGS!K:K),"")</f>
        <v/>
      </c>
      <c r="F6" s="90" t="str">
        <f>IFERROR(AVERAGEIF(_ImportGS!$H:$H,$B6,_ImportGS!L:L),"")</f>
        <v/>
      </c>
      <c r="G6" s="90" t="str">
        <f>IFERROR(AVERAGEIF(_ImportGS!$H:$H,$B6,_ImportGS!M:M),"")</f>
        <v/>
      </c>
      <c r="H6" s="90" t="str">
        <f>IFERROR(AVERAGEIF(_ImportGS!$H:$H,$B6,_ImportGS!N:N),"")</f>
        <v/>
      </c>
      <c r="I6" s="91">
        <f>IF(Notes!$D3="","",COUNTIF(DonneesExternes[Station essence],B6))</f>
        <v>0</v>
      </c>
    </row>
    <row r="7" spans="2:9" ht="21.95" customHeight="1" x14ac:dyDescent="0.25">
      <c r="B7" s="88" t="str">
        <f>IF(Notes!$D$4="","",Notes!$D$4)</f>
        <v>Intermarché</v>
      </c>
      <c r="C7" s="90" t="str">
        <f>IFERROR(AVERAGEIF(_ImportGS!$H:$H,$B7,_ImportGS!I:I),"")</f>
        <v/>
      </c>
      <c r="D7" s="90" t="str">
        <f>IFERROR(AVERAGEIF(_ImportGS!$H:$H,$B7,_ImportGS!J:J),"")</f>
        <v/>
      </c>
      <c r="E7" s="90" t="str">
        <f>IFERROR(AVERAGEIF(_ImportGS!$H:$H,$B7,_ImportGS!K:K),"")</f>
        <v/>
      </c>
      <c r="F7" s="90" t="str">
        <f>IFERROR(AVERAGEIF(_ImportGS!$H:$H,$B7,_ImportGS!L:L),"")</f>
        <v/>
      </c>
      <c r="G7" s="90" t="str">
        <f>IFERROR(AVERAGEIF(_ImportGS!$H:$H,$B7,_ImportGS!M:M),"")</f>
        <v/>
      </c>
      <c r="H7" s="90" t="str">
        <f>IFERROR(AVERAGEIF(_ImportGS!$H:$H,$B7,_ImportGS!N:N),"")</f>
        <v/>
      </c>
      <c r="I7" s="91">
        <f>IF(Notes!$D4="","",COUNTIF(DonneesExternes[Station essence],B7))</f>
        <v>1</v>
      </c>
    </row>
    <row r="8" spans="2:9" ht="21.95" customHeight="1" x14ac:dyDescent="0.25">
      <c r="B8" s="89" t="str">
        <f>IF(Notes!$D$5="","",Notes!$D$5)</f>
        <v>Leclerc Douai</v>
      </c>
      <c r="C8" s="90" t="str">
        <f>IFERROR(AVERAGEIF(_ImportGS!$H:$H,$B8,_ImportGS!I:I),"")</f>
        <v/>
      </c>
      <c r="D8" s="90" t="str">
        <f>IFERROR(AVERAGEIF(_ImportGS!$H:$H,$B8,_ImportGS!J:J),"")</f>
        <v/>
      </c>
      <c r="E8" s="90" t="str">
        <f>IFERROR(AVERAGEIF(_ImportGS!$H:$H,$B8,_ImportGS!K:K),"")</f>
        <v/>
      </c>
      <c r="F8" s="90" t="str">
        <f>IFERROR(AVERAGEIF(_ImportGS!$H:$H,$B8,_ImportGS!L:L),"")</f>
        <v/>
      </c>
      <c r="G8" s="90" t="str">
        <f>IFERROR(AVERAGEIF(_ImportGS!$H:$H,$B8,_ImportGS!M:M),"")</f>
        <v/>
      </c>
      <c r="H8" s="90" t="str">
        <f>IFERROR(AVERAGEIF(_ImportGS!$H:$H,$B8,_ImportGS!N:N),"")</f>
        <v/>
      </c>
      <c r="I8" s="91">
        <f>IF(Notes!$D5="","",COUNTIF(DonneesExternes[Station essence],B8))</f>
        <v>0</v>
      </c>
    </row>
    <row r="9" spans="2:9" ht="21.95" customHeight="1" x14ac:dyDescent="0.25">
      <c r="B9" s="88" t="str">
        <f>IF(Notes!$D$6="","",Notes!$D$6)</f>
        <v>Total Access</v>
      </c>
      <c r="C9" s="90" t="str">
        <f>IFERROR(AVERAGEIF(_ImportGS!$H:$H,$B9,_ImportGS!I:I),"")</f>
        <v/>
      </c>
      <c r="D9" s="90">
        <f>IFERROR(AVERAGEIF(_ImportGS!$H:$H,$B9,_ImportGS!J:J),"")</f>
        <v>2.0910000000000002</v>
      </c>
      <c r="E9" s="90" t="str">
        <f>IFERROR(AVERAGEIF(_ImportGS!$H:$H,$B9,_ImportGS!K:K),"")</f>
        <v/>
      </c>
      <c r="F9" s="90" t="str">
        <f>IFERROR(AVERAGEIF(_ImportGS!$H:$H,$B9,_ImportGS!L:L),"")</f>
        <v/>
      </c>
      <c r="G9" s="90" t="str">
        <f>IFERROR(AVERAGEIF(_ImportGS!$H:$H,$B9,_ImportGS!M:M),"")</f>
        <v/>
      </c>
      <c r="H9" s="90" t="str">
        <f>IFERROR(AVERAGEIF(_ImportGS!$H:$H,$B9,_ImportGS!N:N),"")</f>
        <v/>
      </c>
      <c r="I9" s="91">
        <f>IF(Notes!$D6="","",COUNTIF(DonneesExternes[Station essence],B9))</f>
        <v>1</v>
      </c>
    </row>
    <row r="10" spans="2:9" ht="21.95" customHeight="1" x14ac:dyDescent="0.25">
      <c r="B10" s="89" t="str">
        <f>IF(Notes!$D$7="","",Notes!$D$7)</f>
        <v>Total Waziers</v>
      </c>
      <c r="C10" s="90" t="str">
        <f>IFERROR(AVERAGEIF(_ImportGS!$H:$H,$B10,_ImportGS!I:I),"")</f>
        <v/>
      </c>
      <c r="D10" s="90" t="str">
        <f>IFERROR(AVERAGEIF(_ImportGS!$H:$H,$B10,_ImportGS!J:J),"")</f>
        <v/>
      </c>
      <c r="E10" s="90" t="str">
        <f>IFERROR(AVERAGEIF(_ImportGS!$H:$H,$B10,_ImportGS!K:K),"")</f>
        <v/>
      </c>
      <c r="F10" s="90" t="str">
        <f>IFERROR(AVERAGEIF(_ImportGS!$H:$H,$B10,_ImportGS!L:L),"")</f>
        <v/>
      </c>
      <c r="G10" s="90" t="str">
        <f>IFERROR(AVERAGEIF(_ImportGS!$H:$H,$B10,_ImportGS!M:M),"")</f>
        <v/>
      </c>
      <c r="H10" s="90" t="str">
        <f>IFERROR(AVERAGEIF(_ImportGS!$H:$H,$B10,_ImportGS!N:N),"")</f>
        <v/>
      </c>
      <c r="I10" s="91">
        <f>IF(Notes!$D7="","",COUNTIF(DonneesExternes[Station essence],B10))</f>
        <v>0</v>
      </c>
    </row>
    <row r="11" spans="2:9" ht="21.95" customHeight="1" x14ac:dyDescent="0.25">
      <c r="B11" s="88" t="str">
        <f>IF(Notes!$D$8="","",Notes!$D$8)</f>
        <v>ZONE DU MOULIN RUE ARTHUR LAMENDIN — Beuvry</v>
      </c>
      <c r="C11" s="90">
        <f>IFERROR(AVERAGEIF(_ImportGS!$H:$H,$B11,_ImportGS!I:I),"")</f>
        <v>0.79800000000000004</v>
      </c>
      <c r="D11" s="90">
        <f>IFERROR(AVERAGEIF(_ImportGS!$H:$H,$B11,_ImportGS!J:J),"")</f>
        <v>2.117</v>
      </c>
      <c r="E11" s="90" t="str">
        <f>IFERROR(AVERAGEIF(_ImportGS!$H:$H,$B11,_ImportGS!K:K),"")</f>
        <v/>
      </c>
      <c r="F11" s="90" t="str">
        <f>IFERROR(AVERAGEIF(_ImportGS!$H:$H,$B11,_ImportGS!L:L),"")</f>
        <v/>
      </c>
      <c r="G11" s="90" t="str">
        <f>IFERROR(AVERAGEIF(_ImportGS!$H:$H,$B11,_ImportGS!M:M),"")</f>
        <v/>
      </c>
      <c r="H11" s="90" t="str">
        <f>IFERROR(AVERAGEIF(_ImportGS!$H:$H,$B11,_ImportGS!N:N),"")</f>
        <v/>
      </c>
      <c r="I11" s="91">
        <f>IF(Notes!$D8="","",COUNTIF(DonneesExternes[Station essence],B11))</f>
        <v>3</v>
      </c>
    </row>
    <row r="12" spans="2:9" ht="21.95" customHeight="1" x14ac:dyDescent="0.25">
      <c r="B12" s="89" t="str">
        <f>IF(Notes!$D$9="","",Notes!$D$9)</f>
        <v/>
      </c>
      <c r="C12" s="90" t="str">
        <f>IFERROR(AVERAGEIF(_ImportGS!$H:$H,$B12,_ImportGS!I:I),"")</f>
        <v/>
      </c>
      <c r="D12" s="90" t="str">
        <f>IFERROR(AVERAGEIF(_ImportGS!$H:$H,$B12,_ImportGS!J:J),"")</f>
        <v/>
      </c>
      <c r="E12" s="90" t="str">
        <f>IFERROR(AVERAGEIF(_ImportGS!$H:$H,$B12,_ImportGS!K:K),"")</f>
        <v/>
      </c>
      <c r="F12" s="90" t="str">
        <f>IFERROR(AVERAGEIF(_ImportGS!$H:$H,$B12,_ImportGS!L:L),"")</f>
        <v/>
      </c>
      <c r="G12" s="90" t="str">
        <f>IFERROR(AVERAGEIF(_ImportGS!$H:$H,$B12,_ImportGS!M:M),"")</f>
        <v/>
      </c>
      <c r="H12" s="90" t="str">
        <f>IFERROR(AVERAGEIF(_ImportGS!$H:$H,$B12,_ImportGS!N:N),"")</f>
        <v/>
      </c>
      <c r="I12" s="91" t="str">
        <f>IF(Notes!$D9="","",COUNTIF(DonneesExternes[Station essence],B12))</f>
        <v/>
      </c>
    </row>
    <row r="13" spans="2:9" ht="21.95" customHeight="1" x14ac:dyDescent="0.25">
      <c r="B13" s="88" t="str">
        <f>IF(Notes!$D$10="","",Notes!$D$10)</f>
        <v/>
      </c>
      <c r="C13" s="90" t="str">
        <f>IFERROR(AVERAGEIF(_ImportGS!$H:$H,$B13,_ImportGS!I:I),"")</f>
        <v/>
      </c>
      <c r="D13" s="90" t="str">
        <f>IFERROR(AVERAGEIF(_ImportGS!$H:$H,$B13,_ImportGS!J:J),"")</f>
        <v/>
      </c>
      <c r="E13" s="90" t="str">
        <f>IFERROR(AVERAGEIF(_ImportGS!$H:$H,$B13,_ImportGS!K:K),"")</f>
        <v/>
      </c>
      <c r="F13" s="90" t="str">
        <f>IFERROR(AVERAGEIF(_ImportGS!$H:$H,$B13,_ImportGS!L:L),"")</f>
        <v/>
      </c>
      <c r="G13" s="90" t="str">
        <f>IFERROR(AVERAGEIF(_ImportGS!$H:$H,$B13,_ImportGS!M:M),"")</f>
        <v/>
      </c>
      <c r="H13" s="90" t="str">
        <f>IFERROR(AVERAGEIF(_ImportGS!$H:$H,$B13,_ImportGS!N:N),"")</f>
        <v/>
      </c>
      <c r="I13" s="91" t="str">
        <f>IF(Notes!$D10="","",COUNTIF(DonneesExternes[Station essence],B13))</f>
        <v/>
      </c>
    </row>
    <row r="14" spans="2:9" ht="21.95" customHeight="1" x14ac:dyDescent="0.25">
      <c r="B14" s="89" t="str">
        <f>IF(Notes!$D$11="","",Notes!$D$11)</f>
        <v/>
      </c>
      <c r="C14" s="90" t="str">
        <f>IFERROR(AVERAGEIF(_ImportGS!$H:$H,$B14,_ImportGS!I:I),"")</f>
        <v/>
      </c>
      <c r="D14" s="90" t="str">
        <f>IFERROR(AVERAGEIF(_ImportGS!$H:$H,$B14,_ImportGS!J:J),"")</f>
        <v/>
      </c>
      <c r="E14" s="90" t="str">
        <f>IFERROR(AVERAGEIF(_ImportGS!$H:$H,$B14,_ImportGS!K:K),"")</f>
        <v/>
      </c>
      <c r="F14" s="90" t="str">
        <f>IFERROR(AVERAGEIF(_ImportGS!$H:$H,$B14,_ImportGS!L:L),"")</f>
        <v/>
      </c>
      <c r="G14" s="90" t="str">
        <f>IFERROR(AVERAGEIF(_ImportGS!$H:$H,$B14,_ImportGS!M:M),"")</f>
        <v/>
      </c>
      <c r="H14" s="90" t="str">
        <f>IFERROR(AVERAGEIF(_ImportGS!$H:$H,$B14,_ImportGS!N:N),"")</f>
        <v/>
      </c>
      <c r="I14" s="91" t="str">
        <f>IF(Notes!$D11="","",COUNTIF(DonneesExternes[Station essence],B14))</f>
        <v/>
      </c>
    </row>
    <row r="15" spans="2:9" ht="21.95" customHeight="1" x14ac:dyDescent="0.25">
      <c r="B15" s="88" t="str">
        <f>IF(Notes!$D$12="","",Notes!$D$12)</f>
        <v/>
      </c>
      <c r="C15" s="90" t="str">
        <f>IFERROR(AVERAGEIF(_ImportGS!$H:$H,$B15,_ImportGS!I:I),"")</f>
        <v/>
      </c>
      <c r="D15" s="90" t="str">
        <f>IFERROR(AVERAGEIF(_ImportGS!$H:$H,$B15,_ImportGS!J:J),"")</f>
        <v/>
      </c>
      <c r="E15" s="90" t="str">
        <f>IFERROR(AVERAGEIF(_ImportGS!$H:$H,$B15,_ImportGS!K:K),"")</f>
        <v/>
      </c>
      <c r="F15" s="90" t="str">
        <f>IFERROR(AVERAGEIF(_ImportGS!$H:$H,$B15,_ImportGS!L:L),"")</f>
        <v/>
      </c>
      <c r="G15" s="90" t="str">
        <f>IFERROR(AVERAGEIF(_ImportGS!$H:$H,$B15,_ImportGS!M:M),"")</f>
        <v/>
      </c>
      <c r="H15" s="90" t="str">
        <f>IFERROR(AVERAGEIF(_ImportGS!$H:$H,$B15,_ImportGS!N:N),"")</f>
        <v/>
      </c>
      <c r="I15" s="91" t="str">
        <f>IF(Notes!$D12="","",COUNTIF(DonneesExternes[Station essence],B15))</f>
        <v/>
      </c>
    </row>
    <row r="16" spans="2:9" ht="21.95" customHeight="1" x14ac:dyDescent="0.25">
      <c r="B16" s="89" t="str">
        <f>IF(Notes!$D$13="","",Notes!$D$13)</f>
        <v/>
      </c>
      <c r="C16" s="90" t="str">
        <f>IFERROR(AVERAGEIF(_ImportGS!$H:$H,$B16,_ImportGS!I:I),"")</f>
        <v/>
      </c>
      <c r="D16" s="90" t="str">
        <f>IFERROR(AVERAGEIF(_ImportGS!$H:$H,$B16,_ImportGS!J:J),"")</f>
        <v/>
      </c>
      <c r="E16" s="90" t="str">
        <f>IFERROR(AVERAGEIF(_ImportGS!$H:$H,$B16,_ImportGS!K:K),"")</f>
        <v/>
      </c>
      <c r="F16" s="90" t="str">
        <f>IFERROR(AVERAGEIF(_ImportGS!$H:$H,$B16,_ImportGS!L:L),"")</f>
        <v/>
      </c>
      <c r="G16" s="90" t="str">
        <f>IFERROR(AVERAGEIF(_ImportGS!$H:$H,$B16,_ImportGS!M:M),"")</f>
        <v/>
      </c>
      <c r="H16" s="90" t="str">
        <f>IFERROR(AVERAGEIF(_ImportGS!$H:$H,$B16,_ImportGS!N:N),"")</f>
        <v/>
      </c>
      <c r="I16" s="91" t="str">
        <f>IF(Notes!$D13="","",COUNTIF(DonneesExternes[Station essence],B16))</f>
        <v/>
      </c>
    </row>
    <row r="17" spans="2:9" ht="26.1" customHeight="1" x14ac:dyDescent="0.25">
      <c r="B17" s="92" t="s">
        <v>291</v>
      </c>
      <c r="C17" s="93">
        <f>IFERROR(AVERAGEIF(DonneesExternes[E85 station (€/L)],"&gt;"&amp;0),"")</f>
        <v>0.79800000000000004</v>
      </c>
      <c r="D17" s="93">
        <f>IFERROR(AVERAGEIF(DonneesExternes[SP98 station (€/L)],"&gt;"&amp;0),"")</f>
        <v>2.1105</v>
      </c>
      <c r="E17" s="93" t="str">
        <f>IFERROR(AVERAGEIF(DonneesExternes[SP95 station (€/L)],"&gt;"&amp;0),"")</f>
        <v/>
      </c>
      <c r="F17" s="93" t="str">
        <f>IFERROR(AVERAGEIF(DonneesExternes[E10 station (€/L)],"&gt;"&amp;0),"")</f>
        <v/>
      </c>
      <c r="G17" s="93" t="str">
        <f>IFERROR(AVERAGEIF(DonneesExternes[Gazole station (€/L)],"&gt;"&amp;0),"")</f>
        <v/>
      </c>
      <c r="H17" s="93" t="str">
        <f>IFERROR(AVERAGEIF(DonneesExternes[GPLc station (€/L)],"&gt;"&amp;0),"")</f>
        <v/>
      </c>
      <c r="I17" s="94"/>
    </row>
    <row r="18" spans="2:9" ht="6.75" customHeight="1" x14ac:dyDescent="0.25"/>
    <row r="19" spans="2:9" ht="20.100000000000001" customHeight="1" x14ac:dyDescent="0.25">
      <c r="B19" s="106" t="s">
        <v>330</v>
      </c>
      <c r="C19" s="107"/>
      <c r="D19" s="107"/>
      <c r="E19" s="107"/>
      <c r="F19" s="107"/>
      <c r="G19" s="107"/>
    </row>
    <row r="20" spans="2:9" ht="18" customHeight="1" x14ac:dyDescent="0.25">
      <c r="B20" s="106"/>
      <c r="C20" s="107"/>
      <c r="D20" s="107"/>
      <c r="E20" s="107"/>
      <c r="F20" s="107"/>
      <c r="G20" s="10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8"/>
  <sheetViews>
    <sheetView zoomScale="90" zoomScaleNormal="90" workbookViewId="0">
      <selection activeCell="D8" sqref="D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289</v>
      </c>
    </row>
    <row r="4" spans="2:4" x14ac:dyDescent="0.25">
      <c r="B4" s="82" t="s">
        <v>284</v>
      </c>
      <c r="D4" s="82" t="s">
        <v>312</v>
      </c>
    </row>
    <row r="5" spans="2:4" x14ac:dyDescent="0.25">
      <c r="B5" s="82" t="s">
        <v>81</v>
      </c>
      <c r="D5" s="82" t="s">
        <v>288</v>
      </c>
    </row>
    <row r="6" spans="2:4" x14ac:dyDescent="0.25">
      <c r="B6" s="82" t="s">
        <v>100</v>
      </c>
      <c r="D6" s="82" t="s">
        <v>313</v>
      </c>
    </row>
    <row r="7" spans="2:4" x14ac:dyDescent="0.25">
      <c r="D7" s="82" t="s">
        <v>287</v>
      </c>
    </row>
    <row r="8" spans="2:4" x14ac:dyDescent="0.25">
      <c r="D8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_ImportGS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2026-05-23T04:49:08Z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