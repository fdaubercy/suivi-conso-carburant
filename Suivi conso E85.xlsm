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8_{E7EBC22C-156C-476B-BAC7-6E73F63FF037}" xr6:coauthVersionLast="47" xr6:coauthVersionMax="47" xr10:uidLastSave="{00000000-0000-0000-0000-000000000000}"/>
  <bookViews>
    <workbookView xWindow="-120" yWindow="-120" windowWidth="24240" windowHeight="13020" tabRatio="638" xr2:uid="{00000000-000D-0000-FFFF-FFFF00000000}"/>
  </bookViews>
  <sheets>
    <sheet name="Suivi Carburant" sheetId="3" r:id="rId1"/>
    <sheet name="Prix par Station" sheetId="4" r:id="rId2"/>
    <sheet name="Graphiques" sheetId="5" r:id="rId3"/>
    <sheet name="Notes" sheetId="6" r:id="rId4"/>
    <sheet name="_ImportGS" sheetId="2" r:id="rId5"/>
    <sheet name="Claude Log" sheetId="1" state="hidden" r:id="rId6"/>
  </sheets>
  <calcPr calcId="191029" iterateDelta="1E-4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4" i="5" l="1"/>
  <c r="AG53" i="5"/>
  <c r="AG52" i="5"/>
  <c r="AG51" i="5"/>
  <c r="AG50" i="5"/>
  <c r="AG49" i="5"/>
  <c r="AG48" i="5"/>
  <c r="AG47" i="5"/>
  <c r="AG46" i="5"/>
  <c r="AG45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C32" i="5"/>
  <c r="AB32" i="5"/>
  <c r="AA32" i="5"/>
  <c r="Y32" i="5"/>
  <c r="X32" i="5"/>
  <c r="W32" i="5"/>
  <c r="U32" i="5"/>
  <c r="T32" i="5"/>
  <c r="S32" i="5"/>
  <c r="AG31" i="5"/>
  <c r="AC31" i="5"/>
  <c r="AB31" i="5"/>
  <c r="AA31" i="5"/>
  <c r="Y31" i="5"/>
  <c r="X31" i="5"/>
  <c r="W31" i="5"/>
  <c r="U31" i="5"/>
  <c r="T31" i="5"/>
  <c r="S31" i="5"/>
  <c r="AG30" i="5"/>
  <c r="AC30" i="5"/>
  <c r="AB30" i="5"/>
  <c r="AA30" i="5"/>
  <c r="Y30" i="5"/>
  <c r="X30" i="5"/>
  <c r="W30" i="5"/>
  <c r="U30" i="5"/>
  <c r="T30" i="5"/>
  <c r="S30" i="5"/>
  <c r="AG29" i="5"/>
  <c r="AC29" i="5"/>
  <c r="AB29" i="5"/>
  <c r="AA29" i="5"/>
  <c r="Y29" i="5"/>
  <c r="X29" i="5"/>
  <c r="W29" i="5"/>
  <c r="U29" i="5"/>
  <c r="T29" i="5"/>
  <c r="S29" i="5"/>
  <c r="AG28" i="5"/>
  <c r="AC28" i="5"/>
  <c r="AB28" i="5"/>
  <c r="AA28" i="5"/>
  <c r="Y28" i="5"/>
  <c r="X28" i="5"/>
  <c r="W28" i="5"/>
  <c r="U28" i="5"/>
  <c r="T28" i="5"/>
  <c r="S28" i="5"/>
  <c r="AG27" i="5"/>
  <c r="AC27" i="5"/>
  <c r="AB27" i="5"/>
  <c r="AA27" i="5"/>
  <c r="Y27" i="5"/>
  <c r="X27" i="5"/>
  <c r="W27" i="5"/>
  <c r="U27" i="5"/>
  <c r="T27" i="5"/>
  <c r="S27" i="5"/>
  <c r="AG26" i="5"/>
  <c r="AC26" i="5"/>
  <c r="AB26" i="5"/>
  <c r="AA26" i="5"/>
  <c r="Y26" i="5"/>
  <c r="X26" i="5"/>
  <c r="W26" i="5"/>
  <c r="U26" i="5"/>
  <c r="T26" i="5"/>
  <c r="S26" i="5"/>
  <c r="AG25" i="5"/>
  <c r="AC25" i="5"/>
  <c r="AB25" i="5"/>
  <c r="AA25" i="5"/>
  <c r="Y25" i="5"/>
  <c r="X25" i="5"/>
  <c r="W25" i="5"/>
  <c r="U25" i="5"/>
  <c r="T25" i="5"/>
  <c r="S25" i="5"/>
  <c r="AG24" i="5"/>
  <c r="AC24" i="5"/>
  <c r="AB24" i="5"/>
  <c r="AA24" i="5"/>
  <c r="Y24" i="5"/>
  <c r="X24" i="5"/>
  <c r="W24" i="5"/>
  <c r="U24" i="5"/>
  <c r="T24" i="5"/>
  <c r="S24" i="5"/>
  <c r="AG23" i="5"/>
  <c r="AC23" i="5"/>
  <c r="AB23" i="5"/>
  <c r="AA23" i="5"/>
  <c r="Y23" i="5"/>
  <c r="X23" i="5"/>
  <c r="W23" i="5"/>
  <c r="U23" i="5"/>
  <c r="T23" i="5"/>
  <c r="S23" i="5"/>
  <c r="AG22" i="5"/>
  <c r="AC22" i="5"/>
  <c r="AB22" i="5"/>
  <c r="AA22" i="5"/>
  <c r="Y22" i="5"/>
  <c r="X22" i="5"/>
  <c r="W22" i="5"/>
  <c r="U22" i="5"/>
  <c r="T22" i="5"/>
  <c r="S22" i="5"/>
  <c r="AG21" i="5"/>
  <c r="AC21" i="5"/>
  <c r="AB21" i="5"/>
  <c r="AA21" i="5"/>
  <c r="Y21" i="5"/>
  <c r="X21" i="5"/>
  <c r="W21" i="5"/>
  <c r="U21" i="5"/>
  <c r="T21" i="5"/>
  <c r="S21" i="5"/>
  <c r="AG20" i="5"/>
  <c r="AC20" i="5"/>
  <c r="AB20" i="5"/>
  <c r="AA20" i="5"/>
  <c r="Y20" i="5"/>
  <c r="X20" i="5"/>
  <c r="W20" i="5"/>
  <c r="S20" i="5"/>
  <c r="AG19" i="5"/>
  <c r="AC19" i="5"/>
  <c r="AB19" i="5"/>
  <c r="AA19" i="5"/>
  <c r="Y19" i="5"/>
  <c r="X19" i="5"/>
  <c r="W19" i="5"/>
  <c r="S19" i="5"/>
  <c r="AG18" i="5"/>
  <c r="AC18" i="5"/>
  <c r="AB18" i="5"/>
  <c r="AA18" i="5"/>
  <c r="Y18" i="5"/>
  <c r="X18" i="5"/>
  <c r="W18" i="5"/>
  <c r="U18" i="5"/>
  <c r="T18" i="5"/>
  <c r="S18" i="5"/>
  <c r="AG17" i="5"/>
  <c r="AC17" i="5"/>
  <c r="AB17" i="5"/>
  <c r="AA17" i="5"/>
  <c r="Y17" i="5"/>
  <c r="X17" i="5"/>
  <c r="W17" i="5"/>
  <c r="S17" i="5"/>
  <c r="AG16" i="5"/>
  <c r="AC16" i="5"/>
  <c r="AB16" i="5"/>
  <c r="AA16" i="5"/>
  <c r="Y16" i="5"/>
  <c r="X16" i="5"/>
  <c r="W16" i="5"/>
  <c r="S16" i="5"/>
  <c r="AG15" i="5"/>
  <c r="AC15" i="5"/>
  <c r="AB15" i="5"/>
  <c r="AA15" i="5"/>
  <c r="Y15" i="5"/>
  <c r="X15" i="5"/>
  <c r="W15" i="5"/>
  <c r="S15" i="5"/>
  <c r="AG14" i="5"/>
  <c r="AC14" i="5"/>
  <c r="AB14" i="5"/>
  <c r="AA14" i="5"/>
  <c r="Y14" i="5"/>
  <c r="X14" i="5"/>
  <c r="W14" i="5"/>
  <c r="S14" i="5"/>
  <c r="AG13" i="5"/>
  <c r="AC13" i="5"/>
  <c r="AB13" i="5"/>
  <c r="AA13" i="5"/>
  <c r="Y13" i="5"/>
  <c r="X13" i="5"/>
  <c r="W13" i="5"/>
  <c r="S13" i="5"/>
  <c r="AG12" i="5"/>
  <c r="AC12" i="5"/>
  <c r="AB12" i="5"/>
  <c r="AA12" i="5"/>
  <c r="Y12" i="5"/>
  <c r="X12" i="5"/>
  <c r="W12" i="5"/>
  <c r="U12" i="5"/>
  <c r="T12" i="5"/>
  <c r="S12" i="5"/>
  <c r="AG11" i="5"/>
  <c r="AC11" i="5"/>
  <c r="AB11" i="5"/>
  <c r="AA11" i="5"/>
  <c r="Y11" i="5"/>
  <c r="X11" i="5"/>
  <c r="W11" i="5"/>
  <c r="U11" i="5"/>
  <c r="T11" i="5"/>
  <c r="S11" i="5"/>
  <c r="AG10" i="5"/>
  <c r="AC10" i="5"/>
  <c r="AB10" i="5"/>
  <c r="AG9" i="5"/>
  <c r="AC9" i="5"/>
  <c r="AB9" i="5"/>
  <c r="AG8" i="5"/>
  <c r="AC8" i="5"/>
  <c r="AB8" i="5"/>
  <c r="AG7" i="5"/>
  <c r="AC7" i="5"/>
  <c r="AB7" i="5"/>
  <c r="AG6" i="5"/>
  <c r="AC6" i="5"/>
  <c r="AB6" i="5"/>
  <c r="AG5" i="5"/>
  <c r="AC5" i="5"/>
  <c r="AB5" i="5"/>
  <c r="AG4" i="5"/>
  <c r="AB4" i="5"/>
  <c r="AG3" i="5"/>
  <c r="AB3" i="5"/>
  <c r="AG2" i="5"/>
  <c r="AB2" i="5"/>
  <c r="AA2" i="5"/>
  <c r="W2" i="5"/>
  <c r="S2" i="5"/>
  <c r="Q2" i="5"/>
  <c r="H17" i="4"/>
  <c r="G17" i="4"/>
  <c r="F17" i="4"/>
  <c r="E17" i="4"/>
  <c r="D17" i="4"/>
  <c r="C17" i="4"/>
  <c r="I16" i="4"/>
  <c r="G16" i="4"/>
  <c r="C16" i="4"/>
  <c r="B16" i="4"/>
  <c r="F16" i="4" s="1"/>
  <c r="I15" i="4"/>
  <c r="G15" i="4"/>
  <c r="C15" i="4"/>
  <c r="B15" i="4"/>
  <c r="F15" i="4" s="1"/>
  <c r="I14" i="4"/>
  <c r="G14" i="4"/>
  <c r="C14" i="4"/>
  <c r="B14" i="4"/>
  <c r="F14" i="4" s="1"/>
  <c r="I13" i="4"/>
  <c r="G13" i="4"/>
  <c r="C13" i="4"/>
  <c r="B13" i="4"/>
  <c r="F13" i="4" s="1"/>
  <c r="I12" i="4"/>
  <c r="G12" i="4"/>
  <c r="C12" i="4"/>
  <c r="B12" i="4"/>
  <c r="F12" i="4" s="1"/>
  <c r="G11" i="4"/>
  <c r="C11" i="4"/>
  <c r="B11" i="4"/>
  <c r="F11" i="4" s="1"/>
  <c r="G10" i="4"/>
  <c r="C10" i="4"/>
  <c r="B10" i="4"/>
  <c r="F10" i="4" s="1"/>
  <c r="G9" i="4"/>
  <c r="C9" i="4"/>
  <c r="B9" i="4"/>
  <c r="F9" i="4" s="1"/>
  <c r="G8" i="4"/>
  <c r="C8" i="4"/>
  <c r="B8" i="4"/>
  <c r="F8" i="4" s="1"/>
  <c r="F7" i="4"/>
  <c r="B7" i="4"/>
  <c r="G7" i="4" s="1"/>
  <c r="F6" i="4"/>
  <c r="B6" i="4"/>
  <c r="G6" i="4" s="1"/>
  <c r="B33" i="3"/>
  <c r="B32" i="3"/>
  <c r="B31" i="3"/>
  <c r="B30" i="3"/>
  <c r="B29" i="3"/>
  <c r="B28" i="3"/>
  <c r="J25" i="3"/>
  <c r="I25" i="3"/>
  <c r="E25" i="3"/>
  <c r="J24" i="3"/>
  <c r="I24" i="3"/>
  <c r="H24" i="3"/>
  <c r="E24" i="3"/>
  <c r="J23" i="3"/>
  <c r="I23" i="3"/>
  <c r="H23" i="3"/>
  <c r="E23" i="3"/>
  <c r="J22" i="3"/>
  <c r="I22" i="3"/>
  <c r="E22" i="3"/>
  <c r="J21" i="3"/>
  <c r="I21" i="3"/>
  <c r="E21" i="3"/>
  <c r="J20" i="3"/>
  <c r="I20" i="3"/>
  <c r="H20" i="3"/>
  <c r="E20" i="3"/>
  <c r="J6" i="3" s="1" a="1"/>
  <c r="J6" i="3" s="1"/>
  <c r="J19" i="3"/>
  <c r="B35" i="3" s="1"/>
  <c r="I19" i="3"/>
  <c r="B34" i="3" s="1"/>
  <c r="H19" i="3"/>
  <c r="E19" i="3"/>
  <c r="N18" i="3"/>
  <c r="M18" i="3"/>
  <c r="K18" i="3"/>
  <c r="AC4" i="5" s="1"/>
  <c r="J18" i="3"/>
  <c r="I18" i="3"/>
  <c r="H18" i="3" s="1"/>
  <c r="E18" i="3"/>
  <c r="A18" i="3"/>
  <c r="A19" i="3" s="1"/>
  <c r="N17" i="3"/>
  <c r="M17" i="3"/>
  <c r="L17" i="3"/>
  <c r="K17" i="3"/>
  <c r="AC3" i="5" s="1"/>
  <c r="J17" i="3"/>
  <c r="I17" i="3"/>
  <c r="H17" i="3"/>
  <c r="E17" i="3"/>
  <c r="B7" i="3" s="1" a="1"/>
  <c r="B7" i="3" s="1"/>
  <c r="A17" i="3"/>
  <c r="S16" i="3"/>
  <c r="N16" i="3"/>
  <c r="L16" i="3"/>
  <c r="K16" i="3"/>
  <c r="AC2" i="5" s="1"/>
  <c r="J16" i="3"/>
  <c r="I16" i="3"/>
  <c r="H16" i="3" s="1"/>
  <c r="E16" i="3"/>
  <c r="B6" i="3"/>
  <c r="J7" i="3" s="1"/>
  <c r="J5" i="3"/>
  <c r="W5" i="5" l="1"/>
  <c r="AA5" i="5"/>
  <c r="S5" i="5"/>
  <c r="A20" i="3"/>
  <c r="L24" i="3"/>
  <c r="M24" i="3" s="1"/>
  <c r="L20" i="3"/>
  <c r="M20" i="3" s="1"/>
  <c r="L23" i="3"/>
  <c r="M23" i="3" s="1"/>
  <c r="L19" i="3"/>
  <c r="M19" i="3" s="1"/>
  <c r="L22" i="3"/>
  <c r="L25" i="3"/>
  <c r="L21" i="3"/>
  <c r="X2" i="5"/>
  <c r="Y2" i="5"/>
  <c r="Y4" i="5"/>
  <c r="X4" i="5"/>
  <c r="U2" i="5"/>
  <c r="T2" i="5"/>
  <c r="N19" i="3"/>
  <c r="X6" i="5"/>
  <c r="Y6" i="5"/>
  <c r="U8" i="5"/>
  <c r="T8" i="5"/>
  <c r="X10" i="5"/>
  <c r="Y10" i="5"/>
  <c r="W3" i="5"/>
  <c r="AA3" i="5"/>
  <c r="S3" i="5"/>
  <c r="U3" i="5"/>
  <c r="T3" i="5"/>
  <c r="L18" i="3"/>
  <c r="J28" i="3" s="1"/>
  <c r="U5" i="5"/>
  <c r="T5" i="5"/>
  <c r="H21" i="3"/>
  <c r="M21" i="3"/>
  <c r="U9" i="5"/>
  <c r="T9" i="5"/>
  <c r="H25" i="3"/>
  <c r="M25" i="3"/>
  <c r="B36" i="3"/>
  <c r="U6" i="5"/>
  <c r="T6" i="5"/>
  <c r="H22" i="3"/>
  <c r="M22" i="3"/>
  <c r="U10" i="5"/>
  <c r="T10" i="5"/>
  <c r="I6" i="4"/>
  <c r="E6" i="4"/>
  <c r="H6" i="4"/>
  <c r="D6" i="4"/>
  <c r="I7" i="4"/>
  <c r="E7" i="4"/>
  <c r="H7" i="4"/>
  <c r="D7" i="4"/>
  <c r="Y3" i="5"/>
  <c r="X3" i="5"/>
  <c r="AA4" i="5"/>
  <c r="S4" i="5"/>
  <c r="W4" i="5"/>
  <c r="U4" i="5"/>
  <c r="T4" i="5"/>
  <c r="Y5" i="5"/>
  <c r="X5" i="5"/>
  <c r="T7" i="5"/>
  <c r="U7" i="5"/>
  <c r="Y9" i="5"/>
  <c r="X9" i="5"/>
  <c r="C6" i="4"/>
  <c r="C7" i="4"/>
  <c r="D8" i="4"/>
  <c r="H8" i="4"/>
  <c r="D9" i="4"/>
  <c r="H9" i="4"/>
  <c r="D10" i="4"/>
  <c r="H10" i="4"/>
  <c r="D11" i="4"/>
  <c r="H11" i="4"/>
  <c r="D12" i="4"/>
  <c r="H12" i="4"/>
  <c r="D13" i="4"/>
  <c r="H13" i="4"/>
  <c r="D14" i="4"/>
  <c r="H14" i="4"/>
  <c r="D15" i="4"/>
  <c r="H15" i="4"/>
  <c r="D16" i="4"/>
  <c r="H16" i="4"/>
  <c r="E8" i="4"/>
  <c r="I8" i="4"/>
  <c r="E9" i="4"/>
  <c r="I9" i="4"/>
  <c r="E10" i="4"/>
  <c r="I10" i="4"/>
  <c r="E11" i="4"/>
  <c r="I11" i="4"/>
  <c r="E12" i="4"/>
  <c r="E13" i="4"/>
  <c r="E14" i="4"/>
  <c r="E15" i="4"/>
  <c r="E16" i="4"/>
  <c r="U13" i="5" l="1"/>
  <c r="T13" i="5"/>
  <c r="J29" i="3"/>
  <c r="Y8" i="5"/>
  <c r="X8" i="5"/>
  <c r="S6" i="5"/>
  <c r="W6" i="5"/>
  <c r="AA6" i="5"/>
  <c r="A21" i="3"/>
  <c r="Y7" i="5"/>
  <c r="X7" i="5"/>
  <c r="N20" i="3"/>
  <c r="U14" i="5" l="1"/>
  <c r="T14" i="5"/>
  <c r="J34" i="3"/>
  <c r="J30" i="3"/>
  <c r="J31" i="3"/>
  <c r="N21" i="3"/>
  <c r="S7" i="5"/>
  <c r="W7" i="5"/>
  <c r="AA7" i="5"/>
  <c r="A22" i="3"/>
  <c r="T15" i="5" l="1"/>
  <c r="U15" i="5"/>
  <c r="J32" i="3"/>
  <c r="AA8" i="5"/>
  <c r="S8" i="5"/>
  <c r="W8" i="5"/>
  <c r="A23" i="3"/>
  <c r="T19" i="5"/>
  <c r="J35" i="3"/>
  <c r="U19" i="5"/>
  <c r="N22" i="3"/>
  <c r="U16" i="5"/>
  <c r="T16" i="5"/>
  <c r="U17" i="5" l="1"/>
  <c r="T17" i="5"/>
  <c r="N23" i="3"/>
  <c r="W9" i="5"/>
  <c r="AA9" i="5"/>
  <c r="S9" i="5"/>
  <c r="A24" i="3"/>
  <c r="U20" i="5"/>
  <c r="T20" i="5"/>
  <c r="N24" i="3" l="1"/>
  <c r="S10" i="5"/>
  <c r="W10" i="5"/>
  <c r="AA10" i="5"/>
  <c r="A25" i="3"/>
  <c r="N25" i="3" l="1"/>
  <c r="P21" i="5" a="1"/>
  <c r="P21" i="5" s="1"/>
  <c r="P3" i="5" a="1"/>
  <c r="P3" i="5" s="1"/>
  <c r="P13" i="5" a="1"/>
  <c r="P13" i="5" s="1"/>
  <c r="O26" i="5"/>
  <c r="Q26" i="5" s="1"/>
  <c r="P7" i="5" a="1"/>
  <c r="P7" i="5" s="1"/>
  <c r="R18" i="3" a="1"/>
  <c r="R18" i="3" s="1"/>
  <c r="Q32" i="3" a="1"/>
  <c r="Q32" i="3" s="1"/>
  <c r="Q17" i="3" a="1"/>
  <c r="Q17" i="3" s="1"/>
  <c r="S17" i="3" s="1"/>
  <c r="R17" i="3" a="1"/>
  <c r="R17" i="3" s="1"/>
  <c r="R20" i="3" a="1"/>
  <c r="R20" i="3" s="1"/>
  <c r="Q26" i="3" a="1"/>
  <c r="Q26" i="3" s="1"/>
  <c r="S26" i="3" s="1"/>
  <c r="R24" i="3" a="1"/>
  <c r="R24" i="3" s="1"/>
  <c r="O20" i="5"/>
  <c r="Q20" i="5" s="1"/>
  <c r="P12" i="5" a="1"/>
  <c r="P12" i="5" s="1"/>
  <c r="P8" i="5" a="1"/>
  <c r="P8" i="5" s="1"/>
  <c r="P17" i="5" a="1"/>
  <c r="P17" i="5" s="1"/>
  <c r="P29" i="5" a="1"/>
  <c r="P29" i="5" s="1"/>
  <c r="O14" i="5"/>
  <c r="Q14" i="5" s="1"/>
  <c r="O11" i="5"/>
  <c r="Q11" i="5" s="1"/>
  <c r="O5" i="5"/>
  <c r="Q5" i="5" s="1"/>
  <c r="O32" i="5"/>
  <c r="Q32" i="5" s="1"/>
  <c r="P23" i="5" a="1"/>
  <c r="P23" i="5" s="1"/>
  <c r="P19" i="5" a="1"/>
  <c r="P19" i="5" s="1"/>
  <c r="Q24" i="3" a="1"/>
  <c r="Q24" i="3" s="1"/>
  <c r="S24" i="3" s="1"/>
  <c r="P11" i="5" a="1"/>
  <c r="P11" i="5" s="1"/>
  <c r="Q25" i="3" a="1"/>
  <c r="Q25" i="3" s="1"/>
  <c r="S25" i="3" s="1"/>
  <c r="R27" i="3" a="1"/>
  <c r="R27" i="3" s="1"/>
  <c r="Q18" i="3" a="1"/>
  <c r="Q18" i="3" s="1"/>
  <c r="S18" i="3" s="1"/>
  <c r="R19" i="3" a="1"/>
  <c r="R19" i="3" s="1"/>
  <c r="O4" i="5"/>
  <c r="Q4" i="5" s="1"/>
  <c r="P28" i="5" a="1"/>
  <c r="P28" i="5" s="1"/>
  <c r="P24" i="5" a="1"/>
  <c r="P24" i="5" s="1"/>
  <c r="P4" i="5" a="1"/>
  <c r="P4" i="5" s="1"/>
  <c r="P16" i="5" a="1"/>
  <c r="P16" i="5" s="1"/>
  <c r="O7" i="5"/>
  <c r="Q7" i="5" s="1"/>
  <c r="P10" i="5" a="1"/>
  <c r="P10" i="5" s="1"/>
  <c r="P6" i="5" a="1"/>
  <c r="P6" i="5" s="1"/>
  <c r="P15" i="5" a="1"/>
  <c r="P15" i="5" s="1"/>
  <c r="P27" i="5" a="1"/>
  <c r="P27" i="5" s="1"/>
  <c r="O25" i="5"/>
  <c r="Q25" i="5" s="1"/>
  <c r="R23" i="3" a="1"/>
  <c r="R23" i="3" s="1"/>
  <c r="Q29" i="3" a="1"/>
  <c r="Q29" i="3" s="1"/>
  <c r="S29" i="3" s="1"/>
  <c r="Q31" i="3" a="1"/>
  <c r="Q31" i="3" s="1"/>
  <c r="O21" i="5"/>
  <c r="Q21" i="5" s="1"/>
  <c r="R25" i="3" a="1"/>
  <c r="R25" i="3" s="1"/>
  <c r="Q27" i="3" a="1"/>
  <c r="Q27" i="3" s="1"/>
  <c r="S27" i="3" s="1"/>
  <c r="P20" i="5" a="1"/>
  <c r="P20" i="5" s="1"/>
  <c r="P32" i="5" a="1"/>
  <c r="P32" i="5" s="1"/>
  <c r="O10" i="5"/>
  <c r="Q10" i="5" s="1"/>
  <c r="P26" i="5" a="1"/>
  <c r="P26" i="5" s="1"/>
  <c r="P22" i="5" a="1"/>
  <c r="P22" i="5" s="1"/>
  <c r="P31" i="5" a="1"/>
  <c r="P31" i="5" s="1"/>
  <c r="P14" i="5" a="1"/>
  <c r="P14" i="5" s="1"/>
  <c r="O16" i="5"/>
  <c r="Q16" i="5" s="1"/>
  <c r="R28" i="3" a="1"/>
  <c r="R28" i="3" s="1"/>
  <c r="Q21" i="3" a="1"/>
  <c r="Q21" i="3" s="1"/>
  <c r="S21" i="3" s="1"/>
  <c r="P31" i="3" a="1"/>
  <c r="P31" i="3" s="1"/>
  <c r="R31" i="3" s="1"/>
  <c r="R30" i="3" a="1"/>
  <c r="R30" i="3" s="1"/>
  <c r="Q23" i="3" a="1"/>
  <c r="Q23" i="3" s="1"/>
  <c r="S23" i="3" s="1"/>
  <c r="R29" i="3" a="1"/>
  <c r="R29" i="3" s="1"/>
  <c r="Q19" i="3" a="1"/>
  <c r="Q19" i="3" s="1"/>
  <c r="S19" i="3" s="1"/>
  <c r="O23" i="5"/>
  <c r="Q23" i="5" s="1"/>
  <c r="P9" i="5" a="1"/>
  <c r="P9" i="5" s="1"/>
  <c r="P5" i="5" a="1"/>
  <c r="P5" i="5" s="1"/>
  <c r="P18" i="5" a="1"/>
  <c r="P18" i="5" s="1"/>
  <c r="P30" i="5" a="1"/>
  <c r="P30" i="5" s="1"/>
  <c r="O6" i="5"/>
  <c r="Q6" i="5" s="1"/>
  <c r="Q20" i="3" a="1"/>
  <c r="Q20" i="3" s="1"/>
  <c r="S20" i="3" s="1"/>
  <c r="Q30" i="3" a="1"/>
  <c r="Q30" i="3" s="1"/>
  <c r="S30" i="3" s="1"/>
  <c r="R22" i="3" a="1"/>
  <c r="R22" i="3" s="1"/>
  <c r="R26" i="3" a="1"/>
  <c r="R26" i="3" s="1"/>
  <c r="Q22" i="3" a="1"/>
  <c r="Q22" i="3" s="1"/>
  <c r="S22" i="3" s="1"/>
  <c r="P32" i="3" a="1"/>
  <c r="P32" i="3" s="1"/>
  <c r="R32" i="3" s="1"/>
  <c r="R21" i="3" a="1"/>
  <c r="R21" i="3" s="1"/>
  <c r="Q28" i="3" a="1"/>
  <c r="Q28" i="3" s="1"/>
  <c r="S28" i="3" s="1"/>
  <c r="O29" i="5"/>
  <c r="Q29" i="5" s="1"/>
  <c r="O31" i="5"/>
  <c r="Q31" i="5" s="1"/>
  <c r="O8" i="5"/>
  <c r="Q8" i="5" s="1"/>
  <c r="O2" i="5"/>
  <c r="O17" i="5"/>
  <c r="Q17" i="5" s="1"/>
  <c r="O18" i="5"/>
  <c r="Q18" i="5" s="1"/>
  <c r="O15" i="5"/>
  <c r="Q15" i="5" s="1"/>
  <c r="O12" i="5"/>
  <c r="Q12" i="5" s="1"/>
  <c r="O13" i="5" l="1"/>
  <c r="Q13" i="5" s="1"/>
  <c r="O22" i="5"/>
  <c r="Q22" i="5" s="1"/>
  <c r="O27" i="5"/>
  <c r="Q27" i="5" s="1"/>
  <c r="O9" i="5"/>
  <c r="Q9" i="5" s="1"/>
  <c r="O19" i="5"/>
  <c r="Q19" i="5" s="1"/>
  <c r="O28" i="5"/>
  <c r="Q28" i="5" s="1"/>
  <c r="P25" i="5" a="1"/>
  <c r="P25" i="5" s="1"/>
  <c r="O3" i="5"/>
  <c r="Q3" i="5" s="1"/>
  <c r="O24" i="5"/>
  <c r="Q24" i="5" s="1"/>
  <c r="O30" i="5"/>
  <c r="Q30" i="5" s="1"/>
  <c r="AF19" i="5"/>
  <c r="AF15" i="5"/>
  <c r="AF7" i="5"/>
  <c r="AF54" i="5"/>
  <c r="AF52" i="5"/>
  <c r="AF48" i="5"/>
  <c r="AF46" i="5"/>
  <c r="AF44" i="5"/>
  <c r="AF40" i="5"/>
  <c r="AF38" i="5"/>
  <c r="AF36" i="5"/>
  <c r="AF32" i="5"/>
  <c r="AF28" i="5"/>
  <c r="AF24" i="5"/>
  <c r="AF20" i="5"/>
  <c r="AF16" i="5"/>
  <c r="AF12" i="5"/>
  <c r="AF8" i="5"/>
  <c r="AF4" i="5"/>
  <c r="AF29" i="5"/>
  <c r="AF25" i="5"/>
  <c r="AF21" i="5"/>
  <c r="AF17" i="5"/>
  <c r="AF13" i="5"/>
  <c r="AF9" i="5"/>
  <c r="AF5" i="5"/>
  <c r="AF3" i="5"/>
  <c r="AF53" i="5"/>
  <c r="AF51" i="5"/>
  <c r="AF49" i="5"/>
  <c r="AF47" i="5"/>
  <c r="AF45" i="5"/>
  <c r="AF43" i="5"/>
  <c r="AF41" i="5"/>
  <c r="AF39" i="5"/>
  <c r="AF37" i="5"/>
  <c r="AF35" i="5"/>
  <c r="AF33" i="5"/>
  <c r="AF30" i="5"/>
  <c r="AF26" i="5"/>
  <c r="AF22" i="5"/>
  <c r="AF18" i="5"/>
  <c r="AF14" i="5"/>
  <c r="AF10" i="5"/>
  <c r="AF6" i="5"/>
  <c r="B10" i="3"/>
  <c r="AF34" i="5" l="1"/>
  <c r="AF42" i="5"/>
  <c r="AF50" i="5"/>
  <c r="AF11" i="5"/>
  <c r="AF27" i="5"/>
  <c r="AF31" i="5"/>
  <c r="B12" i="3" a="1"/>
  <c r="B12" i="3" s="1"/>
  <c r="J12" i="3"/>
  <c r="B11" i="3"/>
  <c r="AF23" i="5"/>
  <c r="AI2" i="5" s="1"/>
  <c r="J11" i="3" l="1"/>
  <c r="J10" i="3" s="1"/>
  <c r="AH2" i="5" a="1"/>
  <c r="AH2" i="5" s="1"/>
  <c r="AH3" i="5" s="1"/>
  <c r="AI3" i="5" s="1"/>
</calcChain>
</file>

<file path=xl/sharedStrings.xml><?xml version="1.0" encoding="utf-8"?>
<sst xmlns="http://schemas.openxmlformats.org/spreadsheetml/2006/main" count="379" uniqueCount="327">
  <si>
    <t>Turn #</t>
  </si>
  <si>
    <t>Date</t>
  </si>
  <si>
    <t>User Request</t>
  </si>
  <si>
    <t>Action Taken</t>
  </si>
  <si>
    <t>Details</t>
  </si>
  <si>
    <t>Outcome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</si>
  <si>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</si>
  <si>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</si>
  <si>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</si>
  <si>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</si>
  <si>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</si>
  <si>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</si>
  <si>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</si>
  <si>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</si>
  <si>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</si>
  <si>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</si>
  <si>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</si>
  <si>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</si>
  <si>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</si>
  <si>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</si>
  <si>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</si>
  <si>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</si>
  <si>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</si>
  <si>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</si>
  <si>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</si>
  <si>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</si>
  <si>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</si>
  <si>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</si>
  <si>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</si>
  <si>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</si>
  <si>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</si>
  <si>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</si>
  <si>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</si>
  <si>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</si>
  <si>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</si>
  <si>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</si>
  <si>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</si>
  <si>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</si>
  <si>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</si>
  <si>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</si>
  <si>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</si>
  <si>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</si>
  <si>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</si>
  <si>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</si>
  <si>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</si>
  <si>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</si>
  <si>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</si>
  <si>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</si>
  <si>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</si>
  <si>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</si>
  <si>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</si>
  <si>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</si>
  <si>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</si>
  <si>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</si>
  <si>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</si>
  <si>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</si>
  <si>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</si>
  <si>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</si>
  <si>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</si>
  <si>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</si>
  <si>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</si>
  <si>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</si>
  <si>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</si>
  <si>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</si>
  <si>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</si>
  <si>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</si>
  <si>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</si>
  <si>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</si>
  <si>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</si>
  <si>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</si>
  <si>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</si>
  <si>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</si>
  <si>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</si>
  <si>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</si>
  <si>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</si>
  <si>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</si>
  <si>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</si>
  <si>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</si>
  <si>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</si>
  <si>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</si>
  <si>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</si>
  <si>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</si>
  <si>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</si>
  <si>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</si>
  <si>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</si>
  <si>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</si>
  <si>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</si>
  <si>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</si>
  <si>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</si>
  <si>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</si>
  <si>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</si>
  <si>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</si>
  <si>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</si>
  <si>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</si>
  <si>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</si>
  <si>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</si>
  <si>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</si>
  <si>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</si>
  <si>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</si>
  <si>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</si>
  <si>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</si>
  <si>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</si>
  <si>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</si>
  <si>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</si>
  <si>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</si>
  <si>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</si>
  <si>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</si>
  <si>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</si>
  <si>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</si>
  <si>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</si>
  <si>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</si>
  <si>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</si>
  <si>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</si>
  <si>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</si>
  <si>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</si>
  <si>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</si>
  <si>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</si>
  <si>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</si>
  <si>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</si>
  <si>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</si>
  <si>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</si>
  <si>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</si>
  <si>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</si>
  <si>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</si>
  <si>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</si>
  <si>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</si>
  <si>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</si>
  <si>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</si>
  <si>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</si>
  <si>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</si>
  <si>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</si>
  <si>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</si>
  <si>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</si>
  <si>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</si>
  <si>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</si>
  <si>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</si>
  <si>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</si>
  <si>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</si>
  <si>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</si>
  <si>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</si>
  <si>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</si>
  <si>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</si>
  <si>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</si>
  <si>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</si>
  <si>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</si>
  <si>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</si>
  <si>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</si>
  <si>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</si>
  <si>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</si>
  <si>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</si>
  <si>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</si>
  <si>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</si>
  <si>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</si>
  <si>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</si>
  <si>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</si>
  <si>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</si>
  <si>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</si>
  <si>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</si>
  <si>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</si>
  <si>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</si>
  <si>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</si>
  <si>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</si>
  <si>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</si>
  <si>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</si>
  <si>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</si>
  <si>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</si>
  <si>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</si>
  <si>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</si>
  <si>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</si>
  <si>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</si>
  <si>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</si>
  <si>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</si>
  <si>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</si>
  <si>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</si>
  <si>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</si>
  <si>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</si>
  <si>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</si>
  <si>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</si>
  <si>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</si>
  <si>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</si>
  <si>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</si>
  <si>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</si>
  <si>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</si>
  <si>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</si>
  <si>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</si>
  <si>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</si>
  <si>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</si>
  <si>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</si>
  <si>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</si>
  <si>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</si>
  <si>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</si>
  <si>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</si>
  <si>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</si>
  <si>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</si>
  <si>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</si>
  <si>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</si>
  <si>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</si>
  <si>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</si>
  <si>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</si>
  <si>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</si>
  <si>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</si>
  <si>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</si>
  <si>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</si>
  <si>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</si>
  <si>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</si>
  <si>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</si>
  <si>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</si>
  <si>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</si>
  <si>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</si>
  <si>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</si>
  <si>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</si>
  <si>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</si>
  <si>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</si>
  <si>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</si>
  <si>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</si>
  <si>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</si>
  <si>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</si>
  <si>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</si>
  <si>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</si>
  <si>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</si>
  <si>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</si>
  <si>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</si>
  <si>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</si>
  <si>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</si>
  <si>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</si>
  <si>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Type</t>
  </si>
  <si>
    <t>Km compteur</t>
  </si>
  <si>
    <t>Nb. Litres</t>
  </si>
  <si>
    <t>Prix €/L</t>
  </si>
  <si>
    <t>Prix S98 jour (€/L)</t>
  </si>
  <si>
    <t>Station essence</t>
  </si>
  <si>
    <t>22/05/2026</t>
  </si>
  <si>
    <t>SuperEthanol E85</t>
  </si>
  <si>
    <t>Intermarché</t>
  </si>
  <si>
    <t>Total Access</t>
  </si>
  <si>
    <t>ZONE DU MOULIN RUE ARTHUR LAMENDIN — Beuvry</t>
  </si>
  <si>
    <t>PARAMÈTRES</t>
  </si>
  <si>
    <t>Coût du kit éthanol (€)</t>
  </si>
  <si>
    <t>← Saisir le prix du kit</t>
  </si>
  <si>
    <t>Conso. SuperEthanol référence (L/100km)</t>
  </si>
  <si>
    <t>← Calculée auto depuis vos pleins SuperEthanol</t>
  </si>
  <si>
    <t>Conso. S98 référence (L/100km)</t>
  </si>
  <si>
    <t>← Calculée auto depuis vos pleins S98</t>
  </si>
  <si>
    <t>Conso. SuperEthanol référence (km/L)</t>
  </si>
  <si>
    <t>Conso. S98 référence (km/L)</t>
  </si>
  <si>
    <t>Surconsommation E85 (%)</t>
  </si>
  <si>
    <t>← Calculée auto (20% par défaut si pas de données)</t>
  </si>
  <si>
    <t>RENTABILITÉ DU KIT ÉTHANOL</t>
  </si>
  <si>
    <t>Économie cumulée actuelle (€)</t>
  </si>
  <si>
    <t>← Dernière valeur de la colonne M</t>
  </si>
  <si>
    <t>Date de rentabilité (estimée)</t>
  </si>
  <si>
    <t>← Date prévue selon le rythme moyen</t>
  </si>
  <si>
    <t>Reste à amortir (€)</t>
  </si>
  <si>
    <t>← Coût kit − économie cumulée</t>
  </si>
  <si>
    <t>Km au compteur à la rentabilité (estimé)</t>
  </si>
  <si>
    <t>← Affichage compteur prévu selon le rythme moyen</t>
  </si>
  <si>
    <t>Économie moyenne (€/km)</t>
  </si>
  <si>
    <t>Progression de la rentabilisation</t>
  </si>
  <si>
    <t>← Économie cumulée / coût du kit</t>
  </si>
  <si>
    <t>SUIVI DES PLEINS</t>
  </si>
  <si>
    <t>N°</t>
  </si>
  <si>
    <t>Nb. km</t>
  </si>
  <si>
    <t>Coût c€/km</t>
  </si>
  <si>
    <t>Coût Plein (€)</t>
  </si>
  <si>
    <t>Conso. (L/100km)</t>
  </si>
  <si>
    <t>Coût Plein équiv. S98 (€)</t>
  </si>
  <si>
    <t>Economie sur le plein</t>
  </si>
  <si>
    <t>Économie cumulée (€)</t>
  </si>
  <si>
    <t>Plein E85 n°</t>
  </si>
  <si>
    <t>Coût du kit (€)</t>
  </si>
  <si>
    <t>Super 98</t>
  </si>
  <si>
    <t>Carrefour Flers</t>
  </si>
  <si>
    <t>Leclerc Douai</t>
  </si>
  <si>
    <t>ANALYSE &amp; RENTABILITÉ</t>
  </si>
  <si>
    <t>RENTABILITÉ DU KIT</t>
  </si>
  <si>
    <t>Nb. pleins avec 'SuperEthanol E85'</t>
  </si>
  <si>
    <t>Coût équiv. total Super 98 (€)</t>
  </si>
  <si>
    <t>Ce qu'auraient coûté les mêmes km au Super 98</t>
  </si>
  <si>
    <t>Nb. pleins avec 'Super 98'</t>
  </si>
  <si>
    <t>Économie brute (€)</t>
  </si>
  <si>
    <t>Économie avant amortissement du kit</t>
  </si>
  <si>
    <t>Distance totale (km)</t>
  </si>
  <si>
    <t>Économie nette (€)</t>
  </si>
  <si>
    <t>Économie après déduction du coût du kit</t>
  </si>
  <si>
    <t>Distance parcourue (km) / semaine</t>
  </si>
  <si>
    <t>% du kit amorti</t>
  </si>
  <si>
    <t>Distance parcourue (km) / mois</t>
  </si>
  <si>
    <t>🎉 Kit rentabilisé ?</t>
  </si>
  <si>
    <t>Litres E85 total</t>
  </si>
  <si>
    <t>Coût total E85 (€)</t>
  </si>
  <si>
    <t>Économie moyenne / 100km (€)</t>
  </si>
  <si>
    <t>Conso. moy. E85 (L/100km)</t>
  </si>
  <si>
    <t>Distance restante avant rentabilité</t>
  </si>
  <si>
    <t>Conso. moy. S98 (L/100km)</t>
  </si>
  <si>
    <t>⛽  PRIX MOYENS PAR STATION ET PAR CARBURANT</t>
  </si>
  <si>
    <t>Moyennes calculées à partir des prix relevés par le formulaire web lors de chaque plein  ·  Source : _ImportGS</t>
  </si>
  <si>
    <t>Station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</si>
  <si>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</si>
  <si>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</si>
  <si>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</si>
  <si>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</si>
  <si>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</si>
  <si>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</si>
  <si>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</si>
  <si>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MOYENNE GLOBALE (tous pleins)</t>
  </si>
  <si>
    <t>ℹ️  Les prix station sont relevés automatiquement via API data.economie.gouv.fr lors de la sélection d'une station. Ils reflètent le prix affiché ce jour-là, indépendamment du carburant acheté.</t>
  </si>
  <si>
    <t>📊 GRAPHIQUES DE SUIVI</t>
  </si>
  <si>
    <t>Plein E85</t>
  </si>
  <si>
    <t>Économie cumulée</t>
  </si>
  <si>
    <t>Coût du kit</t>
  </si>
  <si>
    <t>N° plein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</si>
  <si>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</si>
  <si>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</si>
  <si>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</si>
  <si>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</si>
  <si>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</si>
  <si>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</si>
  <si>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N° plein projection</t>
  </si>
  <si>
    <t>Projection éco (€)</t>
  </si>
  <si>
    <t>Type carburant</t>
  </si>
  <si>
    <t>Station essence utilisée</t>
  </si>
  <si>
    <t>Diesel</t>
  </si>
  <si>
    <t>Super 95</t>
  </si>
  <si>
    <t>Total Waziers</t>
  </si>
  <si>
    <t xml:space="preserve">                                           🏍️  SUIVI CONSOMMATION CARBURANT  —  KIT ÉTHANOL</t>
  </si>
  <si>
    <t>Véhicule</t>
  </si>
  <si>
    <t>Véhicules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</si>
</sst>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00\ \€"/>
    <numFmt numFmtId="168" formatCode="#,##0&quot;km&quot;"/>
    <numFmt numFmtId="169" formatCode="0.0&quot;L/100km&quot;"/>
    <numFmt numFmtId="170" formatCode="0.000&quot; €/km&quot;"/>
    <numFmt numFmtId="171" formatCode="0.00&quot;L&quot;"/>
    <numFmt numFmtId="172" formatCode="0.000&quot;€/L&quot;"/>
    <numFmt numFmtId="173" formatCode="0.0&quot; c€/km&quot;"/>
    <numFmt numFmtId="174" formatCode="#,##0.00\ &quot;€&quot;"/>
    <numFmt numFmtId="175" formatCode="#,##0&quot; km&quot;"/>
    <numFmt numFmtId="176" formatCode="0.00&quot;€/100km&quot;"/>
    <numFmt numFmtId="177" formatCode="0.00&quot; km/L&quot;"/>
    <numFmt numFmtId="178" formatCode="dd/mm/yyyy\ hh:mm:ss"/>
    <numFmt numFmtId="179" formatCode="0.000\ &quot;€/L&quot;"/>
  </numFmts>
  <fonts count="2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B8CCE4"/>
      </top>
      <bottom style="thin">
        <color rgb="FFB8CCE4"/>
      </bottom>
      <diagonal/>
    </border>
    <border>
      <left/>
      <right style="thin">
        <color rgb="FFB8CCE4"/>
      </right>
      <top style="thin">
        <color rgb="FFB8CCE4"/>
      </top>
      <bottom style="thin">
        <color rgb="FFB8CCE4"/>
      </bottom>
      <diagonal/>
    </border>
  </borders>
  <cellStyleXfs count="4">
    <xf numFmtId="0" fontId="0" fillId="0" borderId="0"/>
    <xf numFmtId="44" fontId="8" fillId="0" borderId="0"/>
    <xf numFmtId="9" fontId="8" fillId="0" borderId="0"/>
    <xf numFmtId="0" fontId="14" fillId="0" borderId="0"/>
  </cellStyleXfs>
  <cellXfs count="109">
    <xf numFmtId="0" fontId="0" fillId="0" borderId="0" xfId="0"/>
    <xf numFmtId="0" fontId="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" fillId="4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1" fontId="0" fillId="4" borderId="0" xfId="0" applyNumberFormat="1" applyFill="1" applyAlignment="1">
      <alignment horizontal="left" vertical="center"/>
    </xf>
    <xf numFmtId="0" fontId="2" fillId="7" borderId="0" xfId="0" applyFont="1" applyFill="1" applyAlignment="1">
      <alignment vertical="center"/>
    </xf>
    <xf numFmtId="3" fontId="0" fillId="7" borderId="0" xfId="0" applyNumberFormat="1" applyFill="1" applyAlignment="1">
      <alignment horizontal="left" vertical="center"/>
    </xf>
    <xf numFmtId="2" fontId="0" fillId="4" borderId="0" xfId="0" applyNumberFormat="1" applyFill="1" applyAlignment="1">
      <alignment horizontal="left" vertical="center"/>
    </xf>
    <xf numFmtId="164" fontId="0" fillId="7" borderId="0" xfId="0" applyNumberFormat="1" applyFill="1" applyAlignment="1">
      <alignment horizontal="left" vertical="center"/>
    </xf>
    <xf numFmtId="165" fontId="0" fillId="7" borderId="0" xfId="0" applyNumberFormat="1" applyFill="1" applyAlignment="1">
      <alignment horizontal="left" vertical="center"/>
    </xf>
    <xf numFmtId="165" fontId="0" fillId="4" borderId="0" xfId="0" applyNumberFormat="1" applyFill="1" applyAlignment="1">
      <alignment horizontal="left" vertical="center"/>
    </xf>
    <xf numFmtId="0" fontId="5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2" fillId="9" borderId="0" xfId="0" applyFont="1" applyFill="1" applyAlignment="1">
      <alignment vertical="center"/>
    </xf>
    <xf numFmtId="0" fontId="2" fillId="10" borderId="0" xfId="0" applyFont="1" applyFill="1" applyAlignment="1">
      <alignment vertical="center"/>
    </xf>
    <xf numFmtId="0" fontId="6" fillId="9" borderId="0" xfId="0" applyFont="1" applyFill="1" applyAlignment="1">
      <alignment vertical="center"/>
    </xf>
    <xf numFmtId="1" fontId="0" fillId="7" borderId="0" xfId="0" applyNumberFormat="1" applyFill="1" applyAlignment="1">
      <alignment horizontal="left" vertical="center"/>
    </xf>
    <xf numFmtId="3" fontId="0" fillId="4" borderId="0" xfId="0" applyNumberFormat="1" applyFill="1" applyAlignment="1">
      <alignment horizontal="left" vertical="center"/>
    </xf>
    <xf numFmtId="2" fontId="0" fillId="7" borderId="0" xfId="0" applyNumberFormat="1" applyFill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2" fontId="4" fillId="0" borderId="0" xfId="0" applyNumberFormat="1" applyFont="1" applyAlignment="1">
      <alignment vertical="center"/>
    </xf>
    <xf numFmtId="0" fontId="0" fillId="12" borderId="7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>
      <alignment horizontal="center" vertical="center"/>
    </xf>
    <xf numFmtId="166" fontId="3" fillId="3" borderId="0" xfId="0" applyNumberFormat="1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166" fontId="10" fillId="4" borderId="0" xfId="1" applyNumberFormat="1" applyFont="1" applyFill="1" applyAlignment="1">
      <alignment horizontal="right" vertical="center"/>
    </xf>
    <xf numFmtId="14" fontId="10" fillId="4" borderId="0" xfId="0" applyNumberFormat="1" applyFont="1" applyFill="1" applyAlignment="1">
      <alignment horizontal="right" vertical="center"/>
    </xf>
    <xf numFmtId="164" fontId="11" fillId="4" borderId="0" xfId="0" applyNumberFormat="1" applyFont="1" applyFill="1" applyAlignment="1">
      <alignment vertical="center"/>
    </xf>
    <xf numFmtId="166" fontId="11" fillId="4" borderId="0" xfId="0" applyNumberFormat="1" applyFont="1" applyFill="1" applyAlignment="1">
      <alignment vertical="center"/>
    </xf>
    <xf numFmtId="164" fontId="11" fillId="4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vertical="center"/>
    </xf>
    <xf numFmtId="0" fontId="12" fillId="0" borderId="0" xfId="0" applyFont="1"/>
    <xf numFmtId="14" fontId="13" fillId="5" borderId="5" xfId="0" applyNumberFormat="1" applyFont="1" applyFill="1" applyBorder="1" applyAlignment="1" applyProtection="1">
      <alignment horizontal="center" vertical="center"/>
      <protection locked="0"/>
    </xf>
    <xf numFmtId="49" fontId="13" fillId="5" borderId="5" xfId="0" applyNumberFormat="1" applyFont="1" applyFill="1" applyBorder="1" applyAlignment="1" applyProtection="1">
      <alignment horizontal="center" vertical="center"/>
      <protection locked="0"/>
    </xf>
    <xf numFmtId="164" fontId="13" fillId="5" borderId="5" xfId="0" applyNumberFormat="1" applyFont="1" applyFill="1" applyBorder="1" applyAlignment="1">
      <alignment horizontal="center" vertical="center"/>
    </xf>
    <xf numFmtId="2" fontId="13" fillId="5" borderId="5" xfId="0" applyNumberFormat="1" applyFont="1" applyFill="1" applyBorder="1" applyAlignment="1">
      <alignment horizontal="center" vertical="center"/>
    </xf>
    <xf numFmtId="165" fontId="13" fillId="5" borderId="5" xfId="0" applyNumberFormat="1" applyFont="1" applyFill="1" applyBorder="1" applyAlignment="1" applyProtection="1">
      <alignment horizontal="center" vertical="center"/>
      <protection locked="0"/>
    </xf>
    <xf numFmtId="164" fontId="13" fillId="5" borderId="6" xfId="0" applyNumberFormat="1" applyFont="1" applyFill="1" applyBorder="1" applyAlignment="1">
      <alignment horizontal="center" vertical="center"/>
    </xf>
    <xf numFmtId="3" fontId="2" fillId="7" borderId="0" xfId="0" applyNumberFormat="1" applyFont="1" applyFill="1" applyAlignment="1">
      <alignment horizontal="left" vertical="center"/>
    </xf>
    <xf numFmtId="9" fontId="13" fillId="5" borderId="6" xfId="2" applyFont="1" applyFill="1" applyBorder="1" applyAlignment="1">
      <alignment horizontal="center" vertical="center"/>
    </xf>
    <xf numFmtId="49" fontId="13" fillId="5" borderId="5" xfId="0" applyNumberFormat="1" applyFont="1" applyFill="1" applyBorder="1" applyAlignment="1">
      <alignment horizontal="center" vertical="center"/>
    </xf>
    <xf numFmtId="165" fontId="13" fillId="5" borderId="5" xfId="0" applyNumberFormat="1" applyFont="1" applyFill="1" applyBorder="1" applyAlignment="1">
      <alignment horizontal="center" vertical="center"/>
    </xf>
    <xf numFmtId="164" fontId="0" fillId="9" borderId="0" xfId="0" applyNumberFormat="1" applyFill="1" applyAlignment="1">
      <alignment vertical="center"/>
    </xf>
    <xf numFmtId="166" fontId="8" fillId="10" borderId="0" xfId="2" applyNumberFormat="1" applyFill="1" applyAlignment="1">
      <alignment vertical="center"/>
    </xf>
    <xf numFmtId="0" fontId="2" fillId="13" borderId="0" xfId="0" applyFont="1" applyFill="1" applyAlignment="1">
      <alignment vertical="center"/>
    </xf>
    <xf numFmtId="175" fontId="0" fillId="10" borderId="0" xfId="0" applyNumberFormat="1" applyFill="1" applyAlignment="1">
      <alignment vertical="center"/>
    </xf>
    <xf numFmtId="177" fontId="13" fillId="4" borderId="0" xfId="0" applyNumberFormat="1" applyFont="1" applyFill="1" applyAlignment="1">
      <alignment vertical="center"/>
    </xf>
    <xf numFmtId="178" fontId="0" fillId="0" borderId="0" xfId="0" applyNumberFormat="1" applyAlignment="1">
      <alignment vertical="center"/>
    </xf>
    <xf numFmtId="0" fontId="13" fillId="5" borderId="4" xfId="0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14" borderId="0" xfId="3" applyFill="1"/>
    <xf numFmtId="0" fontId="14" fillId="15" borderId="0" xfId="3" applyFill="1"/>
    <xf numFmtId="0" fontId="17" fillId="14" borderId="8" xfId="3" applyFont="1" applyFill="1" applyBorder="1" applyAlignment="1">
      <alignment horizontal="center" vertical="center" wrapText="1"/>
    </xf>
    <xf numFmtId="0" fontId="17" fillId="17" borderId="8" xfId="3" applyFont="1" applyFill="1" applyBorder="1" applyAlignment="1">
      <alignment horizontal="center" vertical="center" wrapText="1"/>
    </xf>
    <xf numFmtId="0" fontId="18" fillId="18" borderId="8" xfId="3" applyFont="1" applyFill="1" applyBorder="1" applyAlignment="1">
      <alignment horizontal="left" vertical="center" indent="1"/>
    </xf>
    <xf numFmtId="0" fontId="18" fillId="19" borderId="8" xfId="3" applyFont="1" applyFill="1" applyBorder="1" applyAlignment="1">
      <alignment horizontal="left" vertical="center" indent="1"/>
    </xf>
    <xf numFmtId="179" fontId="19" fillId="19" borderId="8" xfId="3" applyNumberFormat="1" applyFont="1" applyFill="1" applyBorder="1" applyAlignment="1">
      <alignment horizontal="center" vertical="center"/>
    </xf>
    <xf numFmtId="0" fontId="18" fillId="19" borderId="8" xfId="3" applyFont="1" applyFill="1" applyBorder="1" applyAlignment="1">
      <alignment horizontal="center" vertical="center"/>
    </xf>
    <xf numFmtId="0" fontId="20" fillId="14" borderId="8" xfId="3" applyFont="1" applyFill="1" applyBorder="1" applyAlignment="1">
      <alignment horizontal="left" vertical="center" indent="1"/>
    </xf>
    <xf numFmtId="179" fontId="20" fillId="14" borderId="8" xfId="3" applyNumberFormat="1" applyFont="1" applyFill="1" applyBorder="1" applyAlignment="1">
      <alignment horizontal="center" vertical="center"/>
    </xf>
    <xf numFmtId="0" fontId="20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4" fillId="0" borderId="0" xfId="3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9" fontId="11" fillId="4" borderId="0" xfId="0" applyNumberFormat="1" applyFont="1" applyFill="1" applyAlignment="1">
      <alignment vertical="center"/>
    </xf>
    <xf numFmtId="168" fontId="10" fillId="4" borderId="0" xfId="0" applyNumberFormat="1" applyFont="1" applyFill="1" applyAlignment="1">
      <alignment horizontal="right" vertical="center"/>
    </xf>
    <xf numFmtId="170" fontId="11" fillId="4" borderId="0" xfId="1" applyNumberFormat="1" applyFont="1" applyFill="1" applyAlignment="1">
      <alignment horizontal="right" vertical="center"/>
    </xf>
    <xf numFmtId="167" fontId="1" fillId="3" borderId="0" xfId="0" applyNumberFormat="1" applyFont="1" applyFill="1" applyAlignment="1">
      <alignment horizontal="center" vertical="center"/>
    </xf>
    <xf numFmtId="168" fontId="13" fillId="5" borderId="5" xfId="0" applyNumberFormat="1" applyFont="1" applyFill="1" applyBorder="1" applyAlignment="1" applyProtection="1">
      <alignment horizontal="center" vertical="center"/>
      <protection locked="0"/>
    </xf>
    <xf numFmtId="168" fontId="13" fillId="5" borderId="5" xfId="0" applyNumberFormat="1" applyFont="1" applyFill="1" applyBorder="1" applyAlignment="1">
      <alignment horizontal="center" vertical="center"/>
    </xf>
    <xf numFmtId="171" fontId="13" fillId="5" borderId="5" xfId="0" applyNumberFormat="1" applyFont="1" applyFill="1" applyBorder="1" applyAlignment="1" applyProtection="1">
      <alignment horizontal="center" vertical="center"/>
      <protection locked="0"/>
    </xf>
    <xf numFmtId="172" fontId="13" fillId="5" borderId="5" xfId="0" applyNumberFormat="1" applyFont="1" applyFill="1" applyBorder="1" applyAlignment="1" applyProtection="1">
      <alignment horizontal="center" vertical="center"/>
      <protection locked="0"/>
    </xf>
    <xf numFmtId="173" fontId="13" fillId="5" borderId="5" xfId="0" applyNumberFormat="1" applyFont="1" applyFill="1" applyBorder="1" applyAlignment="1">
      <alignment horizontal="center" vertical="center"/>
    </xf>
    <xf numFmtId="171" fontId="13" fillId="5" borderId="5" xfId="0" applyNumberFormat="1" applyFont="1" applyFill="1" applyBorder="1" applyAlignment="1">
      <alignment horizontal="center" vertical="center"/>
    </xf>
    <xf numFmtId="172" fontId="13" fillId="5" borderId="5" xfId="0" applyNumberFormat="1" applyFont="1" applyFill="1" applyBorder="1" applyAlignment="1">
      <alignment horizontal="center" vertical="center"/>
    </xf>
    <xf numFmtId="173" fontId="13" fillId="5" borderId="0" xfId="0" applyNumberFormat="1" applyFont="1" applyFill="1" applyAlignment="1">
      <alignment horizontal="center" vertical="center"/>
    </xf>
    <xf numFmtId="174" fontId="8" fillId="10" borderId="0" xfId="1" applyNumberFormat="1" applyFill="1" applyAlignment="1">
      <alignment vertical="center"/>
    </xf>
    <xf numFmtId="174" fontId="2" fillId="9" borderId="0" xfId="0" applyNumberFormat="1" applyFont="1" applyFill="1" applyAlignment="1">
      <alignment vertical="center"/>
    </xf>
    <xf numFmtId="168" fontId="0" fillId="7" borderId="0" xfId="0" applyNumberFormat="1" applyFill="1" applyAlignment="1">
      <alignment horizontal="left" vertical="center"/>
    </xf>
    <xf numFmtId="168" fontId="0" fillId="4" borderId="0" xfId="0" applyNumberFormat="1" applyFill="1" applyAlignment="1">
      <alignment horizontal="left" vertical="center"/>
    </xf>
    <xf numFmtId="176" fontId="0" fillId="9" borderId="0" xfId="0" applyNumberFormat="1" applyFill="1" applyAlignment="1">
      <alignment vertical="center"/>
    </xf>
    <xf numFmtId="0" fontId="7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" fillId="4" borderId="0" xfId="0" applyFont="1" applyFill="1" applyAlignment="1">
      <alignment horizontal="left" vertical="center"/>
    </xf>
    <xf numFmtId="0" fontId="15" fillId="14" borderId="0" xfId="3" applyFont="1" applyFill="1" applyAlignment="1">
      <alignment horizontal="center" vertical="center"/>
    </xf>
    <xf numFmtId="0" fontId="14" fillId="0" borderId="0" xfId="3"/>
    <xf numFmtId="0" fontId="16" fillId="16" borderId="8" xfId="3" applyFont="1" applyFill="1" applyBorder="1" applyAlignment="1">
      <alignment horizontal="left" vertical="center" wrapText="1" indent="1"/>
    </xf>
    <xf numFmtId="0" fontId="0" fillId="0" borderId="10" xfId="0" applyBorder="1"/>
    <xf numFmtId="0" fontId="0" fillId="0" borderId="11" xfId="0" applyBorder="1"/>
    <xf numFmtId="0" fontId="21" fillId="16" borderId="9" xfId="3" applyFont="1" applyFill="1" applyBorder="1" applyAlignment="1">
      <alignment horizontal="left" vertical="center" wrapText="1"/>
    </xf>
    <xf numFmtId="0" fontId="0" fillId="0" borderId="9" xfId="0" applyBorder="1"/>
    <xf numFmtId="22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0" fontId="22" fillId="0" borderId="0" xfId="0" applyFont="1" applyAlignment="1">
      <alignment vertical="top" wrapText="1"/>
    </xf>
    <xf numFmtId="0" fontId="0" fillId="0" borderId="0" xfId="0" applyFont="1" applyAlignment="1">
      <alignment horizontal="center" vertical="center" wrapText="1"/>
    </xf>
    <xf numFmtId="0" fontId="22" fillId="0" borderId="0" xfId="0" applyFont="1" applyAlignment="1">
      <alignment horizontal="left" vertical="top" wrapText="1"/>
    </xf>
    <xf numFmtId="14" fontId="22" fillId="0" borderId="0" xfId="0" applyNumberFormat="1" applyFont="1" applyAlignment="1">
      <alignment horizontal="left" vertical="top" wrapText="1"/>
    </xf>
  </cellXfs>
  <cellStyles count="4">
    <cellStyle name="Monétaire" xfId="1" builtinId="4"/>
    <cellStyle name="Normal" xfId="0" builtinId="0"/>
    <cellStyle name="Normal 2" xfId="3" xr:uid="{00000000-0005-0000-0000-000003000000}"/>
    <cellStyle name="Pourcentage" xfId="2" builtinId="5"/>
  </cellStyles>
  <dxfs count="39"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9" formatCode="dd/mm/yyyy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7" formatCode="dd/mm/yyyy\ hh:mm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/>
      <border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strike val="0"/>
        <outline val="0"/>
        <shadow val="0"/>
        <vertAlign val="baseline"/>
        <sz val="12"/>
        <color rgb="FF333F4F"/>
        <name val="Calibri"/>
        <family val="2"/>
        <scheme val="minor"/>
      </font>
      <numFmt numFmtId="173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strike val="0"/>
        <condense val="0"/>
        <extend val="0"/>
        <outline val="0"/>
        <shadow val="0"/>
        <vertAlign val="baseline"/>
        <sz val="12"/>
        <color rgb="FF333F4F"/>
        <name val="Calibri"/>
        <family val="2"/>
        <scheme val="minor"/>
      </font>
      <numFmt numFmtId="172" formatCode="0.000&quot;€/L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2"/>
        <color rgb="FF333F4F"/>
        <name val="Calibri"/>
        <family val="2"/>
        <scheme val="minor"/>
      </font>
      <numFmt numFmtId="171" formatCode="0.00&quot;L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2"/>
        <color rgb="FF333F4F"/>
        <name val="Calibri"/>
        <family val="2"/>
        <scheme val="minor"/>
      </font>
      <numFmt numFmtId="168" formatCode="#,##0&quot;km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2"/>
        <color rgb="FF333F4F"/>
        <name val="Calibri"/>
        <family val="2"/>
        <scheme val="minor"/>
      </font>
      <numFmt numFmtId="168" formatCode="#,##0&quot;km&quot;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/>
      <border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/>
      <border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/>
      <protection locked="1" hidden="0"/>
    </dxf>
    <dxf>
      <border outline="0">
        <bottom style="thin">
          <color rgb="FFB4C6E7"/>
        </bottom>
      </border>
    </dxf>
    <dxf>
      <font>
        <b/>
        <strike val="0"/>
        <condense val="0"/>
        <extend val="0"/>
        <outline val="0"/>
        <shadow val="0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wrapText="1"/>
      <border outline="0">
        <left style="thin">
          <color rgb="FFB4C6E7"/>
        </left>
        <right style="thin">
          <color rgb="FFB4C6E7"/>
        </right>
        <top/>
        <bottom/>
      </border>
      <protection locked="1" hidden="0"/>
    </dxf>
    <dxf>
      <font>
        <color rgb="FF9C5700"/>
      </font>
      <fill>
        <patternFill patternType="solid">
          <fgColor indexed="64"/>
          <bgColor rgb="FFFFE6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C-4450-B1A3-B8C4AF1F45DB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BC-4450-B1A3-B8C4AF1F4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F-457D-8901-A636154536C4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F-457D-8901-A63615453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D-4AF8-8AD7-EAAA63287A56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D-4AF8-8AD7-EAAA63287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07-422F-8B26-C35207C0A09B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07-422F-8B26-C35207C0A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  <a:prstDash val="solid"/>
              </a:ln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D9-4198-A5CA-0DF283EAD30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D9-4198-A5CA-0DF283EAD30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  <a:prstDash val="solid"/>
              </a:ln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D9-4198-A5CA-0DF283EAD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81643</xdr:colOff>
      <xdr:row>0</xdr:row>
      <xdr:rowOff>68036</xdr:rowOff>
    </xdr:from>
    <xdr:to>
      <xdr:col>2</xdr:col>
      <xdr:colOff>1310255</xdr:colOff>
      <xdr:row>0</xdr:row>
      <xdr:rowOff>580005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8982DC63-0880-4C3F-AE3B-0EBEC170EA60}"/>
            </a:ext>
          </a:extLst>
        </xdr:cNvPr>
        <xdr:cNvSpPr/>
      </xdr:nvSpPr>
      <xdr:spPr>
        <a:xfrm>
          <a:off x="2517322" y="68036"/>
          <a:ext cx="2630147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3</xdr:col>
      <xdr:colOff>27215</xdr:colOff>
      <xdr:row>0</xdr:row>
      <xdr:rowOff>68036</xdr:rowOff>
    </xdr:from>
    <xdr:to>
      <xdr:col>6</xdr:col>
      <xdr:colOff>404813</xdr:colOff>
      <xdr:row>0</xdr:row>
      <xdr:rowOff>580005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FC8BE77A-9818-427F-84A7-D3947C15F662}"/>
            </a:ext>
          </a:extLst>
        </xdr:cNvPr>
        <xdr:cNvSpPr/>
      </xdr:nvSpPr>
      <xdr:spPr>
        <a:xfrm>
          <a:off x="5279572" y="68036"/>
          <a:ext cx="3221491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13</xdr:col>
      <xdr:colOff>802822</xdr:colOff>
      <xdr:row>0</xdr:row>
      <xdr:rowOff>68036</xdr:rowOff>
    </xdr:from>
    <xdr:to>
      <xdr:col>14</xdr:col>
      <xdr:colOff>1421947</xdr:colOff>
      <xdr:row>0</xdr:row>
      <xdr:rowOff>580005</xdr:rowOff>
    </xdr:to>
    <xdr:sp macro="[0]!ReinitialiserImport" textlink="">
      <xdr:nvSpPr>
        <xdr:cNvPr id="5" name="BtnAjouterPlein">
          <a:extLst>
            <a:ext uri="{FF2B5EF4-FFF2-40B4-BE49-F238E27FC236}">
              <a16:creationId xmlns:a16="http://schemas.microsoft.com/office/drawing/2014/main" id="{418AA4F6-A441-4974-9912-947438FCAE25}"/>
            </a:ext>
          </a:extLst>
        </xdr:cNvPr>
        <xdr:cNvSpPr/>
      </xdr:nvSpPr>
      <xdr:spPr>
        <a:xfrm>
          <a:off x="17947822" y="68036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5:O25" totalsRowShown="0" headerRowDxfId="37" dataDxfId="35" headerRowBorderDxfId="36" tableBorderDxfId="34" totalsRowBorderDxfId="33">
  <autoFilter ref="A15:O25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100-000001000000}" name="N°" dataDxfId="32">
      <calculatedColumnFormula>IF(B16="","",A15+1)</calculatedColumnFormula>
    </tableColumn>
    <tableColumn id="2" xr3:uid="{00000000-0010-0000-0100-000002000000}" name="Date" dataDxfId="31"/>
    <tableColumn id="11" xr3:uid="{00000000-0010-0000-0100-00000B000000}" name="Type" dataDxfId="30"/>
    <tableColumn id="3" xr3:uid="{00000000-0010-0000-0100-000003000000}" name="Km compteur" dataDxfId="29"/>
    <tableColumn id="15" xr3:uid="{00000000-0010-0000-0100-00000F000000}" name="Nb. km" dataDxfId="28">
      <calculatedColumnFormula>IF(AND(ISNUMBER(D15),Tableau2[[#This Row],[Km compteur]]&lt;&gt;""),Tableau2[[#This Row],[Km compteur]]-D15,"")</calculatedColumnFormula>
    </tableColumn>
    <tableColumn id="4" xr3:uid="{00000000-0010-0000-0100-000004000000}" name="Nb. Litres" dataDxfId="27"/>
    <tableColumn id="5" xr3:uid="{00000000-0010-0000-0100-000005000000}" name="Prix €/L" dataDxfId="26"/>
    <tableColumn id="13" xr3:uid="{00000000-0010-0000-0100-00000D000000}" name="Coût c€/km" dataDxfId="25">
      <calculatedColumnFormula>IF(OR(D16="",D15="",I16="",ISTEXT(D15)),"",F16/(D16-D15)*100)</calculatedColumnFormula>
    </tableColumn>
    <tableColumn id="6" xr3:uid="{00000000-0010-0000-0100-000006000000}" name="Coût Plein (€)" dataDxfId="24">
      <calculatedColumnFormula>IF(F16="","",F16*G16)</calculatedColumnFormula>
    </tableColumn>
    <tableColumn id="7" xr3:uid="{00000000-0010-0000-0100-000007000000}" name="Conso. (L/100km)" dataDxfId="23">
      <calculatedColumnFormula>IF(OR(D16="",D15="",F16="",ISTEXT(D15)),"",F16/(D16-D15)*100)</calculatedColumnFormula>
    </tableColumn>
    <tableColumn id="8" xr3:uid="{00000000-0010-0000-0100-000008000000}" name="Prix S98 jour (€/L)" dataDxfId="22">
      <calculatedColumnFormula>IF(Tableau2[[#This Row],[Type]]="Super 98",Tableau2[[#This Row],[Prix €/L]],"")</calculatedColumnFormula>
    </tableColumn>
    <tableColumn id="9" xr3:uid="{00000000-0010-0000-0100-000009000000}" name="Coût Plein équiv. S98 (€)" dataDxfId="21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00000000-0010-0000-0100-00000C000000}" name="Economie sur le plein" dataDxfId="20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00000000-0010-0000-0100-00000A000000}" name="Économie cumulée (€)" dataDxfId="19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00000000-0010-0000-0100-00000E000000}" name="Station essenc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carburant" displayName="tbl_carburant" ref="B2:B8" totalsRowShown="0" headerRowDxfId="17" dataDxfId="16">
  <autoFilter ref="B2:B8" xr:uid="{00000000-0009-0000-0100-000003000000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00000000-0010-0000-0200-000001000000}" name="Type carburant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stationEssence" displayName="tbl_stationEssence" ref="D2:D24" totalsRowShown="0" headerRowDxfId="14" dataDxfId="13">
  <autoFilter ref="D2:D24" xr:uid="{00000000-0009-0000-0100-000004000000}"/>
  <sortState xmlns:xlrd2="http://schemas.microsoft.com/office/spreadsheetml/2017/richdata2" ref="D3:D10">
    <sortCondition ref="D2:D24"/>
  </sortState>
  <tableColumns count="1">
    <tableColumn id="1" xr3:uid="{00000000-0010-0000-0300-000001000000}" name="Station essence utilisé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D368D3-B941-4F3C-8A80-110EE3A17127}" name="tbl_vehicules" displayName="tbl_vehicules" ref="F2:F13" totalsRowShown="0" headerRowDxfId="8" dataDxfId="9">
  <autoFilter ref="F2:F13" xr:uid="{01D368D3-B941-4F3C-8A80-110EE3A17127}"/>
  <tableColumns count="1">
    <tableColumn id="1" xr3:uid="{C727D1A6-9D0E-4580-A5F6-AC27DEFA141C}" name="Véhicules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F090-4A81-49BB-840E-A7C5556EFA76}" name="DonneesExternes_1" displayName="DonneesExternes_1" ref="A1:I6" totalsRowShown="0">
  <autoFilter ref="A1:I6" xr:uid="{2187F090-4A81-49BB-840E-A7C5556EFA76}"/>
  <tableColumns count="9">
    <tableColumn id="1" xr3:uid="{7ADD8C9C-156C-4BFA-BD07-31A3440A4FB3}" name="Horodatage" dataDxfId="11"/>
    <tableColumn id="2" xr3:uid="{E51460E0-D654-4F5E-ACD4-2A19FB0587D8}" name="Date"/>
    <tableColumn id="3" xr3:uid="{266D3264-6F2C-49DD-9634-AA82BA5D85A0}" name="Type"/>
    <tableColumn id="4" xr3:uid="{F3D08DD0-C8E9-45A4-AE56-CA60F863F873}" name="Km compteur"/>
    <tableColumn id="5" xr3:uid="{07F81065-0C36-4AE7-A2A8-F7D02B62FEA3}" name="Nb. Litres"/>
    <tableColumn id="6" xr3:uid="{4E2A6D67-E068-48AD-8A48-13937A514B19}" name="Prix €/L"/>
    <tableColumn id="7" xr3:uid="{299FB754-9799-43C3-86F0-061570EF1738}" name="Prix S98 jour (€/L)"/>
    <tableColumn id="8" xr3:uid="{DDFF2BFF-49DC-4C9E-B3FB-B373227BAD71}" name="Station essence"/>
    <tableColumn id="9" xr3:uid="{AF247A63-8E13-4D1F-B2E5-E6D28BF1553D}" name="Véhicu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2AF9C2-FB85-44D8-9FF8-83DE80603365}" name="Tableau6" displayName="Tableau6" ref="A1:F56" totalsRowShown="0" headerRowDxfId="3" dataDxfId="4">
  <autoFilter ref="A1:F56" xr:uid="{8D2AF9C2-FB85-44D8-9FF8-83DE80603365}"/>
  <tableColumns count="6">
    <tableColumn id="1" xr3:uid="{409A973E-0A24-4072-8C38-BF38CEF8C1AA}" name="Turn #" dataDxfId="2"/>
    <tableColumn id="2" xr3:uid="{1C7DD0DE-10DB-4176-98B7-33F86D67F9C8}" name="Date" dataDxfId="0"/>
    <tableColumn id="3" xr3:uid="{5455D4E9-6755-4D92-857A-51C068388DD0}" name="User Request" dataDxfId="1"/>
    <tableColumn id="4" xr3:uid="{FB9B858C-AC76-4804-AD0F-ED67674DF08E}" name="Action Taken" dataDxfId="7"/>
    <tableColumn id="5" xr3:uid="{053BF6DA-67B2-4B2A-93A7-03EDD80FBDE7}" name="Details" dataDxfId="6"/>
    <tableColumn id="6" xr3:uid="{FB3E2D80-8F82-4322-80AA-196BB28F1CA1}" name="Outcom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AA36"/>
  <sheetViews>
    <sheetView showGridLines="0" showRowColHeaders="0"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3" sqref="O33"/>
    </sheetView>
  </sheetViews>
  <sheetFormatPr baseColWidth="10" defaultRowHeight="15.75" outlineLevelCol="1" x14ac:dyDescent="0.25"/>
  <cols>
    <col min="1" max="1" width="32" style="23" customWidth="1"/>
    <col min="2" max="2" width="18.375" style="23" customWidth="1"/>
    <col min="3" max="3" width="18.5" style="23" customWidth="1"/>
    <col min="4" max="4" width="14.25" style="23" customWidth="1"/>
    <col min="5" max="5" width="10.875" style="23" customWidth="1"/>
    <col min="6" max="6" width="12.125" style="23" customWidth="1"/>
    <col min="7" max="7" width="12.75" style="23" customWidth="1"/>
    <col min="8" max="8" width="14.5" style="23" customWidth="1"/>
    <col min="9" max="9" width="14.375" style="23" customWidth="1"/>
    <col min="10" max="10" width="16.875" style="23" customWidth="1"/>
    <col min="11" max="11" width="18.75" style="23" customWidth="1"/>
    <col min="12" max="12" width="21.5" style="23" customWidth="1"/>
    <col min="13" max="13" width="20" style="23" customWidth="1"/>
    <col min="14" max="14" width="20.25" style="23" customWidth="1"/>
    <col min="15" max="15" width="53.375" style="23" customWidth="1"/>
    <col min="16" max="16" width="1.625" style="23" hidden="1" customWidth="1"/>
    <col min="17" max="17" width="11.125" style="23" hidden="1" customWidth="1" outlineLevel="1"/>
    <col min="18" max="18" width="20.125" style="23" hidden="1" customWidth="1" outlineLevel="1"/>
    <col min="19" max="19" width="13.25" style="23" hidden="1" customWidth="1" outlineLevel="1"/>
    <col min="20" max="20" width="11" style="23" customWidth="1" collapsed="1"/>
    <col min="21" max="25" width="11" style="23" customWidth="1"/>
    <col min="26" max="26" width="19.25" style="23" bestFit="1" customWidth="1"/>
    <col min="27" max="27" width="19.5" style="23" bestFit="1" customWidth="1"/>
    <col min="28" max="28" width="11" style="23" customWidth="1"/>
    <col min="29" max="16384" width="11" style="23"/>
  </cols>
  <sheetData>
    <row r="1" spans="1:27" ht="50.1" customHeight="1" x14ac:dyDescent="0.25">
      <c r="A1" s="93" t="s">
        <v>324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Z1" s="54">
        <v>46164.837743055556</v>
      </c>
      <c r="AA1" s="54">
        <v>2</v>
      </c>
    </row>
    <row r="2" spans="1:27" ht="3.95" customHeight="1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27" ht="14.25" customHeight="1" x14ac:dyDescent="0.25"/>
    <row r="4" spans="1:27" x14ac:dyDescent="0.25">
      <c r="A4" s="1" t="s">
        <v>236</v>
      </c>
      <c r="B4" s="24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27" x14ac:dyDescent="0.25">
      <c r="A5" s="3" t="s">
        <v>237</v>
      </c>
      <c r="B5" s="34">
        <v>514.54</v>
      </c>
      <c r="C5" s="4" t="s">
        <v>238</v>
      </c>
      <c r="G5" s="3" t="s">
        <v>239</v>
      </c>
      <c r="H5" s="3"/>
      <c r="I5" s="3"/>
      <c r="J5" s="76">
        <f>IFERROR(AVERAGEIFS(Tableau2[Conso. (L/100km)],Tableau2[Type],"SuperEthanol E85"),"")</f>
        <v>6.5246189413047393</v>
      </c>
      <c r="K5" s="21" t="s">
        <v>240</v>
      </c>
    </row>
    <row r="6" spans="1:27" x14ac:dyDescent="0.25">
      <c r="A6" s="3" t="s">
        <v>241</v>
      </c>
      <c r="B6" s="76">
        <f>IFERROR(AVERAGEIFS(Tableau2[Conso. (L/100km)],Tableau2[Type],"Super 98"),"")</f>
        <v>5.394659991656237</v>
      </c>
      <c r="C6" s="21" t="s">
        <v>242</v>
      </c>
      <c r="G6" s="3" t="s">
        <v>243</v>
      </c>
      <c r="H6" s="3"/>
      <c r="I6" s="3"/>
      <c r="J6" s="53">
        <f t="array" ref="J6">IFERROR(AVERAGE(IF((Tableau2[Type]="SuperEthanol E85")*(Tableau2[Nb. km]&lt;&gt;"")*(Tableau2[Nb. Litres]&lt;&gt;""),Tableau2[Nb. km]/Tableau2[Nb. Litres])),"")</f>
        <v>15.418221395928684</v>
      </c>
      <c r="K6" s="21" t="s">
        <v>240</v>
      </c>
    </row>
    <row r="7" spans="1:27" x14ac:dyDescent="0.25">
      <c r="A7" s="3" t="s">
        <v>244</v>
      </c>
      <c r="B7" s="53">
        <f t="array" ref="B7">IFERROR(AVERAGE(IF((Tableau2[Type]="Super 98")*(Tableau2[Nb. km]&lt;&gt;"")*(Tableau2[Nb. Litres]&lt;&gt;""),Tableau2[Nb. km]/Tableau2[Nb. Litres])),"")</f>
        <v>18.536853422530164</v>
      </c>
      <c r="C7" s="21" t="s">
        <v>242</v>
      </c>
      <c r="G7" s="70" t="s">
        <v>245</v>
      </c>
      <c r="H7" s="70"/>
      <c r="I7" s="70"/>
      <c r="J7" s="35">
        <f>IF(OR(B6="",B6=0,COUNTIF(Tableau2[Type],"SuperEthanol E85")=0),0.2,AVERAGEIFS(Tableau2[Conso. (L/100km)],Tableau2[Type],"SuperEthanol E85")/B6-1)</f>
        <v>0.20945878913521465</v>
      </c>
      <c r="K7" s="4" t="s">
        <v>246</v>
      </c>
    </row>
    <row r="8" spans="1:27" ht="7.5" customHeight="1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</row>
    <row r="9" spans="1:27" x14ac:dyDescent="0.25">
      <c r="A9" s="30" t="s">
        <v>247</v>
      </c>
      <c r="B9" s="26"/>
      <c r="C9" s="27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27" x14ac:dyDescent="0.25">
      <c r="A10" s="3" t="s">
        <v>248</v>
      </c>
      <c r="B10" s="36">
        <f>IFERROR(LOOKUP(9.99999999999999E+307,Tableau2[Économie cumulée (€)]),0)</f>
        <v>92.366928052204941</v>
      </c>
      <c r="C10" s="4" t="s">
        <v>249</v>
      </c>
      <c r="G10" s="95" t="s">
        <v>250</v>
      </c>
      <c r="H10" s="94"/>
      <c r="I10" s="70"/>
      <c r="J10" s="33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1" t="s">
        <v>251</v>
      </c>
      <c r="L10" s="31"/>
      <c r="M10" s="31"/>
    </row>
    <row r="11" spans="1:27" x14ac:dyDescent="0.25">
      <c r="A11" s="3" t="s">
        <v>252</v>
      </c>
      <c r="B11" s="36">
        <f>MAX(0,B5-B10)</f>
        <v>422.17307194779505</v>
      </c>
      <c r="C11" s="4" t="s">
        <v>253</v>
      </c>
      <c r="G11" s="3" t="s">
        <v>254</v>
      </c>
      <c r="H11" s="3"/>
      <c r="I11" s="3"/>
      <c r="J11" s="77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1" t="s">
        <v>255</v>
      </c>
      <c r="L11" s="31"/>
      <c r="M11" s="31"/>
    </row>
    <row r="12" spans="1:27" x14ac:dyDescent="0.25">
      <c r="A12" s="3" t="s">
        <v>256</v>
      </c>
      <c r="B12" s="78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29"/>
      <c r="D12" s="29"/>
      <c r="G12" s="3" t="s">
        <v>257</v>
      </c>
      <c r="H12" s="3"/>
      <c r="I12" s="3"/>
      <c r="J12" s="32">
        <f>IFERROR(MIN(B10/B5,1),0)</f>
        <v>0.17951360059899124</v>
      </c>
      <c r="K12" s="31" t="s">
        <v>258</v>
      </c>
      <c r="L12" s="31"/>
      <c r="M12" s="31"/>
    </row>
    <row r="13" spans="1:27" ht="11.25" customHeight="1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</row>
    <row r="14" spans="1:27" x14ac:dyDescent="0.25">
      <c r="A14" s="25" t="s">
        <v>259</v>
      </c>
      <c r="B14" s="79"/>
      <c r="C14" s="28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5" spans="1:27" ht="37.5" customHeight="1" x14ac:dyDescent="0.25">
      <c r="A15" s="72" t="s">
        <v>260</v>
      </c>
      <c r="B15" s="73" t="s">
        <v>1</v>
      </c>
      <c r="C15" s="73" t="s">
        <v>225</v>
      </c>
      <c r="D15" s="73" t="s">
        <v>226</v>
      </c>
      <c r="E15" s="73" t="s">
        <v>261</v>
      </c>
      <c r="F15" s="73" t="s">
        <v>227</v>
      </c>
      <c r="G15" s="73" t="s">
        <v>228</v>
      </c>
      <c r="H15" s="73" t="s">
        <v>262</v>
      </c>
      <c r="I15" s="74" t="s">
        <v>263</v>
      </c>
      <c r="J15" s="74" t="s">
        <v>264</v>
      </c>
      <c r="K15" s="73" t="s">
        <v>229</v>
      </c>
      <c r="L15" s="74" t="s">
        <v>265</v>
      </c>
      <c r="M15" s="75" t="s">
        <v>266</v>
      </c>
      <c r="N15" s="75" t="s">
        <v>267</v>
      </c>
      <c r="O15" s="74" t="s">
        <v>230</v>
      </c>
      <c r="Q15" s="37" t="s">
        <v>268</v>
      </c>
      <c r="R15" s="37" t="s">
        <v>267</v>
      </c>
      <c r="S15" s="37" t="s">
        <v>269</v>
      </c>
    </row>
    <row r="16" spans="1:27" x14ac:dyDescent="0.25">
      <c r="A16" s="55">
        <v>1</v>
      </c>
      <c r="B16" s="39">
        <v>46131</v>
      </c>
      <c r="C16" s="40" t="s">
        <v>270</v>
      </c>
      <c r="D16" s="80">
        <v>9812</v>
      </c>
      <c r="E16" s="81" t="str">
        <f>IF(AND(ISNUMBER(D15),Tableau2[[#This Row],[Km compteur]]&lt;&gt;""),Tableau2[[#This Row],[Km compteur]]-D15,"")</f>
        <v/>
      </c>
      <c r="F16" s="82">
        <v>11.4</v>
      </c>
      <c r="G16" s="83">
        <v>1.9730000000000001</v>
      </c>
      <c r="H16" s="84" t="str">
        <f t="shared" ref="H16:H25" si="0">IF(OR(D16="",D15="",I16="",ISTEXT(D15)),"",F16/(D16-D15)*100)</f>
        <v/>
      </c>
      <c r="I16" s="41">
        <f t="shared" ref="I16:I25" si="1">IF(F16="","",F16*G16)</f>
        <v>22.4922</v>
      </c>
      <c r="J16" s="42" t="str">
        <f t="shared" ref="J16:J25" si="2">IF(OR(D16="",D15="",F16="",ISTEXT(D15)),"",F16/(D16-D15)*100)</f>
        <v/>
      </c>
      <c r="K16" s="43">
        <f>IF(Tableau2[[#This Row],[Type]]="Super 98",Tableau2[[#This Row],[Prix €/L]],"")</f>
        <v>1.9730000000000001</v>
      </c>
      <c r="L16" s="41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46"/>
      <c r="N16" s="4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56" t="s">
        <v>271</v>
      </c>
      <c r="Q16" s="23">
        <v>0</v>
      </c>
      <c r="R16" s="23">
        <v>0</v>
      </c>
      <c r="S16" s="23">
        <f>$B$5</f>
        <v>514.54</v>
      </c>
    </row>
    <row r="17" spans="1:19" x14ac:dyDescent="0.25">
      <c r="A17" s="55">
        <f t="shared" ref="A17:A25" si="3">IF(B17="","",A16+1)</f>
        <v>2</v>
      </c>
      <c r="B17" s="39">
        <v>46135</v>
      </c>
      <c r="C17" s="40" t="s">
        <v>270</v>
      </c>
      <c r="D17" s="80">
        <v>10094</v>
      </c>
      <c r="E17" s="81">
        <f>IF(AND(ISNUMBER(D16),Tableau2[[#This Row],[Km compteur]]&lt;&gt;""),Tableau2[[#This Row],[Km compteur]]-D16,"")</f>
        <v>282</v>
      </c>
      <c r="F17" s="82">
        <v>15.22</v>
      </c>
      <c r="G17" s="83">
        <v>1.9259999999999999</v>
      </c>
      <c r="H17" s="84">
        <f t="shared" si="0"/>
        <v>5.3971631205673765</v>
      </c>
      <c r="I17" s="41">
        <f t="shared" si="1"/>
        <v>29.31372</v>
      </c>
      <c r="J17" s="42">
        <f t="shared" si="2"/>
        <v>5.3971631205673765</v>
      </c>
      <c r="K17" s="43">
        <f>IF(Tableau2[[#This Row],[Type]]="Super 98",Tableau2[[#This Row],[Prix €/L]],"")</f>
        <v>1.9259999999999999</v>
      </c>
      <c r="L17" s="41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46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4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56" t="s">
        <v>271</v>
      </c>
      <c r="Q17" s="23">
        <f t="array" ref="Q17">IFERROR(IF(SMALL(IF((Tableau2[Type]="SuperEthanol E85")*(Tableau2[Économie cumulée (€)]&lt;&gt;""),ROW(Tableau2[Type])),1)&gt;0,1,NA()),NA())</f>
        <v>1</v>
      </c>
      <c r="R17" s="23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23">
        <f t="shared" ref="S17:S30" si="4">IF(ISNA(Q17),NA(),$B$5)</f>
        <v>514.54</v>
      </c>
    </row>
    <row r="18" spans="1:19" x14ac:dyDescent="0.25">
      <c r="A18" s="55">
        <f t="shared" si="3"/>
        <v>3</v>
      </c>
      <c r="B18" s="39">
        <v>46140</v>
      </c>
      <c r="C18" s="40" t="s">
        <v>270</v>
      </c>
      <c r="D18" s="80">
        <v>10349</v>
      </c>
      <c r="E18" s="81">
        <f>IF(AND(ISNUMBER(D17),Tableau2[[#This Row],[Km compteur]]&lt;&gt;""),Tableau2[[#This Row],[Km compteur]]-D17,"")</f>
        <v>255</v>
      </c>
      <c r="F18" s="82">
        <v>13.75</v>
      </c>
      <c r="G18" s="83">
        <v>2.0310000000000001</v>
      </c>
      <c r="H18" s="84">
        <f t="shared" si="0"/>
        <v>5.3921568627450984</v>
      </c>
      <c r="I18" s="41">
        <f t="shared" si="1"/>
        <v>27.926250000000003</v>
      </c>
      <c r="J18" s="42">
        <f t="shared" si="2"/>
        <v>5.3921568627450984</v>
      </c>
      <c r="K18" s="43">
        <f>IF(Tableau2[[#This Row],[Type]]="Super 98",Tableau2[[#This Row],[Prix €/L]],"")</f>
        <v>2.0310000000000001</v>
      </c>
      <c r="L18" s="41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46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4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56" t="s">
        <v>272</v>
      </c>
      <c r="Q18" s="23">
        <f t="array" ref="Q18">IFERROR(IF(SMALL(IF((Tableau2[Type]="SuperEthanol E85")*(Tableau2[Économie cumulée (€)]&lt;&gt;""),ROW(Tableau2[Type])),2)&gt;0,2,NA()),NA())</f>
        <v>2</v>
      </c>
      <c r="R18" s="23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23">
        <f t="shared" si="4"/>
        <v>514.54</v>
      </c>
    </row>
    <row r="19" spans="1:19" x14ac:dyDescent="0.25">
      <c r="A19" s="55">
        <f t="shared" si="3"/>
        <v>4</v>
      </c>
      <c r="B19" s="39">
        <v>46146</v>
      </c>
      <c r="C19" s="40" t="s">
        <v>232</v>
      </c>
      <c r="D19" s="80">
        <v>10553</v>
      </c>
      <c r="E19" s="81">
        <f>IF(AND(ISNUMBER(D18),Tableau2[[#This Row],[Km compteur]]&lt;&gt;""),Tableau2[[#This Row],[Km compteur]]-D18,"")</f>
        <v>204</v>
      </c>
      <c r="F19" s="82">
        <v>11.47</v>
      </c>
      <c r="G19" s="83">
        <v>0.80900000000000005</v>
      </c>
      <c r="H19" s="84">
        <f t="shared" si="0"/>
        <v>5.6225490196078436</v>
      </c>
      <c r="I19" s="41">
        <f t="shared" si="1"/>
        <v>9.2792300000000019</v>
      </c>
      <c r="J19" s="42">
        <f t="shared" si="2"/>
        <v>5.6225490196078436</v>
      </c>
      <c r="K19" s="43">
        <v>2.0790000000000002</v>
      </c>
      <c r="L19" s="41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44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56" t="s">
        <v>235</v>
      </c>
      <c r="Q19" s="23">
        <f t="array" ref="Q19">IFERROR(IF(SMALL(IF((Tableau2[Type]="SuperEthanol E85")*(Tableau2[Économie cumulée (€)]&lt;&gt;""),ROW(Tableau2[Type])),3)&gt;0,3,NA()),NA())</f>
        <v>3</v>
      </c>
      <c r="R19" s="23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23">
        <f t="shared" si="4"/>
        <v>514.54</v>
      </c>
    </row>
    <row r="20" spans="1:19" x14ac:dyDescent="0.25">
      <c r="A20" s="55">
        <f t="shared" si="3"/>
        <v>5</v>
      </c>
      <c r="B20" s="39">
        <v>46148</v>
      </c>
      <c r="C20" s="40" t="s">
        <v>232</v>
      </c>
      <c r="D20" s="80">
        <v>10749</v>
      </c>
      <c r="E20" s="81">
        <f>IF(AND(ISNUMBER(D19),Tableau2[[#This Row],[Km compteur]]&lt;&gt;""),Tableau2[[#This Row],[Km compteur]]-D19,"")</f>
        <v>196</v>
      </c>
      <c r="F20" s="82">
        <v>11.71</v>
      </c>
      <c r="G20" s="83">
        <v>0.747</v>
      </c>
      <c r="H20" s="84">
        <f t="shared" si="0"/>
        <v>5.9744897959183678</v>
      </c>
      <c r="I20" s="41">
        <f t="shared" si="1"/>
        <v>8.7473700000000001</v>
      </c>
      <c r="J20" s="42">
        <f t="shared" si="2"/>
        <v>5.9744897959183678</v>
      </c>
      <c r="K20" s="43">
        <v>2.0979999999999999</v>
      </c>
      <c r="L20" s="41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44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56" t="s">
        <v>235</v>
      </c>
      <c r="Q20" s="23">
        <f t="array" ref="Q20">IFERROR(IF(SMALL(IF((Tableau2[Type]="SuperEthanol E85")*(Tableau2[Économie cumulée (€)]&lt;&gt;""),ROW(Tableau2[Type])),4)&gt;0,4,NA()),NA())</f>
        <v>4</v>
      </c>
      <c r="R20" s="23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23">
        <f t="shared" si="4"/>
        <v>514.54</v>
      </c>
    </row>
    <row r="21" spans="1:19" x14ac:dyDescent="0.25">
      <c r="A21" s="55">
        <f t="shared" si="3"/>
        <v>6</v>
      </c>
      <c r="B21" s="39">
        <v>46151</v>
      </c>
      <c r="C21" s="40" t="s">
        <v>232</v>
      </c>
      <c r="D21" s="80">
        <v>10975</v>
      </c>
      <c r="E21" s="81">
        <f>IF(AND(ISNUMBER(D20),Tableau2[[#This Row],[Km compteur]]&lt;&gt;""),Tableau2[[#This Row],[Km compteur]]-D20,"")</f>
        <v>226</v>
      </c>
      <c r="F21" s="82">
        <v>15.28</v>
      </c>
      <c r="G21" s="83">
        <v>0.75700000000000001</v>
      </c>
      <c r="H21" s="84">
        <f t="shared" si="0"/>
        <v>6.7610619469026547</v>
      </c>
      <c r="I21" s="41">
        <f t="shared" si="1"/>
        <v>11.56696</v>
      </c>
      <c r="J21" s="42">
        <f t="shared" si="2"/>
        <v>6.7610619469026547</v>
      </c>
      <c r="K21" s="43">
        <v>2.0979999999999999</v>
      </c>
      <c r="L21" s="41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44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56" t="s">
        <v>235</v>
      </c>
      <c r="Q21" s="23">
        <f t="array" ref="Q21">IFERROR(IF(SMALL(IF((Tableau2[Type]="SuperEthanol E85")*(Tableau2[Économie cumulée (€)]&lt;&gt;""),ROW(Tableau2[Type])),5)&gt;0,5,NA()),NA())</f>
        <v>5</v>
      </c>
      <c r="R21" s="23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23">
        <f t="shared" si="4"/>
        <v>514.54</v>
      </c>
    </row>
    <row r="22" spans="1:19" x14ac:dyDescent="0.25">
      <c r="A22" s="55">
        <f t="shared" si="3"/>
        <v>7</v>
      </c>
      <c r="B22" s="39">
        <v>46154</v>
      </c>
      <c r="C22" s="47" t="s">
        <v>232</v>
      </c>
      <c r="D22" s="81">
        <v>11173</v>
      </c>
      <c r="E22" s="81">
        <f>IF(AND(ISNUMBER(D21),Tableau2[[#This Row],[Km compteur]]&lt;&gt;""),Tableau2[[#This Row],[Km compteur]]-D21,"")</f>
        <v>198</v>
      </c>
      <c r="F22" s="85">
        <v>13.94</v>
      </c>
      <c r="G22" s="86">
        <v>0.83499999999999996</v>
      </c>
      <c r="H22" s="84">
        <f t="shared" si="0"/>
        <v>7.0404040404040398</v>
      </c>
      <c r="I22" s="41">
        <f t="shared" si="1"/>
        <v>11.639899999999999</v>
      </c>
      <c r="J22" s="42">
        <f t="shared" si="2"/>
        <v>7.0404040404040398</v>
      </c>
      <c r="K22" s="48">
        <v>2.0950000000000002</v>
      </c>
      <c r="L22" s="41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44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56" t="s">
        <v>235</v>
      </c>
      <c r="Q22" s="23">
        <f t="array" ref="Q22">IFERROR(IF(SMALL(IF((Tableau2[Type]="SuperEthanol E85")*(Tableau2[Économie cumulée (€)]&lt;&gt;""),ROW(Tableau2[Type])),6)&gt;0,6,NA()),NA())</f>
        <v>6</v>
      </c>
      <c r="R22" s="23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23">
        <f t="shared" si="4"/>
        <v>514.54</v>
      </c>
    </row>
    <row r="23" spans="1:19" x14ac:dyDescent="0.25">
      <c r="A23" s="55">
        <f t="shared" si="3"/>
        <v>8</v>
      </c>
      <c r="B23" s="39">
        <v>46157</v>
      </c>
      <c r="C23" s="40" t="s">
        <v>232</v>
      </c>
      <c r="D23" s="80">
        <v>11376</v>
      </c>
      <c r="E23" s="81">
        <f>IF(AND(ISNUMBER(D22),Tableau2[[#This Row],[Km compteur]]&lt;&gt;""),Tableau2[[#This Row],[Km compteur]]-D22,"")</f>
        <v>203</v>
      </c>
      <c r="F23" s="82">
        <v>13.37</v>
      </c>
      <c r="G23" s="83">
        <v>0.71699999999999997</v>
      </c>
      <c r="H23" s="84">
        <f t="shared" si="0"/>
        <v>6.5862068965517233</v>
      </c>
      <c r="I23" s="41">
        <f t="shared" si="1"/>
        <v>9.5862899999999982</v>
      </c>
      <c r="J23" s="42">
        <f t="shared" si="2"/>
        <v>6.5862068965517233</v>
      </c>
      <c r="K23" s="43">
        <v>2.0950000000000002</v>
      </c>
      <c r="L23" s="41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44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56" t="s">
        <v>235</v>
      </c>
      <c r="Q23" s="23">
        <f t="array" ref="Q23">IFERROR(IF(SMALL(IF((Tableau2[Type]="SuperEthanol E85")*(Tableau2[Économie cumulée (€)]&lt;&gt;""),ROW(Tableau2[Type])),7)&gt;0,7,NA()),NA())</f>
        <v>7</v>
      </c>
      <c r="R23" s="23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23">
        <f t="shared" si="4"/>
        <v>514.54</v>
      </c>
    </row>
    <row r="24" spans="1:19" x14ac:dyDescent="0.25">
      <c r="A24" s="55">
        <f t="shared" si="3"/>
        <v>9</v>
      </c>
      <c r="B24" s="39">
        <v>46161</v>
      </c>
      <c r="C24" s="47" t="s">
        <v>232</v>
      </c>
      <c r="D24" s="81">
        <v>11596</v>
      </c>
      <c r="E24" s="81">
        <f>IF(AND(ISNUMBER(D23),Tableau2[[#This Row],[Km compteur]]&lt;&gt;""),Tableau2[[#This Row],[Km compteur]]-D23,"")</f>
        <v>220</v>
      </c>
      <c r="F24" s="85">
        <v>14.9</v>
      </c>
      <c r="G24" s="86">
        <v>0.79800000000000004</v>
      </c>
      <c r="H24" s="87">
        <f t="shared" si="0"/>
        <v>6.7727272727272734</v>
      </c>
      <c r="I24" s="41">
        <f t="shared" si="1"/>
        <v>11.8902</v>
      </c>
      <c r="J24" s="42">
        <f t="shared" si="2"/>
        <v>6.7727272727272734</v>
      </c>
      <c r="K24" s="48">
        <v>2.0910000000000002</v>
      </c>
      <c r="L24" s="41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44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56" t="s">
        <v>235</v>
      </c>
      <c r="Q24" s="23" t="e">
        <f t="array" ref="Q24">IFERROR(IF(SMALL(IF((Tableau2[Type]="SuperEthanol E85")*(Tableau2[Économie cumulée (€)]&lt;&gt;""),ROW(Tableau2[Type])),11)&gt;0,11,NA()),NA())</f>
        <v>#N/A</v>
      </c>
      <c r="R24" s="23" t="e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23" t="e">
        <f t="shared" si="4"/>
        <v>#N/A</v>
      </c>
    </row>
    <row r="25" spans="1:19" x14ac:dyDescent="0.25">
      <c r="A25" s="55">
        <f t="shared" si="3"/>
        <v>10</v>
      </c>
      <c r="B25" s="39">
        <v>46164</v>
      </c>
      <c r="C25" s="47" t="s">
        <v>232</v>
      </c>
      <c r="D25" s="81">
        <v>11831</v>
      </c>
      <c r="E25" s="81">
        <f>IF(AND(ISNUMBER(D24),Tableau2[[#This Row],[Km compteur]]&lt;&gt;""),Tableau2[[#This Row],[Km compteur]]-D24,"")</f>
        <v>235</v>
      </c>
      <c r="F25" s="85">
        <v>16.25</v>
      </c>
      <c r="G25" s="86">
        <v>0.79800000000000004</v>
      </c>
      <c r="H25" s="87">
        <f t="shared" si="0"/>
        <v>6.9148936170212769</v>
      </c>
      <c r="I25" s="41">
        <f t="shared" si="1"/>
        <v>12.967500000000001</v>
      </c>
      <c r="J25" s="42">
        <f t="shared" si="2"/>
        <v>6.9148936170212769</v>
      </c>
      <c r="K25" s="48">
        <v>2.117</v>
      </c>
      <c r="L25" s="41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46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41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56" t="s">
        <v>235</v>
      </c>
      <c r="Q25" s="23" t="e">
        <f t="array" ref="Q25">IFERROR(IF(SMALL(IF((Tableau2[Type]="SuperEthanol E85")*(Tableau2[Économie cumulée (€)]&lt;&gt;""),ROW(Tableau2[Type])),14)&gt;0,14,NA()),NA())</f>
        <v>#N/A</v>
      </c>
      <c r="R25" s="23" t="e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23" t="e">
        <f t="shared" si="4"/>
        <v>#N/A</v>
      </c>
    </row>
    <row r="26" spans="1:19" x14ac:dyDescent="0.25">
      <c r="Q26" s="23" t="e">
        <f t="array" ref="Q26">IFERROR(IF(SMALL(IF((Tableau2[Type]="SuperEthanol E85")*(Tableau2[Économie cumulée (€)]&lt;&gt;""),ROW(Tableau2[Type])),15)&gt;0,15,NA()),NA())</f>
        <v>#N/A</v>
      </c>
      <c r="R26" s="23" t="e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23" t="e">
        <f t="shared" si="4"/>
        <v>#N/A</v>
      </c>
    </row>
    <row r="27" spans="1:19" x14ac:dyDescent="0.25">
      <c r="A27" s="1" t="s">
        <v>273</v>
      </c>
      <c r="B27" s="2"/>
      <c r="C27" s="2"/>
      <c r="D27" s="2"/>
      <c r="E27" s="2"/>
      <c r="G27" s="12" t="s">
        <v>274</v>
      </c>
      <c r="H27" s="13"/>
      <c r="I27" s="13"/>
      <c r="J27" s="13"/>
      <c r="K27" s="13"/>
      <c r="L27" s="13"/>
      <c r="Q27" s="23" t="e">
        <f t="array" ref="Q27">IFERROR(IF(SMALL(IF((Tableau2[Type]="SuperEthanol E85")*(Tableau2[Économie cumulée (€)]&lt;&gt;""),ROW(Tableau2[Type])),16)&gt;0,16,NA()),NA())</f>
        <v>#N/A</v>
      </c>
      <c r="R27" s="23" t="e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23" t="e">
        <f t="shared" si="4"/>
        <v>#N/A</v>
      </c>
    </row>
    <row r="28" spans="1:19" x14ac:dyDescent="0.25">
      <c r="A28" s="3" t="s">
        <v>275</v>
      </c>
      <c r="B28" s="5">
        <f>COUNTIF(Tableau2[Type],"SuperEthanol E85")</f>
        <v>7</v>
      </c>
      <c r="C28" s="5"/>
      <c r="D28" s="5"/>
      <c r="E28" s="5"/>
      <c r="G28" s="14" t="s">
        <v>276</v>
      </c>
      <c r="H28" s="14"/>
      <c r="I28" s="14"/>
      <c r="J28" s="49">
        <f>SUM(Tableau2[Coût Plein équiv. S98 (€)])</f>
        <v>168.04437805220493</v>
      </c>
      <c r="K28" s="14"/>
      <c r="L28" s="14"/>
      <c r="M28" s="4" t="s">
        <v>277</v>
      </c>
      <c r="Q28" s="23" t="e">
        <f t="array" ref="Q28">IFERROR(IF(SMALL(IF((Tableau2[Type]="SuperEthanol E85")*(Tableau2[Économie cumulée (€)]&lt;&gt;""),ROW(Tableau2[Type])),17)&gt;0,17,NA()),NA())</f>
        <v>#N/A</v>
      </c>
      <c r="R28" s="23" t="e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23" t="e">
        <f t="shared" si="4"/>
        <v>#N/A</v>
      </c>
    </row>
    <row r="29" spans="1:19" x14ac:dyDescent="0.25">
      <c r="A29" s="6" t="s">
        <v>278</v>
      </c>
      <c r="B29" s="17">
        <f>COUNTIF(Tableau2[Type],"Super 98")</f>
        <v>3</v>
      </c>
      <c r="C29" s="7"/>
      <c r="D29" s="7"/>
      <c r="E29" s="7"/>
      <c r="G29" s="15" t="s">
        <v>279</v>
      </c>
      <c r="H29" s="15"/>
      <c r="I29" s="15"/>
      <c r="J29" s="88">
        <f>IF(J28=0,"",J28-B34)</f>
        <v>92.366928052204941</v>
      </c>
      <c r="K29" s="15"/>
      <c r="L29" s="15"/>
      <c r="M29" s="4" t="s">
        <v>280</v>
      </c>
      <c r="Q29" s="23" t="e">
        <f t="array" ref="Q29">IFERROR(IF(SMALL(IF((Tableau2[Type]="SuperEthanol E85")*(Tableau2[Économie cumulée (€)]&lt;&gt;""),ROW(Tableau2[Type])),18)&gt;0,18,NA()),NA())</f>
        <v>#N/A</v>
      </c>
      <c r="R29" s="23" t="e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23" t="e">
        <f t="shared" si="4"/>
        <v>#N/A</v>
      </c>
    </row>
    <row r="30" spans="1:19" x14ac:dyDescent="0.25">
      <c r="A30" s="3" t="s">
        <v>281</v>
      </c>
      <c r="B30" s="18">
        <f>IF(COUNTA(Tableau2[Km compteur])&lt;2,"",MAX(Tableau2[Km compteur])-MIN(Tableau2[Km compteur]))</f>
        <v>2019</v>
      </c>
      <c r="C30" s="8"/>
      <c r="D30" s="8"/>
      <c r="E30" s="8"/>
      <c r="G30" s="16" t="s">
        <v>282</v>
      </c>
      <c r="H30" s="14"/>
      <c r="I30" s="14"/>
      <c r="J30" s="89">
        <f>IF(J29="","",J29-B5)</f>
        <v>-422.17307194779505</v>
      </c>
      <c r="K30" s="14"/>
      <c r="L30" s="14"/>
      <c r="M30" s="4" t="s">
        <v>283</v>
      </c>
      <c r="Q30" s="23" t="e">
        <f t="array" ref="Q30">IFERROR(IF(SMALL(IF((Tableau2[Type]="SuperEthanol E85")*(Tableau2[Économie cumulée (€)]&lt;&gt;""),ROW(Tableau2[Type])),19)&gt;0,19,NA()),NA())</f>
        <v>#N/A</v>
      </c>
      <c r="R30" s="23" t="e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23" t="e">
        <f t="shared" si="4"/>
        <v>#N/A</v>
      </c>
    </row>
    <row r="31" spans="1:19" x14ac:dyDescent="0.25">
      <c r="A31" s="45" t="s">
        <v>284</v>
      </c>
      <c r="B31" s="90">
        <f>IFERROR((LOOKUP(9.99999999999999E+307,Tableau2[Km compteur])-INDEX(Tableau2[Km compteur],1))/(LOOKUP(9.99999999999999E+307,Tableau2[Date])-INDEX(Tableau2[Date],1))*7,"-")</f>
        <v>428.27272727272725</v>
      </c>
      <c r="C31" s="7"/>
      <c r="D31" s="7"/>
      <c r="E31" s="7"/>
      <c r="G31" s="15" t="s">
        <v>285</v>
      </c>
      <c r="H31" s="15"/>
      <c r="I31" s="15"/>
      <c r="J31" s="50">
        <f>IF(OR(B5="",B5=0,J29=""),"",MIN(J29/B5,1))</f>
        <v>0.17951360059899124</v>
      </c>
      <c r="K31" s="15"/>
      <c r="L31" s="15"/>
      <c r="P31" s="23" t="e">
        <f t="array" ref="P31">IFERROR(IF(SMALL(IF((Tableau2[Type]="SuperEthanol E85")*(Tableau2[Économie cumulée (€)]&lt;&gt;""),ROW(Tableau2[Type])),20)&gt;0,20,NA()),NA())</f>
        <v>#N/A</v>
      </c>
      <c r="Q31" s="23" t="e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23" t="e">
        <f>IF(ISNA(P31),NA(),$B$5)</f>
        <v>#N/A</v>
      </c>
    </row>
    <row r="32" spans="1:19" x14ac:dyDescent="0.25">
      <c r="A32" s="3" t="s">
        <v>286</v>
      </c>
      <c r="B32" s="91">
        <f>IFERROR((LOOKUP(9.99999999999999E+307,Tableau2[Km compteur])-INDEX(Tableau2[Km compteur],1))/(LOOKUP(9.99999999999999E+307,Tableau2[Date])-INDEX(Tableau2[Date],1))*30.4375,"-")</f>
        <v>1862.2215909090908</v>
      </c>
      <c r="C32" s="8"/>
      <c r="D32" s="8"/>
      <c r="E32" s="8"/>
      <c r="G32" s="14" t="s">
        <v>287</v>
      </c>
      <c r="H32" s="14"/>
      <c r="I32" s="14"/>
      <c r="J32" s="14" t="str">
        <f>IF(J30="","",IF(J30&gt;=0,"✅ OUI ! Rentabilisé !","❌ Pas encore... Encore "&amp;TEXT(ABS(J30),"#,##")&amp;" € à économiser"))</f>
        <v>❌ Pas encore... Encore 422,17 € à économiser</v>
      </c>
      <c r="K32" s="14"/>
      <c r="L32" s="14"/>
      <c r="P32" s="23" t="e">
        <f t="array" ref="P32">IFERROR(IF(SMALL(IF((Tableau2[Type]="SuperEthanol E85")*(Tableau2[Économie cumulée (€)]&lt;&gt;""),ROW(Tableau2[Type])),21)&gt;0,21,NA()),NA())</f>
        <v>#N/A</v>
      </c>
      <c r="Q32" s="23" t="e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23" t="e">
        <f>IF(ISNA(P32),NA(),$B$5)</f>
        <v>#N/A</v>
      </c>
    </row>
    <row r="33" spans="1:12" x14ac:dyDescent="0.25">
      <c r="A33" s="6" t="s">
        <v>288</v>
      </c>
      <c r="B33" s="19">
        <f>SUMIF(Tableau2[Type],"SuperEthanol E85",Tableau2[Nb. Litres])</f>
        <v>96.92</v>
      </c>
      <c r="C33" s="9"/>
      <c r="D33" s="9"/>
      <c r="E33" s="9"/>
      <c r="G33" s="51"/>
      <c r="H33" s="51"/>
      <c r="I33" s="51"/>
      <c r="J33" s="51"/>
      <c r="K33" s="51"/>
      <c r="L33" s="51"/>
    </row>
    <row r="34" spans="1:12" x14ac:dyDescent="0.25">
      <c r="A34" s="3" t="s">
        <v>289</v>
      </c>
      <c r="B34" s="20">
        <f>SUMIF(Tableau2[Type],"SuperEthanol E85",Tableau2[Coût Plein (€)])</f>
        <v>75.677449999999993</v>
      </c>
      <c r="C34" s="8"/>
      <c r="D34" s="8"/>
      <c r="E34" s="8"/>
      <c r="G34" s="14" t="s">
        <v>290</v>
      </c>
      <c r="H34" s="14"/>
      <c r="I34" s="14"/>
      <c r="J34" s="92">
        <f>IF(OR(J29="",B30="",B30=0),"",J29/B30*100)</f>
        <v>4.5748849951562631</v>
      </c>
      <c r="K34" s="14"/>
      <c r="L34" s="14"/>
    </row>
    <row r="35" spans="1:12" x14ac:dyDescent="0.25">
      <c r="A35" s="6" t="s">
        <v>291</v>
      </c>
      <c r="B35" s="19">
        <f>IFERROR(AVERAGEIFS(Tableau2[Conso. (L/100km)],Tableau2[Type],"SuperEthanol E85"),"")</f>
        <v>6.5246189413047393</v>
      </c>
      <c r="C35" s="10"/>
      <c r="D35" s="10"/>
      <c r="E35" s="10"/>
      <c r="G35" s="15" t="s">
        <v>292</v>
      </c>
      <c r="H35" s="15"/>
      <c r="I35" s="15"/>
      <c r="J35" s="52">
        <f>IF(OR(J34="",J34&lt;=0,J30=""),"",IF(J30&gt;=0,0,ROUNDUP(ABS(J30)/J34*100,0)))</f>
        <v>9229</v>
      </c>
      <c r="K35" s="15"/>
      <c r="L35" s="15"/>
    </row>
    <row r="36" spans="1:12" x14ac:dyDescent="0.25">
      <c r="A36" s="3" t="s">
        <v>293</v>
      </c>
      <c r="B36" s="8">
        <f>IFERROR(AVERAGEIFS(Tableau2[Conso. (L/100km)],Tableau2[Type],"Super 98"),"")</f>
        <v>5.394659991656237</v>
      </c>
      <c r="C36" s="11"/>
      <c r="D36" s="11"/>
      <c r="E36" s="11"/>
    </row>
  </sheetData>
  <mergeCells count="2">
    <mergeCell ref="A1:O1"/>
    <mergeCell ref="G10:H10"/>
  </mergeCells>
  <conditionalFormatting sqref="K16:K25">
    <cfRule type="expression" dxfId="38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00000000-0002-0000-0200-000000000000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00000000-0002-0000-0200-000001000000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/>
  <dimension ref="B1:I20"/>
  <sheetViews>
    <sheetView topLeftCell="A3" workbookViewId="0">
      <selection activeCell="M15" sqref="M15"/>
    </sheetView>
  </sheetViews>
  <sheetFormatPr baseColWidth="10" defaultColWidth="9" defaultRowHeight="15.75" x14ac:dyDescent="0.25"/>
  <cols>
    <col min="1" max="1" width="3" style="71" customWidth="1"/>
    <col min="2" max="2" width="43.125" style="71" customWidth="1"/>
    <col min="3" max="6" width="16" style="71" customWidth="1"/>
    <col min="7" max="9" width="13" style="71" customWidth="1"/>
    <col min="10" max="10" width="9" style="71" customWidth="1"/>
    <col min="11" max="16384" width="9" style="71"/>
  </cols>
  <sheetData>
    <row r="1" spans="2:9" ht="8.1" customHeight="1" x14ac:dyDescent="0.25">
      <c r="B1" s="58"/>
      <c r="C1" s="58"/>
      <c r="D1" s="58"/>
      <c r="E1" s="58"/>
      <c r="F1" s="58"/>
      <c r="G1" s="58"/>
    </row>
    <row r="2" spans="2:9" ht="36" customHeight="1" x14ac:dyDescent="0.25">
      <c r="B2" s="96" t="s">
        <v>294</v>
      </c>
      <c r="C2" s="97"/>
      <c r="D2" s="97"/>
      <c r="E2" s="97"/>
      <c r="F2" s="97"/>
      <c r="G2" s="97"/>
    </row>
    <row r="3" spans="2:9" ht="6" customHeight="1" x14ac:dyDescent="0.25">
      <c r="B3" s="59"/>
      <c r="C3" s="59"/>
      <c r="D3" s="59"/>
      <c r="E3" s="59"/>
      <c r="F3" s="59"/>
      <c r="G3" s="59"/>
    </row>
    <row r="4" spans="2:9" ht="27.95" customHeight="1" x14ac:dyDescent="0.25">
      <c r="B4" s="98" t="s">
        <v>295</v>
      </c>
      <c r="C4" s="99"/>
      <c r="D4" s="99"/>
      <c r="E4" s="99"/>
      <c r="F4" s="99"/>
      <c r="G4" s="100"/>
    </row>
    <row r="5" spans="2:9" ht="32.1" customHeight="1" x14ac:dyDescent="0.25">
      <c r="B5" s="60" t="s">
        <v>296</v>
      </c>
      <c r="C5" s="61" t="s">
        <v>297</v>
      </c>
      <c r="D5" s="61" t="s">
        <v>298</v>
      </c>
      <c r="E5" s="61" t="s">
        <v>299</v>
      </c>
      <c r="F5" s="61" t="s">
        <v>300</v>
      </c>
      <c r="G5" s="61" t="s">
        <v>301</v>
      </c>
      <c r="H5" s="61" t="s">
        <v>302</v>
      </c>
      <c r="I5" s="60" t="s">
        <v>303</v>
      </c>
    </row>
    <row r="6" spans="2:9" ht="21.95" customHeight="1" x14ac:dyDescent="0.25">
      <c r="B6" s="63" t="str">
        <f>IF(Notes!$D$3="","",Notes!$D$3)</f>
        <v>Carrefour Flers</v>
      </c>
      <c r="C6" s="64" t="str">
        <f>IFERROR(AVERAGEIF(_ImportGS!$H:$H,$B6,_ImportGS!I:I),"")</f>
        <v/>
      </c>
      <c r="D6" s="64" t="str">
        <f>IFERROR(AVERAGEIF(_ImportGS!$H:$H,$B6,_ImportGS!J:J),"")</f>
        <v/>
      </c>
      <c r="E6" s="64" t="str">
        <f>IFERROR(AVERAGEIF(_ImportGS!$H:$H,$B6,_ImportGS!K:K),"")</f>
        <v/>
      </c>
      <c r="F6" s="64" t="str">
        <f>IFERROR(AVERAGEIF(_ImportGS!$H:$H,$B6,_ImportGS!L:L),"")</f>
        <v/>
      </c>
      <c r="G6" s="64" t="str">
        <f>IFERROR(AVERAGEIF(_ImportGS!$H:$H,$B6,_ImportGS!M:M),"")</f>
        <v/>
      </c>
      <c r="H6" s="64" t="str">
        <f>IFERROR(AVERAGEIF(_ImportGS!$H:$H,$B6,_ImportGS!N:N),"")</f>
        <v/>
      </c>
      <c r="I6" s="65" t="e">
        <f>IF(Notes!$D3="","",COUNTIF(#REF!,B6))</f>
        <v>#REF!</v>
      </c>
    </row>
    <row r="7" spans="2:9" ht="21.95" customHeight="1" x14ac:dyDescent="0.25">
      <c r="B7" s="62" t="str">
        <f>IF(Notes!$D$4="","",Notes!$D$4)</f>
        <v>Intermarché</v>
      </c>
      <c r="C7" s="64" t="str">
        <f>IFERROR(AVERAGEIF(_ImportGS!$H:$H,$B7,_ImportGS!I:I),"")</f>
        <v/>
      </c>
      <c r="D7" s="64" t="str">
        <f>IFERROR(AVERAGEIF(_ImportGS!$H:$H,$B7,_ImportGS!J:J),"")</f>
        <v/>
      </c>
      <c r="E7" s="64" t="str">
        <f>IFERROR(AVERAGEIF(_ImportGS!$H:$H,$B7,_ImportGS!K:K),"")</f>
        <v/>
      </c>
      <c r="F7" s="64" t="str">
        <f>IFERROR(AVERAGEIF(_ImportGS!$H:$H,$B7,_ImportGS!L:L),"")</f>
        <v/>
      </c>
      <c r="G7" s="64" t="str">
        <f>IFERROR(AVERAGEIF(_ImportGS!$H:$H,$B7,_ImportGS!M:M),"")</f>
        <v/>
      </c>
      <c r="H7" s="64" t="str">
        <f>IFERROR(AVERAGEIF(_ImportGS!$H:$H,$B7,_ImportGS!N:N),"")</f>
        <v/>
      </c>
      <c r="I7" s="65" t="e">
        <f>IF(Notes!$D4="","",COUNTIF(#REF!,B7))</f>
        <v>#REF!</v>
      </c>
    </row>
    <row r="8" spans="2:9" ht="21.95" customHeight="1" x14ac:dyDescent="0.25">
      <c r="B8" s="63" t="str">
        <f>IF(Notes!$D$5="","",Notes!$D$5)</f>
        <v>Leclerc Douai</v>
      </c>
      <c r="C8" s="64" t="str">
        <f>IFERROR(AVERAGEIF(_ImportGS!$H:$H,$B8,_ImportGS!I:I),"")</f>
        <v/>
      </c>
      <c r="D8" s="64" t="str">
        <f>IFERROR(AVERAGEIF(_ImportGS!$H:$H,$B8,_ImportGS!J:J),"")</f>
        <v/>
      </c>
      <c r="E8" s="64" t="str">
        <f>IFERROR(AVERAGEIF(_ImportGS!$H:$H,$B8,_ImportGS!K:K),"")</f>
        <v/>
      </c>
      <c r="F8" s="64" t="str">
        <f>IFERROR(AVERAGEIF(_ImportGS!$H:$H,$B8,_ImportGS!L:L),"")</f>
        <v/>
      </c>
      <c r="G8" s="64" t="str">
        <f>IFERROR(AVERAGEIF(_ImportGS!$H:$H,$B8,_ImportGS!M:M),"")</f>
        <v/>
      </c>
      <c r="H8" s="64" t="str">
        <f>IFERROR(AVERAGEIF(_ImportGS!$H:$H,$B8,_ImportGS!N:N),"")</f>
        <v/>
      </c>
      <c r="I8" s="65" t="e">
        <f>IF(Notes!$D5="","",COUNTIF(#REF!,B8))</f>
        <v>#REF!</v>
      </c>
    </row>
    <row r="9" spans="2:9" ht="21.95" customHeight="1" x14ac:dyDescent="0.25">
      <c r="B9" s="62" t="str">
        <f>IF(Notes!$D$6="","",Notes!$D$6)</f>
        <v>Total Access</v>
      </c>
      <c r="C9" s="64" t="str">
        <f>IFERROR(AVERAGEIF(_ImportGS!$H:$H,$B9,_ImportGS!I:I),"")</f>
        <v/>
      </c>
      <c r="D9" s="64" t="str">
        <f>IFERROR(AVERAGEIF(_ImportGS!$H:$H,$B9,_ImportGS!J:J),"")</f>
        <v/>
      </c>
      <c r="E9" s="64" t="str">
        <f>IFERROR(AVERAGEIF(_ImportGS!$H:$H,$B9,_ImportGS!K:K),"")</f>
        <v/>
      </c>
      <c r="F9" s="64" t="str">
        <f>IFERROR(AVERAGEIF(_ImportGS!$H:$H,$B9,_ImportGS!L:L),"")</f>
        <v/>
      </c>
      <c r="G9" s="64" t="str">
        <f>IFERROR(AVERAGEIF(_ImportGS!$H:$H,$B9,_ImportGS!M:M),"")</f>
        <v/>
      </c>
      <c r="H9" s="64" t="str">
        <f>IFERROR(AVERAGEIF(_ImportGS!$H:$H,$B9,_ImportGS!N:N),"")</f>
        <v/>
      </c>
      <c r="I9" s="65" t="e">
        <f>IF(Notes!$D6="","",COUNTIF(#REF!,B9))</f>
        <v>#REF!</v>
      </c>
    </row>
    <row r="10" spans="2:9" ht="21.95" customHeight="1" x14ac:dyDescent="0.25">
      <c r="B10" s="63" t="str">
        <f>IF(Notes!$D$7="","",Notes!$D$7)</f>
        <v>Total Waziers</v>
      </c>
      <c r="C10" s="64" t="str">
        <f>IFERROR(AVERAGEIF(_ImportGS!$H:$H,$B10,_ImportGS!I:I),"")</f>
        <v/>
      </c>
      <c r="D10" s="64" t="str">
        <f>IFERROR(AVERAGEIF(_ImportGS!$H:$H,$B10,_ImportGS!J:J),"")</f>
        <v/>
      </c>
      <c r="E10" s="64" t="str">
        <f>IFERROR(AVERAGEIF(_ImportGS!$H:$H,$B10,_ImportGS!K:K),"")</f>
        <v/>
      </c>
      <c r="F10" s="64" t="str">
        <f>IFERROR(AVERAGEIF(_ImportGS!$H:$H,$B10,_ImportGS!L:L),"")</f>
        <v/>
      </c>
      <c r="G10" s="64" t="str">
        <f>IFERROR(AVERAGEIF(_ImportGS!$H:$H,$B10,_ImportGS!M:M),"")</f>
        <v/>
      </c>
      <c r="H10" s="64" t="str">
        <f>IFERROR(AVERAGEIF(_ImportGS!$H:$H,$B10,_ImportGS!N:N),"")</f>
        <v/>
      </c>
      <c r="I10" s="65" t="e">
        <f>IF(Notes!$D7="","",COUNTIF(#REF!,B10))</f>
        <v>#REF!</v>
      </c>
    </row>
    <row r="11" spans="2:9" ht="21.95" customHeight="1" x14ac:dyDescent="0.25">
      <c r="B11" s="62" t="str">
        <f>IF(Notes!$D$8="","",Notes!$D$8)</f>
        <v>ZONE DU MOULIN RUE ARTHUR LAMENDIN — Beuvry</v>
      </c>
      <c r="C11" s="64" t="str">
        <f>IFERROR(AVERAGEIF(_ImportGS!$H:$H,$B11,_ImportGS!I:I),"")</f>
        <v/>
      </c>
      <c r="D11" s="64" t="str">
        <f>IFERROR(AVERAGEIF(_ImportGS!$H:$H,$B11,_ImportGS!J:J),"")</f>
        <v/>
      </c>
      <c r="E11" s="64" t="str">
        <f>IFERROR(AVERAGEIF(_ImportGS!$H:$H,$B11,_ImportGS!K:K),"")</f>
        <v/>
      </c>
      <c r="F11" s="64" t="str">
        <f>IFERROR(AVERAGEIF(_ImportGS!$H:$H,$B11,_ImportGS!L:L),"")</f>
        <v/>
      </c>
      <c r="G11" s="64" t="str">
        <f>IFERROR(AVERAGEIF(_ImportGS!$H:$H,$B11,_ImportGS!M:M),"")</f>
        <v/>
      </c>
      <c r="H11" s="64" t="str">
        <f>IFERROR(AVERAGEIF(_ImportGS!$H:$H,$B11,_ImportGS!N:N),"")</f>
        <v/>
      </c>
      <c r="I11" s="65" t="e">
        <f>IF(Notes!$D8="","",COUNTIF(#REF!,B11))</f>
        <v>#REF!</v>
      </c>
    </row>
    <row r="12" spans="2:9" ht="21.95" customHeight="1" x14ac:dyDescent="0.25">
      <c r="B12" s="63" t="str">
        <f>IF(Notes!$D$9="","",Notes!$D$9)</f>
        <v/>
      </c>
      <c r="C12" s="64" t="str">
        <f>IFERROR(AVERAGEIF(_ImportGS!$H:$H,$B12,_ImportGS!I:I),"")</f>
        <v/>
      </c>
      <c r="D12" s="64" t="str">
        <f>IFERROR(AVERAGEIF(_ImportGS!$H:$H,$B12,_ImportGS!J:J),"")</f>
        <v/>
      </c>
      <c r="E12" s="64" t="str">
        <f>IFERROR(AVERAGEIF(_ImportGS!$H:$H,$B12,_ImportGS!K:K),"")</f>
        <v/>
      </c>
      <c r="F12" s="64" t="str">
        <f>IFERROR(AVERAGEIF(_ImportGS!$H:$H,$B12,_ImportGS!L:L),"")</f>
        <v/>
      </c>
      <c r="G12" s="64" t="str">
        <f>IFERROR(AVERAGEIF(_ImportGS!$H:$H,$B12,_ImportGS!M:M),"")</f>
        <v/>
      </c>
      <c r="H12" s="64" t="str">
        <f>IFERROR(AVERAGEIF(_ImportGS!$H:$H,$B12,_ImportGS!N:N),"")</f>
        <v/>
      </c>
      <c r="I12" s="65" t="str">
        <f>IF(Notes!$D9="","",COUNTIF(#REF!,B12))</f>
        <v/>
      </c>
    </row>
    <row r="13" spans="2:9" ht="21.95" customHeight="1" x14ac:dyDescent="0.25">
      <c r="B13" s="62" t="str">
        <f>IF(Notes!$D$10="","",Notes!$D$10)</f>
        <v/>
      </c>
      <c r="C13" s="64" t="str">
        <f>IFERROR(AVERAGEIF(_ImportGS!$H:$H,$B13,_ImportGS!I:I),"")</f>
        <v/>
      </c>
      <c r="D13" s="64" t="str">
        <f>IFERROR(AVERAGEIF(_ImportGS!$H:$H,$B13,_ImportGS!J:J),"")</f>
        <v/>
      </c>
      <c r="E13" s="64" t="str">
        <f>IFERROR(AVERAGEIF(_ImportGS!$H:$H,$B13,_ImportGS!K:K),"")</f>
        <v/>
      </c>
      <c r="F13" s="64" t="str">
        <f>IFERROR(AVERAGEIF(_ImportGS!$H:$H,$B13,_ImportGS!L:L),"")</f>
        <v/>
      </c>
      <c r="G13" s="64" t="str">
        <f>IFERROR(AVERAGEIF(_ImportGS!$H:$H,$B13,_ImportGS!M:M),"")</f>
        <v/>
      </c>
      <c r="H13" s="64" t="str">
        <f>IFERROR(AVERAGEIF(_ImportGS!$H:$H,$B13,_ImportGS!N:N),"")</f>
        <v/>
      </c>
      <c r="I13" s="65" t="str">
        <f>IF(Notes!$D10="","",COUNTIF(#REF!,B13))</f>
        <v/>
      </c>
    </row>
    <row r="14" spans="2:9" ht="21.95" customHeight="1" x14ac:dyDescent="0.25">
      <c r="B14" s="63" t="str">
        <f>IF(Notes!$D$11="","",Notes!$D$11)</f>
        <v/>
      </c>
      <c r="C14" s="64" t="str">
        <f>IFERROR(AVERAGEIF(_ImportGS!$H:$H,$B14,_ImportGS!I:I),"")</f>
        <v/>
      </c>
      <c r="D14" s="64" t="str">
        <f>IFERROR(AVERAGEIF(_ImportGS!$H:$H,$B14,_ImportGS!J:J),"")</f>
        <v/>
      </c>
      <c r="E14" s="64" t="str">
        <f>IFERROR(AVERAGEIF(_ImportGS!$H:$H,$B14,_ImportGS!K:K),"")</f>
        <v/>
      </c>
      <c r="F14" s="64" t="str">
        <f>IFERROR(AVERAGEIF(_ImportGS!$H:$H,$B14,_ImportGS!L:L),"")</f>
        <v/>
      </c>
      <c r="G14" s="64" t="str">
        <f>IFERROR(AVERAGEIF(_ImportGS!$H:$H,$B14,_ImportGS!M:M),"")</f>
        <v/>
      </c>
      <c r="H14" s="64" t="str">
        <f>IFERROR(AVERAGEIF(_ImportGS!$H:$H,$B14,_ImportGS!N:N),"")</f>
        <v/>
      </c>
      <c r="I14" s="65" t="str">
        <f>IF(Notes!$D11="","",COUNTIF(#REF!,B14))</f>
        <v/>
      </c>
    </row>
    <row r="15" spans="2:9" ht="21.95" customHeight="1" x14ac:dyDescent="0.25">
      <c r="B15" s="62" t="str">
        <f>IF(Notes!$D$12="","",Notes!$D$12)</f>
        <v/>
      </c>
      <c r="C15" s="64" t="str">
        <f>IFERROR(AVERAGEIF(_ImportGS!$H:$H,$B15,_ImportGS!I:I),"")</f>
        <v/>
      </c>
      <c r="D15" s="64" t="str">
        <f>IFERROR(AVERAGEIF(_ImportGS!$H:$H,$B15,_ImportGS!J:J),"")</f>
        <v/>
      </c>
      <c r="E15" s="64" t="str">
        <f>IFERROR(AVERAGEIF(_ImportGS!$H:$H,$B15,_ImportGS!K:K),"")</f>
        <v/>
      </c>
      <c r="F15" s="64" t="str">
        <f>IFERROR(AVERAGEIF(_ImportGS!$H:$H,$B15,_ImportGS!L:L),"")</f>
        <v/>
      </c>
      <c r="G15" s="64" t="str">
        <f>IFERROR(AVERAGEIF(_ImportGS!$H:$H,$B15,_ImportGS!M:M),"")</f>
        <v/>
      </c>
      <c r="H15" s="64" t="str">
        <f>IFERROR(AVERAGEIF(_ImportGS!$H:$H,$B15,_ImportGS!N:N),"")</f>
        <v/>
      </c>
      <c r="I15" s="65" t="str">
        <f>IF(Notes!$D12="","",COUNTIF(#REF!,B15))</f>
        <v/>
      </c>
    </row>
    <row r="16" spans="2:9" ht="21.95" customHeight="1" x14ac:dyDescent="0.25">
      <c r="B16" s="63" t="str">
        <f>IF(Notes!$D$13="","",Notes!$D$13)</f>
        <v/>
      </c>
      <c r="C16" s="64" t="str">
        <f>IFERROR(AVERAGEIF(_ImportGS!$H:$H,$B16,_ImportGS!I:I),"")</f>
        <v/>
      </c>
      <c r="D16" s="64" t="str">
        <f>IFERROR(AVERAGEIF(_ImportGS!$H:$H,$B16,_ImportGS!J:J),"")</f>
        <v/>
      </c>
      <c r="E16" s="64" t="str">
        <f>IFERROR(AVERAGEIF(_ImportGS!$H:$H,$B16,_ImportGS!K:K),"")</f>
        <v/>
      </c>
      <c r="F16" s="64" t="str">
        <f>IFERROR(AVERAGEIF(_ImportGS!$H:$H,$B16,_ImportGS!L:L),"")</f>
        <v/>
      </c>
      <c r="G16" s="64" t="str">
        <f>IFERROR(AVERAGEIF(_ImportGS!$H:$H,$B16,_ImportGS!M:M),"")</f>
        <v/>
      </c>
      <c r="H16" s="64" t="str">
        <f>IFERROR(AVERAGEIF(_ImportGS!$H:$H,$B16,_ImportGS!N:N),"")</f>
        <v/>
      </c>
      <c r="I16" s="65" t="str">
        <f>IF(Notes!$D13="","",COUNTIF(#REF!,B16))</f>
        <v/>
      </c>
    </row>
    <row r="17" spans="2:9" ht="26.1" customHeight="1" x14ac:dyDescent="0.25">
      <c r="B17" s="66" t="s">
        <v>304</v>
      </c>
      <c r="C17" s="67" t="str">
        <f>IFERROR(AVERAGEIF(#REF!,"&gt;"&amp;0),"")</f>
        <v/>
      </c>
      <c r="D17" s="67" t="str">
        <f>IFERROR(AVERAGEIF(#REF!,"&gt;"&amp;0),"")</f>
        <v/>
      </c>
      <c r="E17" s="67" t="str">
        <f>IFERROR(AVERAGEIF(#REF!,"&gt;"&amp;0),"")</f>
        <v/>
      </c>
      <c r="F17" s="67" t="str">
        <f>IFERROR(AVERAGEIF(#REF!,"&gt;"&amp;0),"")</f>
        <v/>
      </c>
      <c r="G17" s="67" t="str">
        <f>IFERROR(AVERAGEIF(#REF!,"&gt;"&amp;0),"")</f>
        <v/>
      </c>
      <c r="H17" s="67" t="str">
        <f>IFERROR(AVERAGEIF(#REF!,"&gt;"&amp;0),"")</f>
        <v/>
      </c>
      <c r="I17" s="68"/>
    </row>
    <row r="18" spans="2:9" ht="6.75" customHeight="1" x14ac:dyDescent="0.25"/>
    <row r="19" spans="2:9" ht="20.100000000000001" customHeight="1" x14ac:dyDescent="0.25">
      <c r="B19" s="101" t="s">
        <v>305</v>
      </c>
      <c r="C19" s="97"/>
      <c r="D19" s="97"/>
      <c r="E19" s="97"/>
      <c r="F19" s="97"/>
      <c r="G19" s="97"/>
    </row>
    <row r="20" spans="2:9" ht="18" customHeight="1" x14ac:dyDescent="0.25">
      <c r="B20" s="102"/>
      <c r="C20" s="97"/>
      <c r="D20" s="97"/>
      <c r="E20" s="97"/>
      <c r="F20" s="97"/>
      <c r="G20" s="9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B1:AJ54"/>
  <sheetViews>
    <sheetView showGridLines="0" showRowColHeaders="0" topLeftCell="A24" workbookViewId="0">
      <selection activeCell="AL47" sqref="AL47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57" hidden="1" customWidth="1" outlineLevel="1"/>
    <col min="16" max="16" width="17.125" style="57" hidden="1" customWidth="1" outlineLevel="1"/>
    <col min="17" max="17" width="10.375" style="57" hidden="1" customWidth="1" outlineLevel="1"/>
    <col min="18" max="18" width="1.625" hidden="1" customWidth="1" outlineLevel="1"/>
    <col min="19" max="19" width="11" style="57" hidden="1" customWidth="1" outlineLevel="1"/>
    <col min="20" max="20" width="21.625" style="57" hidden="1" customWidth="1" outlineLevel="1"/>
    <col min="21" max="21" width="18.75" style="57" hidden="1" customWidth="1" outlineLevel="1"/>
    <col min="22" max="22" width="1.5" hidden="1" customWidth="1" outlineLevel="1"/>
    <col min="23" max="23" width="7.625" style="57" hidden="1" customWidth="1" outlineLevel="1"/>
    <col min="24" max="25" width="15.5" style="57" hidden="1" customWidth="1" outlineLevel="1"/>
    <col min="26" max="26" width="1.5" hidden="1" customWidth="1" outlineLevel="1"/>
    <col min="27" max="27" width="7.625" style="57" hidden="1" customWidth="1" outlineLevel="1"/>
    <col min="28" max="28" width="13.25" style="57" hidden="1" customWidth="1" outlineLevel="1"/>
    <col min="29" max="29" width="19" style="57" hidden="1" customWidth="1" outlineLevel="1"/>
    <col min="30" max="30" width="1.5" hidden="1" customWidth="1" outlineLevel="1"/>
    <col min="31" max="31" width="10.875" style="57" hidden="1" customWidth="1" outlineLevel="1"/>
    <col min="32" max="32" width="19.875" style="57" hidden="1" customWidth="1" outlineLevel="1"/>
    <col min="33" max="33" width="13.125" style="57" hidden="1" customWidth="1" outlineLevel="1"/>
    <col min="34" max="34" width="16" style="57" hidden="1" customWidth="1" outlineLevel="1"/>
    <col min="35" max="35" width="15.125" style="57" hidden="1" customWidth="1" outlineLevel="1"/>
    <col min="36" max="36" width="11" customWidth="1" collapsed="1"/>
  </cols>
  <sheetData>
    <row r="1" spans="2:35" ht="21" customHeight="1" x14ac:dyDescent="0.35">
      <c r="B1" s="38" t="s">
        <v>306</v>
      </c>
      <c r="O1" s="69" t="s">
        <v>307</v>
      </c>
      <c r="P1" s="69" t="s">
        <v>308</v>
      </c>
      <c r="Q1" s="69" t="s">
        <v>309</v>
      </c>
      <c r="S1" s="69" t="s">
        <v>310</v>
      </c>
      <c r="T1" s="69" t="s">
        <v>311</v>
      </c>
      <c r="U1" s="69" t="s">
        <v>312</v>
      </c>
      <c r="W1" s="69" t="s">
        <v>310</v>
      </c>
      <c r="X1" s="69" t="s">
        <v>313</v>
      </c>
      <c r="Y1" s="69" t="s">
        <v>314</v>
      </c>
      <c r="AA1" s="69" t="s">
        <v>310</v>
      </c>
      <c r="AB1" s="69" t="s">
        <v>315</v>
      </c>
      <c r="AC1" s="69" t="s">
        <v>316</v>
      </c>
      <c r="AE1" s="69" t="s">
        <v>268</v>
      </c>
      <c r="AF1" s="69" t="s">
        <v>267</v>
      </c>
      <c r="AG1" s="69" t="s">
        <v>269</v>
      </c>
      <c r="AH1" s="57" t="s">
        <v>317</v>
      </c>
      <c r="AI1" s="57" t="s">
        <v>318</v>
      </c>
    </row>
    <row r="2" spans="2:35" x14ac:dyDescent="0.25">
      <c r="O2" s="57">
        <f>IF(COUNTIFS('Suivi Carburant'!$C$16:$C$46,"SuperEthanol E85",'Suivi Carburant'!$N$16:$N$46,"&gt;=0")&gt;=ROW(O1)-1,ROW(O1)-1,NA())</f>
        <v>0</v>
      </c>
      <c r="P2" s="57">
        <v>0</v>
      </c>
      <c r="Q2" s="57">
        <f>'Suivi Carburant'!$B$5</f>
        <v>514.54</v>
      </c>
      <c r="S2" s="57">
        <f>IF(ISNUMBER('Suivi Carburant'!A16),'Suivi Carburant'!A16,NA())</f>
        <v>1</v>
      </c>
      <c r="T2" s="57" t="e">
        <f>IF(OR('Suivi Carburant'!C16&lt;&gt;"Super 98",'Suivi Carburant'!J16=""),NA(),'Suivi Carburant'!J16)</f>
        <v>#N/A</v>
      </c>
      <c r="U2" s="57" t="e">
        <f>IF(OR('Suivi Carburant'!C16&lt;&gt;"SuperEthanol E85",'Suivi Carburant'!J16=""),NA(),'Suivi Carburant'!J16)</f>
        <v>#N/A</v>
      </c>
      <c r="W2" s="57">
        <f>IF(ISNUMBER('Suivi Carburant'!A16),'Suivi Carburant'!A16,NA())</f>
        <v>1</v>
      </c>
      <c r="X2" s="57" t="e">
        <f>IF(OR('Suivi Carburant'!C16&lt;&gt;"Super 98",'Suivi Carburant'!H16=""),NA(),'Suivi Carburant'!H16)</f>
        <v>#N/A</v>
      </c>
      <c r="Y2" s="57" t="e">
        <f>IF(OR('Suivi Carburant'!C16&lt;&gt;"SuperEthanol E85",'Suivi Carburant'!H16=""),NA(),'Suivi Carburant'!H16)</f>
        <v>#N/A</v>
      </c>
      <c r="AA2" s="57">
        <f>IF(ISNUMBER('Suivi Carburant'!A16),'Suivi Carburant'!A16,NA())</f>
        <v>1</v>
      </c>
      <c r="AB2" s="57">
        <f>IF(OR('Suivi Carburant'!G16="",NOT(ISNUMBER('Suivi Carburant'!G16))),NA(),'Suivi Carburant'!G16)</f>
        <v>1.9730000000000001</v>
      </c>
      <c r="AC2" s="57">
        <f>IF(OR('Suivi Carburant'!K16="",NOT(ISNUMBER('Suivi Carburant'!K16))),NA(),'Suivi Carburant'!K16)</f>
        <v>1.9730000000000001</v>
      </c>
      <c r="AE2" s="57">
        <v>0</v>
      </c>
      <c r="AF2" s="57">
        <v>0</v>
      </c>
      <c r="AG2" s="57">
        <f>'Suivi Carburant'!$B$5</f>
        <v>514.54</v>
      </c>
      <c r="AH2" s="57">
        <f t="array" ref="AH2">IFERROR(LOOKUP(2,1/(AF2:AF32&lt;&gt;""),AE2:AE32),NA())</f>
        <v>7</v>
      </c>
      <c r="AI2" s="57">
        <f>IFERROR(LOOKUP(2,1/(AF2:AF32&lt;&gt;""),AF2:AF32),NA())</f>
        <v>92.366928052204941</v>
      </c>
    </row>
    <row r="3" spans="2:35" x14ac:dyDescent="0.25">
      <c r="O3" s="57">
        <f>IF(COUNTIFS('Suivi Carburant'!$C$16:$C$46,"SuperEthanol E85",'Suivi Carburant'!$N$16:$N$46,"&gt;=0")&gt;=ROW(O2)-1,ROW(O2)-1,NA())</f>
        <v>1</v>
      </c>
      <c r="P3" s="57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57">
        <f>IF(ISNA(O3),NA(),'Suivi Carburant'!$B$5)</f>
        <v>514.54</v>
      </c>
      <c r="S3" s="57">
        <f>IF(ISNUMBER('Suivi Carburant'!A17),'Suivi Carburant'!A17,NA())</f>
        <v>2</v>
      </c>
      <c r="T3" s="57">
        <f>IF(OR('Suivi Carburant'!C17&lt;&gt;"Super 98",'Suivi Carburant'!J17=""),NA(),'Suivi Carburant'!J17)</f>
        <v>5.3971631205673765</v>
      </c>
      <c r="U3" s="57" t="e">
        <f>IF(OR('Suivi Carburant'!C17&lt;&gt;"SuperEthanol E85",'Suivi Carburant'!J17=""),NA(),'Suivi Carburant'!J17)</f>
        <v>#N/A</v>
      </c>
      <c r="W3" s="57">
        <f>IF(ISNUMBER('Suivi Carburant'!A17),'Suivi Carburant'!A17,NA())</f>
        <v>2</v>
      </c>
      <c r="X3" s="57">
        <f>IF(OR('Suivi Carburant'!C17&lt;&gt;"Super 98",'Suivi Carburant'!H17=""),NA(),'Suivi Carburant'!H17)</f>
        <v>5.3971631205673765</v>
      </c>
      <c r="Y3" s="57" t="e">
        <f>IF(OR('Suivi Carburant'!C17&lt;&gt;"SuperEthanol E85",'Suivi Carburant'!H17=""),NA(),'Suivi Carburant'!H17)</f>
        <v>#N/A</v>
      </c>
      <c r="AA3" s="57">
        <f>IF(ISNUMBER('Suivi Carburant'!A17),'Suivi Carburant'!A17,NA())</f>
        <v>2</v>
      </c>
      <c r="AB3" s="57">
        <f>IF(OR('Suivi Carburant'!G17="",NOT(ISNUMBER('Suivi Carburant'!G17))),NA(),'Suivi Carburant'!G17)</f>
        <v>1.9259999999999999</v>
      </c>
      <c r="AC3" s="57">
        <f>IF(OR('Suivi Carburant'!K17="",NOT(ISNUMBER('Suivi Carburant'!K17))),NA(),'Suivi Carburant'!K17)</f>
        <v>1.9259999999999999</v>
      </c>
      <c r="AE3" s="57">
        <v>1</v>
      </c>
      <c r="AF3" s="57">
        <f t="shared" ref="AF3:AF34" si="0">IFERROR(VLOOKUP(AE3,$O$2:$P$32,2,FALSE),NA())</f>
        <v>10.437134223580056</v>
      </c>
      <c r="AG3" s="57">
        <f>'Suivi Carburant'!$B$5</f>
        <v>514.54</v>
      </c>
      <c r="AH3" s="57">
        <f>IF(ISNUMBER(AH2),AH2+CEILING('Suivi Carburant'!B11*AH2/MAX('Suivi Carburant'!B10,0.001),0.5),NA())</f>
        <v>39</v>
      </c>
      <c r="AI3" s="57">
        <f>IF(ISNUMBER(AH3),'Suivi Carburant'!B5,NA())</f>
        <v>514.54</v>
      </c>
    </row>
    <row r="4" spans="2:35" x14ac:dyDescent="0.25">
      <c r="O4" s="57">
        <f>IF(COUNTIFS('Suivi Carburant'!$C$16:$C$46,"SuperEthanol E85",'Suivi Carburant'!$N$16:$N$46,"&gt;=0")&gt;=ROW(O3)-1,ROW(O3)-1,NA())</f>
        <v>2</v>
      </c>
      <c r="P4" s="57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57">
        <f>IF(ISNA(O4),NA(),'Suivi Carburant'!$B$5)</f>
        <v>514.54</v>
      </c>
      <c r="S4" s="57">
        <f>IF(ISNUMBER('Suivi Carburant'!A18),'Suivi Carburant'!A18,NA())</f>
        <v>3</v>
      </c>
      <c r="T4" s="57">
        <f>IF(OR('Suivi Carburant'!C18&lt;&gt;"Super 98",'Suivi Carburant'!J18=""),NA(),'Suivi Carburant'!J18)</f>
        <v>5.3921568627450984</v>
      </c>
      <c r="U4" s="57" t="e">
        <f>IF(OR('Suivi Carburant'!C18&lt;&gt;"SuperEthanol E85",'Suivi Carburant'!J18=""),NA(),'Suivi Carburant'!J18)</f>
        <v>#N/A</v>
      </c>
      <c r="W4" s="57">
        <f>IF(ISNUMBER('Suivi Carburant'!A18),'Suivi Carburant'!A18,NA())</f>
        <v>3</v>
      </c>
      <c r="X4" s="57">
        <f>IF(OR('Suivi Carburant'!C18&lt;&gt;"Super 98",'Suivi Carburant'!H18=""),NA(),'Suivi Carburant'!H18)</f>
        <v>5.3921568627450984</v>
      </c>
      <c r="Y4" s="57" t="e">
        <f>IF(OR('Suivi Carburant'!C18&lt;&gt;"SuperEthanol E85",'Suivi Carburant'!H18=""),NA(),'Suivi Carburant'!H18)</f>
        <v>#N/A</v>
      </c>
      <c r="AA4" s="57">
        <f>IF(ISNUMBER('Suivi Carburant'!A18),'Suivi Carburant'!A18,NA())</f>
        <v>3</v>
      </c>
      <c r="AB4" s="57">
        <f>IF(OR('Suivi Carburant'!G18="",NOT(ISNUMBER('Suivi Carburant'!G18))),NA(),'Suivi Carburant'!G18)</f>
        <v>2.0310000000000001</v>
      </c>
      <c r="AC4" s="57">
        <f>IF(OR('Suivi Carburant'!K18="",NOT(ISNUMBER('Suivi Carburant'!K18))),NA(),'Suivi Carburant'!K18)</f>
        <v>2.0310000000000001</v>
      </c>
      <c r="AE4" s="57">
        <v>2</v>
      </c>
      <c r="AF4" s="57">
        <f t="shared" si="0"/>
        <v>22.002634923016021</v>
      </c>
      <c r="AG4" s="57">
        <f>'Suivi Carburant'!$B$5</f>
        <v>514.54</v>
      </c>
    </row>
    <row r="5" spans="2:35" x14ac:dyDescent="0.25">
      <c r="O5" s="57">
        <f>IF(COUNTIFS('Suivi Carburant'!$C$16:$C$46,"SuperEthanol E85",'Suivi Carburant'!$N$16:$N$46,"&gt;=0")&gt;=ROW(O4)-1,ROW(O4)-1,NA())</f>
        <v>3</v>
      </c>
      <c r="P5" s="57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57">
        <f>IF(ISNA(O5),NA(),'Suivi Carburant'!$B$5)</f>
        <v>514.54</v>
      </c>
      <c r="S5" s="57">
        <f>IF(ISNUMBER('Suivi Carburant'!A19),'Suivi Carburant'!A19,NA())</f>
        <v>4</v>
      </c>
      <c r="T5" s="57" t="e">
        <f>IF(OR('Suivi Carburant'!C19&lt;&gt;"Super 98",'Suivi Carburant'!J19=""),NA(),'Suivi Carburant'!J19)</f>
        <v>#N/A</v>
      </c>
      <c r="U5" s="57">
        <f>IF(OR('Suivi Carburant'!C19&lt;&gt;"SuperEthanol E85",'Suivi Carburant'!J19=""),NA(),'Suivi Carburant'!J19)</f>
        <v>5.6225490196078436</v>
      </c>
      <c r="W5" s="57">
        <f>IF(ISNUMBER('Suivi Carburant'!A19),'Suivi Carburant'!A19,NA())</f>
        <v>4</v>
      </c>
      <c r="X5" s="57" t="e">
        <f>IF(OR('Suivi Carburant'!C19&lt;&gt;"Super 98",'Suivi Carburant'!H19=""),NA(),'Suivi Carburant'!H19)</f>
        <v>#N/A</v>
      </c>
      <c r="Y5" s="57">
        <f>IF(OR('Suivi Carburant'!C19&lt;&gt;"SuperEthanol E85",'Suivi Carburant'!H19=""),NA(),'Suivi Carburant'!H19)</f>
        <v>5.6225490196078436</v>
      </c>
      <c r="AA5" s="57">
        <f>IF(ISNUMBER('Suivi Carburant'!A19),'Suivi Carburant'!A19,NA())</f>
        <v>4</v>
      </c>
      <c r="AB5" s="57">
        <f>IF(OR('Suivi Carburant'!G19="",NOT(ISNUMBER('Suivi Carburant'!G19))),NA(),'Suivi Carburant'!G19)</f>
        <v>0.80900000000000005</v>
      </c>
      <c r="AC5" s="57">
        <f>IF(OR('Suivi Carburant'!K19="",NOT(ISNUMBER('Suivi Carburant'!K19))),NA(),'Suivi Carburant'!K19)</f>
        <v>2.0790000000000002</v>
      </c>
      <c r="AE5" s="57">
        <v>3</v>
      </c>
      <c r="AF5" s="57">
        <f t="shared" si="0"/>
        <v>36.941282462502059</v>
      </c>
      <c r="AG5" s="57">
        <f>'Suivi Carburant'!$B$5</f>
        <v>514.54</v>
      </c>
    </row>
    <row r="6" spans="2:35" x14ac:dyDescent="0.25">
      <c r="O6" s="57">
        <f>IF(COUNTIFS('Suivi Carburant'!$C$16:$C$46,"SuperEthanol E85",'Suivi Carburant'!$N$16:$N$46,"&gt;=0")&gt;=ROW(O5)-1,ROW(O5)-1,NA())</f>
        <v>4</v>
      </c>
      <c r="P6" s="57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57">
        <f>IF(ISNA(O6),NA(),'Suivi Carburant'!$B$5)</f>
        <v>514.54</v>
      </c>
      <c r="S6" s="57">
        <f>IF(ISNUMBER('Suivi Carburant'!A20),'Suivi Carburant'!A20,NA())</f>
        <v>5</v>
      </c>
      <c r="T6" s="57" t="e">
        <f>IF(OR('Suivi Carburant'!C20&lt;&gt;"Super 98",'Suivi Carburant'!J20=""),NA(),'Suivi Carburant'!J20)</f>
        <v>#N/A</v>
      </c>
      <c r="U6" s="57">
        <f>IF(OR('Suivi Carburant'!C20&lt;&gt;"SuperEthanol E85",'Suivi Carburant'!J20=""),NA(),'Suivi Carburant'!J20)</f>
        <v>5.9744897959183678</v>
      </c>
      <c r="W6" s="57">
        <f>IF(ISNUMBER('Suivi Carburant'!A20),'Suivi Carburant'!A20,NA())</f>
        <v>5</v>
      </c>
      <c r="X6" s="57" t="e">
        <f>IF(OR('Suivi Carburant'!C20&lt;&gt;"Super 98",'Suivi Carburant'!H20=""),NA(),'Suivi Carburant'!H20)</f>
        <v>#N/A</v>
      </c>
      <c r="Y6" s="57">
        <f>IF(OR('Suivi Carburant'!C20&lt;&gt;"SuperEthanol E85",'Suivi Carburant'!H20=""),NA(),'Suivi Carburant'!H20)</f>
        <v>5.9744897959183678</v>
      </c>
      <c r="AA6" s="57">
        <f>IF(ISNUMBER('Suivi Carburant'!A20),'Suivi Carburant'!A20,NA())</f>
        <v>5</v>
      </c>
      <c r="AB6" s="57">
        <f>IF(OR('Suivi Carburant'!G20="",NOT(ISNUMBER('Suivi Carburant'!G20))),NA(),'Suivi Carburant'!G20)</f>
        <v>0.747</v>
      </c>
      <c r="AC6" s="57">
        <f>IF(OR('Suivi Carburant'!K20="",NOT(ISNUMBER('Suivi Carburant'!K20))),NA(),'Suivi Carburant'!K20)</f>
        <v>2.0979999999999999</v>
      </c>
      <c r="AE6" s="57">
        <v>4</v>
      </c>
      <c r="AF6" s="57">
        <f t="shared" si="0"/>
        <v>49.447967912413603</v>
      </c>
      <c r="AG6" s="57">
        <f>'Suivi Carburant'!$B$5</f>
        <v>514.54</v>
      </c>
    </row>
    <row r="7" spans="2:35" x14ac:dyDescent="0.25">
      <c r="O7" s="57">
        <f>IF(COUNTIFS('Suivi Carburant'!$C$16:$C$46,"SuperEthanol E85",'Suivi Carburant'!$N$16:$N$46,"&gt;=0")&gt;=ROW(O6)-1,ROW(O6)-1,NA())</f>
        <v>5</v>
      </c>
      <c r="P7" s="57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57">
        <f>IF(ISNA(O7),NA(),'Suivi Carburant'!$B$5)</f>
        <v>514.54</v>
      </c>
      <c r="S7" s="57">
        <f>IF(ISNUMBER('Suivi Carburant'!A21),'Suivi Carburant'!A21,NA())</f>
        <v>6</v>
      </c>
      <c r="T7" s="57" t="e">
        <f>IF(OR('Suivi Carburant'!C21&lt;&gt;"Super 98",'Suivi Carburant'!J21=""),NA(),'Suivi Carburant'!J21)</f>
        <v>#N/A</v>
      </c>
      <c r="U7" s="57">
        <f>IF(OR('Suivi Carburant'!C21&lt;&gt;"SuperEthanol E85",'Suivi Carburant'!J21=""),NA(),'Suivi Carburant'!J21)</f>
        <v>6.7610619469026547</v>
      </c>
      <c r="W7" s="57">
        <f>IF(ISNUMBER('Suivi Carburant'!A21),'Suivi Carburant'!A21,NA())</f>
        <v>6</v>
      </c>
      <c r="X7" s="57" t="e">
        <f>IF(OR('Suivi Carburant'!C21&lt;&gt;"Super 98",'Suivi Carburant'!H21=""),NA(),'Suivi Carburant'!H21)</f>
        <v>#N/A</v>
      </c>
      <c r="Y7" s="57">
        <f>IF(OR('Suivi Carburant'!C21&lt;&gt;"SuperEthanol E85",'Suivi Carburant'!H21=""),NA(),'Suivi Carburant'!H21)</f>
        <v>6.7610619469026547</v>
      </c>
      <c r="AA7" s="57">
        <f>IF(ISNUMBER('Suivi Carburant'!A21),'Suivi Carburant'!A21,NA())</f>
        <v>6</v>
      </c>
      <c r="AB7" s="57">
        <f>IF(OR('Suivi Carburant'!G21="",NOT(ISNUMBER('Suivi Carburant'!G21))),NA(),'Suivi Carburant'!G21)</f>
        <v>0.75700000000000001</v>
      </c>
      <c r="AC7" s="57">
        <f>IF(OR('Suivi Carburant'!K21="",NOT(ISNUMBER('Suivi Carburant'!K21))),NA(),'Suivi Carburant'!K21)</f>
        <v>2.0979999999999999</v>
      </c>
      <c r="AE7" s="57">
        <v>5</v>
      </c>
      <c r="AF7" s="57">
        <f t="shared" si="0"/>
        <v>63.020920915664483</v>
      </c>
      <c r="AG7" s="57">
        <f>'Suivi Carburant'!$B$5</f>
        <v>514.54</v>
      </c>
    </row>
    <row r="8" spans="2:35" x14ac:dyDescent="0.25">
      <c r="O8" s="57">
        <f>IF(COUNTIFS('Suivi Carburant'!$C$16:$C$46,"SuperEthanol E85",'Suivi Carburant'!$N$16:$N$46,"&gt;=0")&gt;=ROW(O7)-1,ROW(O7)-1,NA())</f>
        <v>6</v>
      </c>
      <c r="P8" s="57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57">
        <f>IF(ISNA(O8),NA(),'Suivi Carburant'!$B$5)</f>
        <v>514.54</v>
      </c>
      <c r="S8" s="57">
        <f>IF(ISNUMBER('Suivi Carburant'!A22),'Suivi Carburant'!A22,NA())</f>
        <v>7</v>
      </c>
      <c r="T8" s="57" t="e">
        <f>IF(OR('Suivi Carburant'!C22&lt;&gt;"Super 98",'Suivi Carburant'!J22=""),NA(),'Suivi Carburant'!J22)</f>
        <v>#N/A</v>
      </c>
      <c r="U8" s="57">
        <f>IF(OR('Suivi Carburant'!C22&lt;&gt;"SuperEthanol E85",'Suivi Carburant'!J22=""),NA(),'Suivi Carburant'!J22)</f>
        <v>7.0404040404040398</v>
      </c>
      <c r="W8" s="57">
        <f>IF(ISNUMBER('Suivi Carburant'!A22),'Suivi Carburant'!A22,NA())</f>
        <v>7</v>
      </c>
      <c r="X8" s="57" t="e">
        <f>IF(OR('Suivi Carburant'!C22&lt;&gt;"Super 98",'Suivi Carburant'!H22=""),NA(),'Suivi Carburant'!H22)</f>
        <v>#N/A</v>
      </c>
      <c r="Y8" s="57">
        <f>IF(OR('Suivi Carburant'!C22&lt;&gt;"SuperEthanol E85",'Suivi Carburant'!H22=""),NA(),'Suivi Carburant'!H22)</f>
        <v>7.0404040404040398</v>
      </c>
      <c r="AA8" s="57">
        <f>IF(ISNUMBER('Suivi Carburant'!A22),'Suivi Carburant'!A22,NA())</f>
        <v>7</v>
      </c>
      <c r="AB8" s="57">
        <f>IF(OR('Suivi Carburant'!G22="",NOT(ISNUMBER('Suivi Carburant'!G22))),NA(),'Suivi Carburant'!G22)</f>
        <v>0.83499999999999996</v>
      </c>
      <c r="AC8" s="57">
        <f>IF(OR('Suivi Carburant'!K22="",NOT(ISNUMBER('Suivi Carburant'!K22))),NA(),'Suivi Carburant'!K22)</f>
        <v>2.0950000000000002</v>
      </c>
      <c r="AE8" s="57">
        <v>6</v>
      </c>
      <c r="AF8" s="57">
        <f t="shared" si="0"/>
        <v>76.890920667718092</v>
      </c>
      <c r="AG8" s="57">
        <f>'Suivi Carburant'!$B$5</f>
        <v>514.54</v>
      </c>
    </row>
    <row r="9" spans="2:35" x14ac:dyDescent="0.25">
      <c r="O9" s="57">
        <f>IF(COUNTIFS('Suivi Carburant'!$C$16:$C$46,"SuperEthanol E85",'Suivi Carburant'!$N$16:$N$46,"&gt;=0")&gt;=ROW(O8)-1,ROW(O8)-1,NA())</f>
        <v>7</v>
      </c>
      <c r="P9" s="57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57">
        <f>IF(ISNA(O9),NA(),'Suivi Carburant'!$B$5)</f>
        <v>514.54</v>
      </c>
      <c r="S9" s="57">
        <f>IF(ISNUMBER('Suivi Carburant'!A23),'Suivi Carburant'!A23,NA())</f>
        <v>8</v>
      </c>
      <c r="T9" s="57" t="e">
        <f>IF(OR('Suivi Carburant'!C23&lt;&gt;"Super 98",'Suivi Carburant'!J23=""),NA(),'Suivi Carburant'!J23)</f>
        <v>#N/A</v>
      </c>
      <c r="U9" s="57">
        <f>IF(OR('Suivi Carburant'!C23&lt;&gt;"SuperEthanol E85",'Suivi Carburant'!J23=""),NA(),'Suivi Carburant'!J23)</f>
        <v>6.5862068965517233</v>
      </c>
      <c r="W9" s="57">
        <f>IF(ISNUMBER('Suivi Carburant'!A23),'Suivi Carburant'!A23,NA())</f>
        <v>8</v>
      </c>
      <c r="X9" s="57" t="e">
        <f>IF(OR('Suivi Carburant'!C23&lt;&gt;"Super 98",'Suivi Carburant'!H23=""),NA(),'Suivi Carburant'!H23)</f>
        <v>#N/A</v>
      </c>
      <c r="Y9" s="57">
        <f>IF(OR('Suivi Carburant'!C23&lt;&gt;"SuperEthanol E85",'Suivi Carburant'!H23=""),NA(),'Suivi Carburant'!H23)</f>
        <v>6.5862068965517233</v>
      </c>
      <c r="AA9" s="57">
        <f>IF(ISNUMBER('Suivi Carburant'!A23),'Suivi Carburant'!A23,NA())</f>
        <v>8</v>
      </c>
      <c r="AB9" s="57">
        <f>IF(OR('Suivi Carburant'!G23="",NOT(ISNUMBER('Suivi Carburant'!G23))),NA(),'Suivi Carburant'!G23)</f>
        <v>0.71699999999999997</v>
      </c>
      <c r="AC9" s="57">
        <f>IF(OR('Suivi Carburant'!K23="",NOT(ISNUMBER('Suivi Carburant'!K23))),NA(),'Suivi Carburant'!K23)</f>
        <v>2.0950000000000002</v>
      </c>
      <c r="AE9" s="57">
        <v>7</v>
      </c>
      <c r="AF9" s="57">
        <f t="shared" si="0"/>
        <v>92.366928052204941</v>
      </c>
      <c r="AG9" s="57">
        <f>'Suivi Carburant'!$B$5</f>
        <v>514.54</v>
      </c>
    </row>
    <row r="10" spans="2:35" x14ac:dyDescent="0.25">
      <c r="O10" s="57" t="e">
        <f>IF(COUNTIFS('Suivi Carburant'!$C$16:$C$46,"SuperEthanol E85",'Suivi Carburant'!$N$16:$N$46,"&gt;=0")&gt;=ROW(O9)-1,ROW(O9)-1,NA())</f>
        <v>#N/A</v>
      </c>
      <c r="P10" s="57" t="e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57" t="e">
        <f>IF(ISNA(O10),NA(),'Suivi Carburant'!$B$5)</f>
        <v>#N/A</v>
      </c>
      <c r="S10" s="57">
        <f>IF(ISNUMBER('Suivi Carburant'!A24),'Suivi Carburant'!A24,NA())</f>
        <v>9</v>
      </c>
      <c r="T10" s="57" t="e">
        <f>IF(OR('Suivi Carburant'!C24&lt;&gt;"Super 98",'Suivi Carburant'!J24=""),NA(),'Suivi Carburant'!J24)</f>
        <v>#N/A</v>
      </c>
      <c r="U10" s="57">
        <f>IF(OR('Suivi Carburant'!C24&lt;&gt;"SuperEthanol E85",'Suivi Carburant'!J24=""),NA(),'Suivi Carburant'!J24)</f>
        <v>6.7727272727272734</v>
      </c>
      <c r="W10" s="57">
        <f>IF(ISNUMBER('Suivi Carburant'!A24),'Suivi Carburant'!A24,NA())</f>
        <v>9</v>
      </c>
      <c r="X10" s="57" t="e">
        <f>IF(OR('Suivi Carburant'!C24&lt;&gt;"Super 98",'Suivi Carburant'!H24=""),NA(),'Suivi Carburant'!H24)</f>
        <v>#N/A</v>
      </c>
      <c r="Y10" s="57">
        <f>IF(OR('Suivi Carburant'!C24&lt;&gt;"SuperEthanol E85",'Suivi Carburant'!H24=""),NA(),'Suivi Carburant'!H24)</f>
        <v>6.7727272727272734</v>
      </c>
      <c r="AA10" s="57">
        <f>IF(ISNUMBER('Suivi Carburant'!A24),'Suivi Carburant'!A24,NA())</f>
        <v>9</v>
      </c>
      <c r="AB10" s="57">
        <f>IF(OR('Suivi Carburant'!G24="",NOT(ISNUMBER('Suivi Carburant'!G24))),NA(),'Suivi Carburant'!G24)</f>
        <v>0.79800000000000004</v>
      </c>
      <c r="AC10" s="57">
        <f>IF(OR('Suivi Carburant'!K24="",NOT(ISNUMBER('Suivi Carburant'!K24))),NA(),'Suivi Carburant'!K24)</f>
        <v>2.0910000000000002</v>
      </c>
      <c r="AE10" s="57">
        <v>8</v>
      </c>
      <c r="AF10" s="57" t="e">
        <f t="shared" si="0"/>
        <v>#N/A</v>
      </c>
      <c r="AG10" s="57">
        <f>'Suivi Carburant'!$B$5</f>
        <v>514.54</v>
      </c>
    </row>
    <row r="11" spans="2:35" x14ac:dyDescent="0.25">
      <c r="O11" s="57" t="e">
        <f>IF(COUNTIFS('Suivi Carburant'!$C$16:$C$46,"SuperEthanol E85",'Suivi Carburant'!$N$16:$N$46,"&gt;=0")&gt;=ROW(O10)-1,ROW(O10)-1,NA())</f>
        <v>#N/A</v>
      </c>
      <c r="P11" s="57" t="e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57" t="e">
        <f>IF(ISNA(O11),NA(),'Suivi Carburant'!$B$5)</f>
        <v>#N/A</v>
      </c>
      <c r="S11" s="57" t="e">
        <f>IF(ISNUMBER('Suivi Carburant'!A26),'Suivi Carburant'!A26,NA())</f>
        <v>#N/A</v>
      </c>
      <c r="T11" s="57" t="e">
        <f>IF(OR('Suivi Carburant'!C26&lt;&gt;"Super 98",'Suivi Carburant'!J26=""),NA(),'Suivi Carburant'!J26)</f>
        <v>#N/A</v>
      </c>
      <c r="U11" s="57" t="e">
        <f>IF(OR('Suivi Carburant'!C26&lt;&gt;"SuperEthanol E85",'Suivi Carburant'!J26=""),NA(),'Suivi Carburant'!J26)</f>
        <v>#N/A</v>
      </c>
      <c r="W11" s="57" t="e">
        <f>IF(ISNUMBER('Suivi Carburant'!A26),'Suivi Carburant'!A26,NA())</f>
        <v>#N/A</v>
      </c>
      <c r="X11" s="57" t="e">
        <f>IF(OR('Suivi Carburant'!C26&lt;&gt;"Super 98",'Suivi Carburant'!H26=""),NA(),'Suivi Carburant'!H26)</f>
        <v>#N/A</v>
      </c>
      <c r="Y11" s="57" t="e">
        <f>IF(OR('Suivi Carburant'!C26&lt;&gt;"SuperEthanol E85",'Suivi Carburant'!H26=""),NA(),'Suivi Carburant'!H26)</f>
        <v>#N/A</v>
      </c>
      <c r="AA11" s="57" t="e">
        <f>IF(ISNUMBER('Suivi Carburant'!A26),'Suivi Carburant'!A26,NA())</f>
        <v>#N/A</v>
      </c>
      <c r="AB11" s="57" t="e">
        <f>IF(OR('Suivi Carburant'!G26="",NOT(ISNUMBER('Suivi Carburant'!G26))),NA(),'Suivi Carburant'!G26)</f>
        <v>#N/A</v>
      </c>
      <c r="AC11" s="57" t="e">
        <f>IF(OR('Suivi Carburant'!K26="",NOT(ISNUMBER('Suivi Carburant'!K26))),NA(),'Suivi Carburant'!K26)</f>
        <v>#N/A</v>
      </c>
      <c r="AE11" s="57">
        <v>9</v>
      </c>
      <c r="AF11" s="57" t="e">
        <f t="shared" si="0"/>
        <v>#N/A</v>
      </c>
      <c r="AG11" s="57">
        <f>'Suivi Carburant'!$B$5</f>
        <v>514.54</v>
      </c>
    </row>
    <row r="12" spans="2:35" x14ac:dyDescent="0.25">
      <c r="O12" s="57" t="e">
        <f>IF(COUNTIFS('Suivi Carburant'!$C$16:$C$46,"SuperEthanol E85",'Suivi Carburant'!$N$16:$N$46,"&gt;=0")&gt;=ROW(O11)-1,ROW(O11)-1,NA())</f>
        <v>#N/A</v>
      </c>
      <c r="P12" s="57" t="e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57" t="e">
        <f>IF(ISNA(O12),NA(),'Suivi Carburant'!$B$5)</f>
        <v>#N/A</v>
      </c>
      <c r="S12" s="57" t="e">
        <f>IF(ISNUMBER('Suivi Carburant'!A27),'Suivi Carburant'!A27,NA())</f>
        <v>#N/A</v>
      </c>
      <c r="T12" s="57" t="e">
        <f>IF(OR('Suivi Carburant'!C27&lt;&gt;"Super 98",'Suivi Carburant'!J27=""),NA(),'Suivi Carburant'!J27)</f>
        <v>#N/A</v>
      </c>
      <c r="U12" s="57" t="e">
        <f>IF(OR('Suivi Carburant'!C27&lt;&gt;"SuperEthanol E85",'Suivi Carburant'!J27=""),NA(),'Suivi Carburant'!J27)</f>
        <v>#N/A</v>
      </c>
      <c r="W12" s="57" t="e">
        <f>IF(ISNUMBER('Suivi Carburant'!A27),'Suivi Carburant'!A27,NA())</f>
        <v>#N/A</v>
      </c>
      <c r="X12" s="57" t="e">
        <f>IF(OR('Suivi Carburant'!C27&lt;&gt;"Super 98",'Suivi Carburant'!H27=""),NA(),'Suivi Carburant'!H27)</f>
        <v>#N/A</v>
      </c>
      <c r="Y12" s="57" t="e">
        <f>IF(OR('Suivi Carburant'!C27&lt;&gt;"SuperEthanol E85",'Suivi Carburant'!H27=""),NA(),'Suivi Carburant'!H27)</f>
        <v>#N/A</v>
      </c>
      <c r="AA12" s="57" t="e">
        <f>IF(ISNUMBER('Suivi Carburant'!A27),'Suivi Carburant'!A27,NA())</f>
        <v>#N/A</v>
      </c>
      <c r="AB12" s="57" t="e">
        <f>IF(OR('Suivi Carburant'!G27="",NOT(ISNUMBER('Suivi Carburant'!G27))),NA(),'Suivi Carburant'!G27)</f>
        <v>#N/A</v>
      </c>
      <c r="AC12" s="57" t="e">
        <f>IF(OR('Suivi Carburant'!K27="",NOT(ISNUMBER('Suivi Carburant'!K27))),NA(),'Suivi Carburant'!K27)</f>
        <v>#N/A</v>
      </c>
      <c r="AE12" s="57">
        <v>10</v>
      </c>
      <c r="AF12" s="57" t="e">
        <f t="shared" si="0"/>
        <v>#N/A</v>
      </c>
      <c r="AG12" s="57">
        <f>'Suivi Carburant'!$B$5</f>
        <v>514.54</v>
      </c>
    </row>
    <row r="13" spans="2:35" x14ac:dyDescent="0.25">
      <c r="O13" s="57" t="e">
        <f>IF(COUNTIFS('Suivi Carburant'!$C$16:$C$46,"SuperEthanol E85",'Suivi Carburant'!$N$16:$N$46,"&gt;=0")&gt;=ROW(O12)-1,ROW(O12)-1,NA())</f>
        <v>#N/A</v>
      </c>
      <c r="P13" s="57" t="e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57" t="e">
        <f>IF(ISNA(O13),NA(),'Suivi Carburant'!$B$5)</f>
        <v>#N/A</v>
      </c>
      <c r="S13" s="57" t="e">
        <f>IF(ISNUMBER('Suivi Carburant'!A28),'Suivi Carburant'!A28,NA())</f>
        <v>#N/A</v>
      </c>
      <c r="T13" s="57" t="e">
        <f>IF(OR('Suivi Carburant'!C28&lt;&gt;"Super 98",'Suivi Carburant'!J28=""),NA(),'Suivi Carburant'!J28)</f>
        <v>#N/A</v>
      </c>
      <c r="U13" s="57" t="e">
        <f>IF(OR('Suivi Carburant'!C28&lt;&gt;"SuperEthanol E85",'Suivi Carburant'!J28=""),NA(),'Suivi Carburant'!J28)</f>
        <v>#N/A</v>
      </c>
      <c r="W13" s="57" t="e">
        <f>IF(ISNUMBER('Suivi Carburant'!A28),'Suivi Carburant'!A28,NA())</f>
        <v>#N/A</v>
      </c>
      <c r="X13" s="57" t="e">
        <f>IF(OR('Suivi Carburant'!C28&lt;&gt;"Super 98",'Suivi Carburant'!H28=""),NA(),'Suivi Carburant'!H28)</f>
        <v>#N/A</v>
      </c>
      <c r="Y13" s="57" t="e">
        <f>IF(OR('Suivi Carburant'!C28&lt;&gt;"SuperEthanol E85",'Suivi Carburant'!H28=""),NA(),'Suivi Carburant'!H28)</f>
        <v>#N/A</v>
      </c>
      <c r="AA13" s="57" t="e">
        <f>IF(ISNUMBER('Suivi Carburant'!A28),'Suivi Carburant'!A28,NA())</f>
        <v>#N/A</v>
      </c>
      <c r="AB13" s="57" t="e">
        <f>IF(OR('Suivi Carburant'!G28="",NOT(ISNUMBER('Suivi Carburant'!G28))),NA(),'Suivi Carburant'!G28)</f>
        <v>#N/A</v>
      </c>
      <c r="AC13" s="57" t="e">
        <f>IF(OR('Suivi Carburant'!K28="",NOT(ISNUMBER('Suivi Carburant'!K28))),NA(),'Suivi Carburant'!K28)</f>
        <v>#N/A</v>
      </c>
      <c r="AE13" s="57">
        <v>11</v>
      </c>
      <c r="AF13" s="57" t="e">
        <f t="shared" si="0"/>
        <v>#N/A</v>
      </c>
      <c r="AG13" s="57">
        <f>'Suivi Carburant'!$B$5</f>
        <v>514.54</v>
      </c>
    </row>
    <row r="14" spans="2:35" x14ac:dyDescent="0.25">
      <c r="O14" s="57" t="e">
        <f>IF(COUNTIFS('Suivi Carburant'!$C$16:$C$46,"SuperEthanol E85",'Suivi Carburant'!$N$16:$N$46,"&gt;=0")&gt;=ROW(O13)-1,ROW(O13)-1,NA())</f>
        <v>#N/A</v>
      </c>
      <c r="P14" s="57" t="e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57" t="e">
        <f>IF(ISNA(O14),NA(),'Suivi Carburant'!$B$5)</f>
        <v>#N/A</v>
      </c>
      <c r="S14" s="57" t="e">
        <f>IF(ISNUMBER('Suivi Carburant'!A29),'Suivi Carburant'!A29,NA())</f>
        <v>#N/A</v>
      </c>
      <c r="T14" s="57" t="e">
        <f>IF(OR('Suivi Carburant'!C29&lt;&gt;"Super 98",'Suivi Carburant'!J29=""),NA(),'Suivi Carburant'!J29)</f>
        <v>#N/A</v>
      </c>
      <c r="U14" s="57" t="e">
        <f>IF(OR('Suivi Carburant'!C29&lt;&gt;"SuperEthanol E85",'Suivi Carburant'!J29=""),NA(),'Suivi Carburant'!J29)</f>
        <v>#N/A</v>
      </c>
      <c r="W14" s="57" t="e">
        <f>IF(ISNUMBER('Suivi Carburant'!A29),'Suivi Carburant'!A29,NA())</f>
        <v>#N/A</v>
      </c>
      <c r="X14" s="57" t="e">
        <f>IF(OR('Suivi Carburant'!C29&lt;&gt;"Super 98",'Suivi Carburant'!H29=""),NA(),'Suivi Carburant'!H29)</f>
        <v>#N/A</v>
      </c>
      <c r="Y14" s="57" t="e">
        <f>IF(OR('Suivi Carburant'!C29&lt;&gt;"SuperEthanol E85",'Suivi Carburant'!H29=""),NA(),'Suivi Carburant'!H29)</f>
        <v>#N/A</v>
      </c>
      <c r="AA14" s="57" t="e">
        <f>IF(ISNUMBER('Suivi Carburant'!A29),'Suivi Carburant'!A29,NA())</f>
        <v>#N/A</v>
      </c>
      <c r="AB14" s="57" t="e">
        <f>IF(OR('Suivi Carburant'!G29="",NOT(ISNUMBER('Suivi Carburant'!G29))),NA(),'Suivi Carburant'!G29)</f>
        <v>#N/A</v>
      </c>
      <c r="AC14" s="57" t="e">
        <f>IF(OR('Suivi Carburant'!K29="",NOT(ISNUMBER('Suivi Carburant'!K29))),NA(),'Suivi Carburant'!K29)</f>
        <v>#N/A</v>
      </c>
      <c r="AE14" s="57">
        <v>12</v>
      </c>
      <c r="AF14" s="57" t="e">
        <f t="shared" si="0"/>
        <v>#N/A</v>
      </c>
      <c r="AG14" s="57">
        <f>'Suivi Carburant'!$B$5</f>
        <v>514.54</v>
      </c>
    </row>
    <row r="15" spans="2:35" x14ac:dyDescent="0.25">
      <c r="O15" s="57" t="e">
        <f>IF(COUNTIFS('Suivi Carburant'!$C$16:$C$46,"SuperEthanol E85",'Suivi Carburant'!$N$16:$N$46,"&gt;=0")&gt;=ROW(O14)-1,ROW(O14)-1,NA())</f>
        <v>#N/A</v>
      </c>
      <c r="P15" s="57" t="e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57" t="e">
        <f>IF(ISNA(O15),NA(),'Suivi Carburant'!$B$5)</f>
        <v>#N/A</v>
      </c>
      <c r="S15" s="57" t="e">
        <f>IF(ISNUMBER('Suivi Carburant'!A30),'Suivi Carburant'!A30,NA())</f>
        <v>#N/A</v>
      </c>
      <c r="T15" s="57" t="e">
        <f>IF(OR('Suivi Carburant'!C30&lt;&gt;"Super 98",'Suivi Carburant'!J30=""),NA(),'Suivi Carburant'!J30)</f>
        <v>#N/A</v>
      </c>
      <c r="U15" s="57" t="e">
        <f>IF(OR('Suivi Carburant'!C30&lt;&gt;"SuperEthanol E85",'Suivi Carburant'!J30=""),NA(),'Suivi Carburant'!J30)</f>
        <v>#N/A</v>
      </c>
      <c r="W15" s="57" t="e">
        <f>IF(ISNUMBER('Suivi Carburant'!A30),'Suivi Carburant'!A30,NA())</f>
        <v>#N/A</v>
      </c>
      <c r="X15" s="57" t="e">
        <f>IF(OR('Suivi Carburant'!C30&lt;&gt;"Super 98",'Suivi Carburant'!H30=""),NA(),'Suivi Carburant'!H30)</f>
        <v>#N/A</v>
      </c>
      <c r="Y15" s="57" t="e">
        <f>IF(OR('Suivi Carburant'!C30&lt;&gt;"SuperEthanol E85",'Suivi Carburant'!H30=""),NA(),'Suivi Carburant'!H30)</f>
        <v>#N/A</v>
      </c>
      <c r="AA15" s="57" t="e">
        <f>IF(ISNUMBER('Suivi Carburant'!A30),'Suivi Carburant'!A30,NA())</f>
        <v>#N/A</v>
      </c>
      <c r="AB15" s="57" t="e">
        <f>IF(OR('Suivi Carburant'!G30="",NOT(ISNUMBER('Suivi Carburant'!G30))),NA(),'Suivi Carburant'!G30)</f>
        <v>#N/A</v>
      </c>
      <c r="AC15" s="57" t="e">
        <f>IF(OR('Suivi Carburant'!K30="",NOT(ISNUMBER('Suivi Carburant'!K30))),NA(),'Suivi Carburant'!K30)</f>
        <v>#N/A</v>
      </c>
      <c r="AE15" s="57">
        <v>13</v>
      </c>
      <c r="AF15" s="57" t="e">
        <f t="shared" si="0"/>
        <v>#N/A</v>
      </c>
      <c r="AG15" s="57">
        <f>'Suivi Carburant'!$B$5</f>
        <v>514.54</v>
      </c>
    </row>
    <row r="16" spans="2:35" x14ac:dyDescent="0.25">
      <c r="O16" s="57" t="e">
        <f>IF(COUNTIFS('Suivi Carburant'!$C$16:$C$46,"SuperEthanol E85",'Suivi Carburant'!$N$16:$N$46,"&gt;=0")&gt;=ROW(O15)-1,ROW(O15)-1,NA())</f>
        <v>#N/A</v>
      </c>
      <c r="P16" s="57" t="e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57" t="e">
        <f>IF(ISNA(O16),NA(),'Suivi Carburant'!$B$5)</f>
        <v>#N/A</v>
      </c>
      <c r="S16" s="57" t="e">
        <f>IF(ISNUMBER('Suivi Carburant'!A31),'Suivi Carburant'!A31,NA())</f>
        <v>#N/A</v>
      </c>
      <c r="T16" s="57" t="e">
        <f>IF(OR('Suivi Carburant'!C31&lt;&gt;"Super 98",'Suivi Carburant'!J31=""),NA(),'Suivi Carburant'!J31)</f>
        <v>#N/A</v>
      </c>
      <c r="U16" s="57" t="e">
        <f>IF(OR('Suivi Carburant'!C31&lt;&gt;"SuperEthanol E85",'Suivi Carburant'!J31=""),NA(),'Suivi Carburant'!J31)</f>
        <v>#N/A</v>
      </c>
      <c r="W16" s="57" t="e">
        <f>IF(ISNUMBER('Suivi Carburant'!A31),'Suivi Carburant'!A31,NA())</f>
        <v>#N/A</v>
      </c>
      <c r="X16" s="57" t="e">
        <f>IF(OR('Suivi Carburant'!C31&lt;&gt;"Super 98",'Suivi Carburant'!H31=""),NA(),'Suivi Carburant'!H31)</f>
        <v>#N/A</v>
      </c>
      <c r="Y16" s="57" t="e">
        <f>IF(OR('Suivi Carburant'!C31&lt;&gt;"SuperEthanol E85",'Suivi Carburant'!H31=""),NA(),'Suivi Carburant'!H31)</f>
        <v>#N/A</v>
      </c>
      <c r="AA16" s="57" t="e">
        <f>IF(ISNUMBER('Suivi Carburant'!A31),'Suivi Carburant'!A31,NA())</f>
        <v>#N/A</v>
      </c>
      <c r="AB16" s="57" t="e">
        <f>IF(OR('Suivi Carburant'!G31="",NOT(ISNUMBER('Suivi Carburant'!G31))),NA(),'Suivi Carburant'!G31)</f>
        <v>#N/A</v>
      </c>
      <c r="AC16" s="57" t="e">
        <f>IF(OR('Suivi Carburant'!K31="",NOT(ISNUMBER('Suivi Carburant'!K31))),NA(),'Suivi Carburant'!K31)</f>
        <v>#N/A</v>
      </c>
      <c r="AE16" s="57">
        <v>14</v>
      </c>
      <c r="AF16" s="57" t="e">
        <f t="shared" si="0"/>
        <v>#N/A</v>
      </c>
      <c r="AG16" s="57">
        <f>'Suivi Carburant'!$B$5</f>
        <v>514.54</v>
      </c>
    </row>
    <row r="17" spans="15:33" x14ac:dyDescent="0.25">
      <c r="O17" s="57" t="e">
        <f>IF(COUNTIFS('Suivi Carburant'!$C$16:$C$46,"SuperEthanol E85",'Suivi Carburant'!$N$16:$N$46,"&gt;=0")&gt;=ROW(O16)-1,ROW(O16)-1,NA())</f>
        <v>#N/A</v>
      </c>
      <c r="P17" s="57" t="e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57" t="e">
        <f>IF(ISNA(O17),NA(),'Suivi Carburant'!$B$5)</f>
        <v>#N/A</v>
      </c>
      <c r="S17" s="57" t="e">
        <f>IF(ISNUMBER('Suivi Carburant'!A32),'Suivi Carburant'!A32,NA())</f>
        <v>#N/A</v>
      </c>
      <c r="T17" s="57" t="e">
        <f>IF(OR('Suivi Carburant'!C32&lt;&gt;"Super 98",'Suivi Carburant'!J32=""),NA(),'Suivi Carburant'!J32)</f>
        <v>#N/A</v>
      </c>
      <c r="U17" s="57" t="e">
        <f>IF(OR('Suivi Carburant'!C32&lt;&gt;"SuperEthanol E85",'Suivi Carburant'!J32=""),NA(),'Suivi Carburant'!J32)</f>
        <v>#N/A</v>
      </c>
      <c r="W17" s="57" t="e">
        <f>IF(ISNUMBER('Suivi Carburant'!A32),'Suivi Carburant'!A32,NA())</f>
        <v>#N/A</v>
      </c>
      <c r="X17" s="57" t="e">
        <f>IF(OR('Suivi Carburant'!C32&lt;&gt;"Super 98",'Suivi Carburant'!H32=""),NA(),'Suivi Carburant'!H32)</f>
        <v>#N/A</v>
      </c>
      <c r="Y17" s="57" t="e">
        <f>IF(OR('Suivi Carburant'!C32&lt;&gt;"SuperEthanol E85",'Suivi Carburant'!H32=""),NA(),'Suivi Carburant'!H32)</f>
        <v>#N/A</v>
      </c>
      <c r="AA17" s="57" t="e">
        <f>IF(ISNUMBER('Suivi Carburant'!A32),'Suivi Carburant'!A32,NA())</f>
        <v>#N/A</v>
      </c>
      <c r="AB17" s="57" t="e">
        <f>IF(OR('Suivi Carburant'!G32="",NOT(ISNUMBER('Suivi Carburant'!G32))),NA(),'Suivi Carburant'!G32)</f>
        <v>#N/A</v>
      </c>
      <c r="AC17" s="57" t="e">
        <f>IF(OR('Suivi Carburant'!K32="",NOT(ISNUMBER('Suivi Carburant'!K32))),NA(),'Suivi Carburant'!K32)</f>
        <v>#N/A</v>
      </c>
      <c r="AE17" s="57">
        <v>15</v>
      </c>
      <c r="AF17" s="57" t="e">
        <f t="shared" si="0"/>
        <v>#N/A</v>
      </c>
      <c r="AG17" s="57">
        <f>'Suivi Carburant'!$B$5</f>
        <v>514.54</v>
      </c>
    </row>
    <row r="18" spans="15:33" x14ac:dyDescent="0.25">
      <c r="O18" s="57" t="e">
        <f>IF(COUNTIFS('Suivi Carburant'!$C$16:$C$46,"SuperEthanol E85",'Suivi Carburant'!$N$16:$N$46,"&gt;=0")&gt;=ROW(O17)-1,ROW(O17)-1,NA())</f>
        <v>#N/A</v>
      </c>
      <c r="P18" s="57" t="e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57" t="e">
        <f>IF(ISNA(O18),NA(),'Suivi Carburant'!$B$5)</f>
        <v>#N/A</v>
      </c>
      <c r="S18" s="57" t="e">
        <f>IF(ISNUMBER('Suivi Carburant'!A33),'Suivi Carburant'!A33,NA())</f>
        <v>#N/A</v>
      </c>
      <c r="T18" s="57" t="e">
        <f>IF(OR('Suivi Carburant'!C33&lt;&gt;"Super 98",'Suivi Carburant'!J33=""),NA(),'Suivi Carburant'!J33)</f>
        <v>#N/A</v>
      </c>
      <c r="U18" s="57" t="e">
        <f>IF(OR('Suivi Carburant'!C33&lt;&gt;"SuperEthanol E85",'Suivi Carburant'!J33=""),NA(),'Suivi Carburant'!J33)</f>
        <v>#N/A</v>
      </c>
      <c r="W18" s="57" t="e">
        <f>IF(ISNUMBER('Suivi Carburant'!A33),'Suivi Carburant'!A33,NA())</f>
        <v>#N/A</v>
      </c>
      <c r="X18" s="57" t="e">
        <f>IF(OR('Suivi Carburant'!C33&lt;&gt;"Super 98",'Suivi Carburant'!H33=""),NA(),'Suivi Carburant'!H33)</f>
        <v>#N/A</v>
      </c>
      <c r="Y18" s="57" t="e">
        <f>IF(OR('Suivi Carburant'!C33&lt;&gt;"SuperEthanol E85",'Suivi Carburant'!H33=""),NA(),'Suivi Carburant'!H33)</f>
        <v>#N/A</v>
      </c>
      <c r="AA18" s="57" t="e">
        <f>IF(ISNUMBER('Suivi Carburant'!A33),'Suivi Carburant'!A33,NA())</f>
        <v>#N/A</v>
      </c>
      <c r="AB18" s="57" t="e">
        <f>IF(OR('Suivi Carburant'!G33="",NOT(ISNUMBER('Suivi Carburant'!G33))),NA(),'Suivi Carburant'!G33)</f>
        <v>#N/A</v>
      </c>
      <c r="AC18" s="57" t="e">
        <f>IF(OR('Suivi Carburant'!K33="",NOT(ISNUMBER('Suivi Carburant'!K33))),NA(),'Suivi Carburant'!K33)</f>
        <v>#N/A</v>
      </c>
      <c r="AE18" s="57">
        <v>16</v>
      </c>
      <c r="AF18" s="57" t="e">
        <f t="shared" si="0"/>
        <v>#N/A</v>
      </c>
      <c r="AG18" s="57">
        <f>'Suivi Carburant'!$B$5</f>
        <v>514.54</v>
      </c>
    </row>
    <row r="19" spans="15:33" x14ac:dyDescent="0.25">
      <c r="O19" s="57" t="e">
        <f>IF(COUNTIFS('Suivi Carburant'!$C$16:$C$46,"SuperEthanol E85",'Suivi Carburant'!$N$16:$N$46,"&gt;=0")&gt;=ROW(O18)-1,ROW(O18)-1,NA())</f>
        <v>#N/A</v>
      </c>
      <c r="P19" s="57" t="e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57" t="e">
        <f>IF(ISNA(O19),NA(),'Suivi Carburant'!$B$5)</f>
        <v>#N/A</v>
      </c>
      <c r="S19" s="57" t="e">
        <f>IF(ISNUMBER('Suivi Carburant'!A34),'Suivi Carburant'!A34,NA())</f>
        <v>#N/A</v>
      </c>
      <c r="T19" s="57" t="e">
        <f>IF(OR('Suivi Carburant'!C34&lt;&gt;"Super 98",'Suivi Carburant'!J34=""),NA(),'Suivi Carburant'!J34)</f>
        <v>#N/A</v>
      </c>
      <c r="U19" s="57" t="e">
        <f>IF(OR('Suivi Carburant'!C34&lt;&gt;"SuperEthanol E85",'Suivi Carburant'!J34=""),NA(),'Suivi Carburant'!J34)</f>
        <v>#N/A</v>
      </c>
      <c r="W19" s="57" t="e">
        <f>IF(ISNUMBER('Suivi Carburant'!A34),'Suivi Carburant'!A34,NA())</f>
        <v>#N/A</v>
      </c>
      <c r="X19" s="57" t="e">
        <f>IF(OR('Suivi Carburant'!C34&lt;&gt;"Super 98",'Suivi Carburant'!H34=""),NA(),'Suivi Carburant'!H34)</f>
        <v>#N/A</v>
      </c>
      <c r="Y19" s="57" t="e">
        <f>IF(OR('Suivi Carburant'!C34&lt;&gt;"SuperEthanol E85",'Suivi Carburant'!H34=""),NA(),'Suivi Carburant'!H34)</f>
        <v>#N/A</v>
      </c>
      <c r="AA19" s="57" t="e">
        <f>IF(ISNUMBER('Suivi Carburant'!A34),'Suivi Carburant'!A34,NA())</f>
        <v>#N/A</v>
      </c>
      <c r="AB19" s="57" t="e">
        <f>IF(OR('Suivi Carburant'!G34="",NOT(ISNUMBER('Suivi Carburant'!G34))),NA(),'Suivi Carburant'!G34)</f>
        <v>#N/A</v>
      </c>
      <c r="AC19" s="57" t="e">
        <f>IF(OR('Suivi Carburant'!K34="",NOT(ISNUMBER('Suivi Carburant'!K34))),NA(),'Suivi Carburant'!K34)</f>
        <v>#N/A</v>
      </c>
      <c r="AE19" s="57">
        <v>17</v>
      </c>
      <c r="AF19" s="57" t="e">
        <f t="shared" si="0"/>
        <v>#N/A</v>
      </c>
      <c r="AG19" s="57">
        <f>'Suivi Carburant'!$B$5</f>
        <v>514.54</v>
      </c>
    </row>
    <row r="20" spans="15:33" x14ac:dyDescent="0.25">
      <c r="O20" s="57" t="e">
        <f>IF(COUNTIFS('Suivi Carburant'!$C$16:$C$46,"SuperEthanol E85",'Suivi Carburant'!$N$16:$N$46,"&gt;=0")&gt;=ROW(O19)-1,ROW(O19)-1,NA())</f>
        <v>#N/A</v>
      </c>
      <c r="P20" s="57" t="e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57" t="e">
        <f>IF(ISNA(O20),NA(),'Suivi Carburant'!$B$5)</f>
        <v>#N/A</v>
      </c>
      <c r="S20" s="57" t="e">
        <f>IF(ISNUMBER('Suivi Carburant'!A35),'Suivi Carburant'!A35,NA())</f>
        <v>#N/A</v>
      </c>
      <c r="T20" s="57" t="e">
        <f>IF(OR('Suivi Carburant'!C35&lt;&gt;"Super 98",'Suivi Carburant'!J35=""),NA(),'Suivi Carburant'!J35)</f>
        <v>#N/A</v>
      </c>
      <c r="U20" s="57" t="e">
        <f>IF(OR('Suivi Carburant'!C35&lt;&gt;"SuperEthanol E85",'Suivi Carburant'!J35=""),NA(),'Suivi Carburant'!J35)</f>
        <v>#N/A</v>
      </c>
      <c r="W20" s="57" t="e">
        <f>IF(ISNUMBER('Suivi Carburant'!A35),'Suivi Carburant'!A35,NA())</f>
        <v>#N/A</v>
      </c>
      <c r="X20" s="57" t="e">
        <f>IF(OR('Suivi Carburant'!C35&lt;&gt;"Super 98",'Suivi Carburant'!H35=""),NA(),'Suivi Carburant'!H35)</f>
        <v>#N/A</v>
      </c>
      <c r="Y20" s="57" t="e">
        <f>IF(OR('Suivi Carburant'!C35&lt;&gt;"SuperEthanol E85",'Suivi Carburant'!H35=""),NA(),'Suivi Carburant'!H35)</f>
        <v>#N/A</v>
      </c>
      <c r="AA20" s="57" t="e">
        <f>IF(ISNUMBER('Suivi Carburant'!A35),'Suivi Carburant'!A35,NA())</f>
        <v>#N/A</v>
      </c>
      <c r="AB20" s="57" t="e">
        <f>IF(OR('Suivi Carburant'!G35="",NOT(ISNUMBER('Suivi Carburant'!G35))),NA(),'Suivi Carburant'!G35)</f>
        <v>#N/A</v>
      </c>
      <c r="AC20" s="57" t="e">
        <f>IF(OR('Suivi Carburant'!K35="",NOT(ISNUMBER('Suivi Carburant'!K35))),NA(),'Suivi Carburant'!K35)</f>
        <v>#N/A</v>
      </c>
      <c r="AE20" s="57">
        <v>18</v>
      </c>
      <c r="AF20" s="57" t="e">
        <f t="shared" si="0"/>
        <v>#N/A</v>
      </c>
      <c r="AG20" s="57">
        <f>'Suivi Carburant'!$B$5</f>
        <v>514.54</v>
      </c>
    </row>
    <row r="21" spans="15:33" x14ac:dyDescent="0.25">
      <c r="O21" s="57" t="e">
        <f>IF(COUNTIFS('Suivi Carburant'!$C$16:$C$46,"SuperEthanol E85",'Suivi Carburant'!$N$16:$N$46,"&gt;=0")&gt;=ROW(O20)-1,ROW(O20)-1,NA())</f>
        <v>#N/A</v>
      </c>
      <c r="P21" s="57" t="e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57" t="e">
        <f>IF(ISNA(O21),NA(),'Suivi Carburant'!$B$5)</f>
        <v>#N/A</v>
      </c>
      <c r="S21" s="57" t="e">
        <f>IF(ISNUMBER('Suivi Carburant'!A36),'Suivi Carburant'!A36,NA())</f>
        <v>#N/A</v>
      </c>
      <c r="T21" s="57" t="e">
        <f>IF(OR('Suivi Carburant'!C36&lt;&gt;"Super 98",'Suivi Carburant'!J36=""),NA(),'Suivi Carburant'!J36)</f>
        <v>#N/A</v>
      </c>
      <c r="U21" s="57" t="e">
        <f>IF(OR('Suivi Carburant'!C36&lt;&gt;"SuperEthanol E85",'Suivi Carburant'!J36=""),NA(),'Suivi Carburant'!J36)</f>
        <v>#N/A</v>
      </c>
      <c r="W21" s="57" t="e">
        <f>IF(ISNUMBER('Suivi Carburant'!A36),'Suivi Carburant'!A36,NA())</f>
        <v>#N/A</v>
      </c>
      <c r="X21" s="57" t="e">
        <f>IF(OR('Suivi Carburant'!C36&lt;&gt;"Super 98",'Suivi Carburant'!H36=""),NA(),'Suivi Carburant'!H36)</f>
        <v>#N/A</v>
      </c>
      <c r="Y21" s="57" t="e">
        <f>IF(OR('Suivi Carburant'!C36&lt;&gt;"SuperEthanol E85",'Suivi Carburant'!H36=""),NA(),'Suivi Carburant'!H36)</f>
        <v>#N/A</v>
      </c>
      <c r="AA21" s="57" t="e">
        <f>IF(ISNUMBER('Suivi Carburant'!A36),'Suivi Carburant'!A36,NA())</f>
        <v>#N/A</v>
      </c>
      <c r="AB21" s="57" t="e">
        <f>IF(OR('Suivi Carburant'!G36="",NOT(ISNUMBER('Suivi Carburant'!G36))),NA(),'Suivi Carburant'!G36)</f>
        <v>#N/A</v>
      </c>
      <c r="AC21" s="57" t="e">
        <f>IF(OR('Suivi Carburant'!K36="",NOT(ISNUMBER('Suivi Carburant'!K36))),NA(),'Suivi Carburant'!K36)</f>
        <v>#N/A</v>
      </c>
      <c r="AE21" s="57">
        <v>19</v>
      </c>
      <c r="AF21" s="57" t="e">
        <f t="shared" si="0"/>
        <v>#N/A</v>
      </c>
      <c r="AG21" s="57">
        <f>'Suivi Carburant'!$B$5</f>
        <v>514.54</v>
      </c>
    </row>
    <row r="22" spans="15:33" x14ac:dyDescent="0.25">
      <c r="O22" s="57" t="e">
        <f>IF(COUNTIFS('Suivi Carburant'!$C$16:$C$46,"SuperEthanol E85",'Suivi Carburant'!$N$16:$N$46,"&gt;=0")&gt;=ROW(O21)-1,ROW(O21)-1,NA())</f>
        <v>#N/A</v>
      </c>
      <c r="P22" s="57" t="e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57" t="e">
        <f>IF(ISNA(O22),NA(),'Suivi Carburant'!$B$5)</f>
        <v>#N/A</v>
      </c>
      <c r="S22" s="57" t="e">
        <f>IF(ISNUMBER('Suivi Carburant'!A37),'Suivi Carburant'!A37,NA())</f>
        <v>#N/A</v>
      </c>
      <c r="T22" s="57" t="e">
        <f>IF(OR('Suivi Carburant'!C37&lt;&gt;"Super 98",'Suivi Carburant'!J37=""),NA(),'Suivi Carburant'!J37)</f>
        <v>#N/A</v>
      </c>
      <c r="U22" s="57" t="e">
        <f>IF(OR('Suivi Carburant'!C37&lt;&gt;"SuperEthanol E85",'Suivi Carburant'!J37=""),NA(),'Suivi Carburant'!J37)</f>
        <v>#N/A</v>
      </c>
      <c r="W22" s="57" t="e">
        <f>IF(ISNUMBER('Suivi Carburant'!A37),'Suivi Carburant'!A37,NA())</f>
        <v>#N/A</v>
      </c>
      <c r="X22" s="57" t="e">
        <f>IF(OR('Suivi Carburant'!C37&lt;&gt;"Super 98",'Suivi Carburant'!H37=""),NA(),'Suivi Carburant'!H37)</f>
        <v>#N/A</v>
      </c>
      <c r="Y22" s="57" t="e">
        <f>IF(OR('Suivi Carburant'!C37&lt;&gt;"SuperEthanol E85",'Suivi Carburant'!H37=""),NA(),'Suivi Carburant'!H37)</f>
        <v>#N/A</v>
      </c>
      <c r="AA22" s="57" t="e">
        <f>IF(ISNUMBER('Suivi Carburant'!A37),'Suivi Carburant'!A37,NA())</f>
        <v>#N/A</v>
      </c>
      <c r="AB22" s="57" t="e">
        <f>IF(OR('Suivi Carburant'!G37="",NOT(ISNUMBER('Suivi Carburant'!G37))),NA(),'Suivi Carburant'!G37)</f>
        <v>#N/A</v>
      </c>
      <c r="AC22" s="57" t="e">
        <f>IF(OR('Suivi Carburant'!K37="",NOT(ISNUMBER('Suivi Carburant'!K37))),NA(),'Suivi Carburant'!K37)</f>
        <v>#N/A</v>
      </c>
      <c r="AE22" s="57">
        <v>20</v>
      </c>
      <c r="AF22" s="57" t="e">
        <f t="shared" si="0"/>
        <v>#N/A</v>
      </c>
      <c r="AG22" s="57">
        <f>'Suivi Carburant'!$B$5</f>
        <v>514.54</v>
      </c>
    </row>
    <row r="23" spans="15:33" x14ac:dyDescent="0.25">
      <c r="O23" s="57" t="e">
        <f>IF(COUNTIFS('Suivi Carburant'!$C$16:$C$46,"SuperEthanol E85",'Suivi Carburant'!$N$16:$N$46,"&gt;=0")&gt;=ROW(O22)-1,ROW(O22)-1,NA())</f>
        <v>#N/A</v>
      </c>
      <c r="P23" s="57" t="e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57" t="e">
        <f>IF(ISNA(O23),NA(),'Suivi Carburant'!$B$5)</f>
        <v>#N/A</v>
      </c>
      <c r="S23" s="57" t="e">
        <f>IF(ISNUMBER('Suivi Carburant'!A38),'Suivi Carburant'!A38,NA())</f>
        <v>#N/A</v>
      </c>
      <c r="T23" s="57" t="e">
        <f>IF(OR('Suivi Carburant'!C38&lt;&gt;"Super 98",'Suivi Carburant'!J38=""),NA(),'Suivi Carburant'!J38)</f>
        <v>#N/A</v>
      </c>
      <c r="U23" s="57" t="e">
        <f>IF(OR('Suivi Carburant'!C38&lt;&gt;"SuperEthanol E85",'Suivi Carburant'!J38=""),NA(),'Suivi Carburant'!J38)</f>
        <v>#N/A</v>
      </c>
      <c r="W23" s="57" t="e">
        <f>IF(ISNUMBER('Suivi Carburant'!A38),'Suivi Carburant'!A38,NA())</f>
        <v>#N/A</v>
      </c>
      <c r="X23" s="57" t="e">
        <f>IF(OR('Suivi Carburant'!C38&lt;&gt;"Super 98",'Suivi Carburant'!H38=""),NA(),'Suivi Carburant'!H38)</f>
        <v>#N/A</v>
      </c>
      <c r="Y23" s="57" t="e">
        <f>IF(OR('Suivi Carburant'!C38&lt;&gt;"SuperEthanol E85",'Suivi Carburant'!H38=""),NA(),'Suivi Carburant'!H38)</f>
        <v>#N/A</v>
      </c>
      <c r="AA23" s="57" t="e">
        <f>IF(ISNUMBER('Suivi Carburant'!A38),'Suivi Carburant'!A38,NA())</f>
        <v>#N/A</v>
      </c>
      <c r="AB23" s="57" t="e">
        <f>IF(OR('Suivi Carburant'!G38="",NOT(ISNUMBER('Suivi Carburant'!G38))),NA(),'Suivi Carburant'!G38)</f>
        <v>#N/A</v>
      </c>
      <c r="AC23" s="57" t="e">
        <f>IF(OR('Suivi Carburant'!K38="",NOT(ISNUMBER('Suivi Carburant'!K38))),NA(),'Suivi Carburant'!K38)</f>
        <v>#N/A</v>
      </c>
      <c r="AE23" s="57">
        <v>21</v>
      </c>
      <c r="AF23" s="57" t="e">
        <f t="shared" si="0"/>
        <v>#N/A</v>
      </c>
      <c r="AG23" s="57">
        <f>'Suivi Carburant'!$B$5</f>
        <v>514.54</v>
      </c>
    </row>
    <row r="24" spans="15:33" x14ac:dyDescent="0.25">
      <c r="O24" s="57" t="e">
        <f>IF(COUNTIFS('Suivi Carburant'!$C$16:$C$46,"SuperEthanol E85",'Suivi Carburant'!$N$16:$N$46,"&gt;=0")&gt;=ROW(O23)-1,ROW(O23)-1,NA())</f>
        <v>#N/A</v>
      </c>
      <c r="P24" s="57" t="e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57" t="e">
        <f>IF(ISNA(O24),NA(),'Suivi Carburant'!$B$5)</f>
        <v>#N/A</v>
      </c>
      <c r="S24" s="57" t="e">
        <f>IF(ISNUMBER('Suivi Carburant'!A39),'Suivi Carburant'!A39,NA())</f>
        <v>#N/A</v>
      </c>
      <c r="T24" s="57" t="e">
        <f>IF(OR('Suivi Carburant'!C39&lt;&gt;"Super 98",'Suivi Carburant'!J39=""),NA(),'Suivi Carburant'!J39)</f>
        <v>#N/A</v>
      </c>
      <c r="U24" s="57" t="e">
        <f>IF(OR('Suivi Carburant'!C39&lt;&gt;"SuperEthanol E85",'Suivi Carburant'!J39=""),NA(),'Suivi Carburant'!J39)</f>
        <v>#N/A</v>
      </c>
      <c r="W24" s="57" t="e">
        <f>IF(ISNUMBER('Suivi Carburant'!A39),'Suivi Carburant'!A39,NA())</f>
        <v>#N/A</v>
      </c>
      <c r="X24" s="57" t="e">
        <f>IF(OR('Suivi Carburant'!C39&lt;&gt;"Super 98",'Suivi Carburant'!H39=""),NA(),'Suivi Carburant'!H39)</f>
        <v>#N/A</v>
      </c>
      <c r="Y24" s="57" t="e">
        <f>IF(OR('Suivi Carburant'!C39&lt;&gt;"SuperEthanol E85",'Suivi Carburant'!H39=""),NA(),'Suivi Carburant'!H39)</f>
        <v>#N/A</v>
      </c>
      <c r="AA24" s="57" t="e">
        <f>IF(ISNUMBER('Suivi Carburant'!A39),'Suivi Carburant'!A39,NA())</f>
        <v>#N/A</v>
      </c>
      <c r="AB24" s="57" t="e">
        <f>IF(OR('Suivi Carburant'!G39="",NOT(ISNUMBER('Suivi Carburant'!G39))),NA(),'Suivi Carburant'!G39)</f>
        <v>#N/A</v>
      </c>
      <c r="AC24" s="57" t="e">
        <f>IF(OR('Suivi Carburant'!K39="",NOT(ISNUMBER('Suivi Carburant'!K39))),NA(),'Suivi Carburant'!K39)</f>
        <v>#N/A</v>
      </c>
      <c r="AE24" s="57">
        <v>22</v>
      </c>
      <c r="AF24" s="57" t="e">
        <f t="shared" si="0"/>
        <v>#N/A</v>
      </c>
      <c r="AG24" s="57">
        <f>'Suivi Carburant'!$B$5</f>
        <v>514.54</v>
      </c>
    </row>
    <row r="25" spans="15:33" x14ac:dyDescent="0.25">
      <c r="O25" s="57" t="e">
        <f>IF(COUNTIFS('Suivi Carburant'!$C$16:$C$46,"SuperEthanol E85",'Suivi Carburant'!$N$16:$N$46,"&gt;=0")&gt;=ROW(O24)-1,ROW(O24)-1,NA())</f>
        <v>#N/A</v>
      </c>
      <c r="P25" s="57" t="e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57" t="e">
        <f>IF(ISNA(O25),NA(),'Suivi Carburant'!$B$5)</f>
        <v>#N/A</v>
      </c>
      <c r="S25" s="57" t="e">
        <f>IF(ISNUMBER('Suivi Carburant'!A40),'Suivi Carburant'!A40,NA())</f>
        <v>#N/A</v>
      </c>
      <c r="T25" s="57" t="e">
        <f>IF(OR('Suivi Carburant'!C40&lt;&gt;"Super 98",'Suivi Carburant'!J40=""),NA(),'Suivi Carburant'!J40)</f>
        <v>#N/A</v>
      </c>
      <c r="U25" s="57" t="e">
        <f>IF(OR('Suivi Carburant'!C40&lt;&gt;"SuperEthanol E85",'Suivi Carburant'!J40=""),NA(),'Suivi Carburant'!J40)</f>
        <v>#N/A</v>
      </c>
      <c r="W25" s="57" t="e">
        <f>IF(ISNUMBER('Suivi Carburant'!A40),'Suivi Carburant'!A40,NA())</f>
        <v>#N/A</v>
      </c>
      <c r="X25" s="57" t="e">
        <f>IF(OR('Suivi Carburant'!C40&lt;&gt;"Super 98",'Suivi Carburant'!H40=""),NA(),'Suivi Carburant'!H40)</f>
        <v>#N/A</v>
      </c>
      <c r="Y25" s="57" t="e">
        <f>IF(OR('Suivi Carburant'!C40&lt;&gt;"SuperEthanol E85",'Suivi Carburant'!H40=""),NA(),'Suivi Carburant'!H40)</f>
        <v>#N/A</v>
      </c>
      <c r="AA25" s="57" t="e">
        <f>IF(ISNUMBER('Suivi Carburant'!A40),'Suivi Carburant'!A40,NA())</f>
        <v>#N/A</v>
      </c>
      <c r="AB25" s="57" t="e">
        <f>IF(OR('Suivi Carburant'!G40="",NOT(ISNUMBER('Suivi Carburant'!G40))),NA(),'Suivi Carburant'!G40)</f>
        <v>#N/A</v>
      </c>
      <c r="AC25" s="57" t="e">
        <f>IF(OR('Suivi Carburant'!K40="",NOT(ISNUMBER('Suivi Carburant'!K40))),NA(),'Suivi Carburant'!K40)</f>
        <v>#N/A</v>
      </c>
      <c r="AE25" s="57">
        <v>23</v>
      </c>
      <c r="AF25" s="57" t="e">
        <f t="shared" si="0"/>
        <v>#N/A</v>
      </c>
      <c r="AG25" s="57">
        <f>'Suivi Carburant'!$B$5</f>
        <v>514.54</v>
      </c>
    </row>
    <row r="26" spans="15:33" x14ac:dyDescent="0.25">
      <c r="O26" s="57" t="e">
        <f>IF(COUNTIFS('Suivi Carburant'!$C$16:$C$46,"SuperEthanol E85",'Suivi Carburant'!$N$16:$N$46,"&gt;=0")&gt;=ROW(O25)-1,ROW(O25)-1,NA())</f>
        <v>#N/A</v>
      </c>
      <c r="P26" s="57" t="e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57" t="e">
        <f>IF(ISNA(O26),NA(),'Suivi Carburant'!$B$5)</f>
        <v>#N/A</v>
      </c>
      <c r="S26" s="57" t="e">
        <f>IF(ISNUMBER('Suivi Carburant'!A41),'Suivi Carburant'!A41,NA())</f>
        <v>#N/A</v>
      </c>
      <c r="T26" s="57" t="e">
        <f>IF(OR('Suivi Carburant'!C41&lt;&gt;"Super 98",'Suivi Carburant'!J41=""),NA(),'Suivi Carburant'!J41)</f>
        <v>#N/A</v>
      </c>
      <c r="U26" s="57" t="e">
        <f>IF(OR('Suivi Carburant'!C41&lt;&gt;"SuperEthanol E85",'Suivi Carburant'!J41=""),NA(),'Suivi Carburant'!J41)</f>
        <v>#N/A</v>
      </c>
      <c r="W26" s="57" t="e">
        <f>IF(ISNUMBER('Suivi Carburant'!A41),'Suivi Carburant'!A41,NA())</f>
        <v>#N/A</v>
      </c>
      <c r="X26" s="57" t="e">
        <f>IF(OR('Suivi Carburant'!C41&lt;&gt;"Super 98",'Suivi Carburant'!H41=""),NA(),'Suivi Carburant'!H41)</f>
        <v>#N/A</v>
      </c>
      <c r="Y26" s="57" t="e">
        <f>IF(OR('Suivi Carburant'!C41&lt;&gt;"SuperEthanol E85",'Suivi Carburant'!H41=""),NA(),'Suivi Carburant'!H41)</f>
        <v>#N/A</v>
      </c>
      <c r="AA26" s="57" t="e">
        <f>IF(ISNUMBER('Suivi Carburant'!A41),'Suivi Carburant'!A41,NA())</f>
        <v>#N/A</v>
      </c>
      <c r="AB26" s="57" t="e">
        <f>IF(OR('Suivi Carburant'!G41="",NOT(ISNUMBER('Suivi Carburant'!G41))),NA(),'Suivi Carburant'!G41)</f>
        <v>#N/A</v>
      </c>
      <c r="AC26" s="57" t="e">
        <f>IF(OR('Suivi Carburant'!K41="",NOT(ISNUMBER('Suivi Carburant'!K41))),NA(),'Suivi Carburant'!K41)</f>
        <v>#N/A</v>
      </c>
      <c r="AE26" s="57">
        <v>24</v>
      </c>
      <c r="AF26" s="57" t="e">
        <f t="shared" si="0"/>
        <v>#N/A</v>
      </c>
      <c r="AG26" s="57">
        <f>'Suivi Carburant'!$B$5</f>
        <v>514.54</v>
      </c>
    </row>
    <row r="27" spans="15:33" x14ac:dyDescent="0.25">
      <c r="O27" s="57" t="e">
        <f>IF(COUNTIFS('Suivi Carburant'!$C$16:$C$46,"SuperEthanol E85",'Suivi Carburant'!$N$16:$N$46,"&gt;=0")&gt;=ROW(O26)-1,ROW(O26)-1,NA())</f>
        <v>#N/A</v>
      </c>
      <c r="P27" s="57" t="e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57" t="e">
        <f>IF(ISNA(O27),NA(),'Suivi Carburant'!$B$5)</f>
        <v>#N/A</v>
      </c>
      <c r="S27" s="57" t="e">
        <f>IF(ISNUMBER('Suivi Carburant'!A42),'Suivi Carburant'!A42,NA())</f>
        <v>#N/A</v>
      </c>
      <c r="T27" s="57" t="e">
        <f>IF(OR('Suivi Carburant'!C42&lt;&gt;"Super 98",'Suivi Carburant'!J42=""),NA(),'Suivi Carburant'!J42)</f>
        <v>#N/A</v>
      </c>
      <c r="U27" s="57" t="e">
        <f>IF(OR('Suivi Carburant'!C42&lt;&gt;"SuperEthanol E85",'Suivi Carburant'!J42=""),NA(),'Suivi Carburant'!J42)</f>
        <v>#N/A</v>
      </c>
      <c r="W27" s="57" t="e">
        <f>IF(ISNUMBER('Suivi Carburant'!A42),'Suivi Carburant'!A42,NA())</f>
        <v>#N/A</v>
      </c>
      <c r="X27" s="57" t="e">
        <f>IF(OR('Suivi Carburant'!C42&lt;&gt;"Super 98",'Suivi Carburant'!H42=""),NA(),'Suivi Carburant'!H42)</f>
        <v>#N/A</v>
      </c>
      <c r="Y27" s="57" t="e">
        <f>IF(OR('Suivi Carburant'!C42&lt;&gt;"SuperEthanol E85",'Suivi Carburant'!H42=""),NA(),'Suivi Carburant'!H42)</f>
        <v>#N/A</v>
      </c>
      <c r="AA27" s="57" t="e">
        <f>IF(ISNUMBER('Suivi Carburant'!A42),'Suivi Carburant'!A42,NA())</f>
        <v>#N/A</v>
      </c>
      <c r="AB27" s="57" t="e">
        <f>IF(OR('Suivi Carburant'!G42="",NOT(ISNUMBER('Suivi Carburant'!G42))),NA(),'Suivi Carburant'!G42)</f>
        <v>#N/A</v>
      </c>
      <c r="AC27" s="57" t="e">
        <f>IF(OR('Suivi Carburant'!K42="",NOT(ISNUMBER('Suivi Carburant'!K42))),NA(),'Suivi Carburant'!K42)</f>
        <v>#N/A</v>
      </c>
      <c r="AE27" s="57">
        <v>25</v>
      </c>
      <c r="AF27" s="57" t="e">
        <f t="shared" si="0"/>
        <v>#N/A</v>
      </c>
      <c r="AG27" s="57">
        <f>'Suivi Carburant'!$B$5</f>
        <v>514.54</v>
      </c>
    </row>
    <row r="28" spans="15:33" x14ac:dyDescent="0.25">
      <c r="O28" s="57" t="e">
        <f>IF(COUNTIFS('Suivi Carburant'!$C$16:$C$46,"SuperEthanol E85",'Suivi Carburant'!$N$16:$N$46,"&gt;=0")&gt;=ROW(O27)-1,ROW(O27)-1,NA())</f>
        <v>#N/A</v>
      </c>
      <c r="P28" s="57" t="e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57" t="e">
        <f>IF(ISNA(O28),NA(),'Suivi Carburant'!$B$5)</f>
        <v>#N/A</v>
      </c>
      <c r="S28" s="57" t="e">
        <f>IF(ISNUMBER('Suivi Carburant'!A43),'Suivi Carburant'!A43,NA())</f>
        <v>#N/A</v>
      </c>
      <c r="T28" s="57" t="e">
        <f>IF(OR('Suivi Carburant'!C43&lt;&gt;"Super 98",'Suivi Carburant'!J43=""),NA(),'Suivi Carburant'!J43)</f>
        <v>#N/A</v>
      </c>
      <c r="U28" s="57" t="e">
        <f>IF(OR('Suivi Carburant'!C43&lt;&gt;"SuperEthanol E85",'Suivi Carburant'!J43=""),NA(),'Suivi Carburant'!J43)</f>
        <v>#N/A</v>
      </c>
      <c r="W28" s="57" t="e">
        <f>IF(ISNUMBER('Suivi Carburant'!A43),'Suivi Carburant'!A43,NA())</f>
        <v>#N/A</v>
      </c>
      <c r="X28" s="57" t="e">
        <f>IF(OR('Suivi Carburant'!C43&lt;&gt;"Super 98",'Suivi Carburant'!H43=""),NA(),'Suivi Carburant'!H43)</f>
        <v>#N/A</v>
      </c>
      <c r="Y28" s="57" t="e">
        <f>IF(OR('Suivi Carburant'!C43&lt;&gt;"SuperEthanol E85",'Suivi Carburant'!H43=""),NA(),'Suivi Carburant'!H43)</f>
        <v>#N/A</v>
      </c>
      <c r="AA28" s="57" t="e">
        <f>IF(ISNUMBER('Suivi Carburant'!A43),'Suivi Carburant'!A43,NA())</f>
        <v>#N/A</v>
      </c>
      <c r="AB28" s="57" t="e">
        <f>IF(OR('Suivi Carburant'!G43="",NOT(ISNUMBER('Suivi Carburant'!G43))),NA(),'Suivi Carburant'!G43)</f>
        <v>#N/A</v>
      </c>
      <c r="AC28" s="57" t="e">
        <f>IF(OR('Suivi Carburant'!K43="",NOT(ISNUMBER('Suivi Carburant'!K43))),NA(),'Suivi Carburant'!K43)</f>
        <v>#N/A</v>
      </c>
      <c r="AE28" s="57">
        <v>26</v>
      </c>
      <c r="AF28" s="57" t="e">
        <f t="shared" si="0"/>
        <v>#N/A</v>
      </c>
      <c r="AG28" s="57">
        <f>'Suivi Carburant'!$B$5</f>
        <v>514.54</v>
      </c>
    </row>
    <row r="29" spans="15:33" x14ac:dyDescent="0.25">
      <c r="O29" s="57" t="e">
        <f>IF(COUNTIFS('Suivi Carburant'!$C$16:$C$46,"SuperEthanol E85",'Suivi Carburant'!$N$16:$N$46,"&gt;=0")&gt;=ROW(O28)-1,ROW(O28)-1,NA())</f>
        <v>#N/A</v>
      </c>
      <c r="P29" s="57" t="e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57" t="e">
        <f>IF(ISNA(O29),NA(),'Suivi Carburant'!$B$5)</f>
        <v>#N/A</v>
      </c>
      <c r="S29" s="57" t="e">
        <f>IF(ISNUMBER('Suivi Carburant'!A44),'Suivi Carburant'!A44,NA())</f>
        <v>#N/A</v>
      </c>
      <c r="T29" s="57" t="e">
        <f>IF(OR('Suivi Carburant'!C44&lt;&gt;"Super 98",'Suivi Carburant'!J44=""),NA(),'Suivi Carburant'!J44)</f>
        <v>#N/A</v>
      </c>
      <c r="U29" s="57" t="e">
        <f>IF(OR('Suivi Carburant'!C44&lt;&gt;"SuperEthanol E85",'Suivi Carburant'!J44=""),NA(),'Suivi Carburant'!J44)</f>
        <v>#N/A</v>
      </c>
      <c r="W29" s="57" t="e">
        <f>IF(ISNUMBER('Suivi Carburant'!A44),'Suivi Carburant'!A44,NA())</f>
        <v>#N/A</v>
      </c>
      <c r="X29" s="57" t="e">
        <f>IF(OR('Suivi Carburant'!C44&lt;&gt;"Super 98",'Suivi Carburant'!H44=""),NA(),'Suivi Carburant'!H44)</f>
        <v>#N/A</v>
      </c>
      <c r="Y29" s="57" t="e">
        <f>IF(OR('Suivi Carburant'!C44&lt;&gt;"SuperEthanol E85",'Suivi Carburant'!H44=""),NA(),'Suivi Carburant'!H44)</f>
        <v>#N/A</v>
      </c>
      <c r="AA29" s="57" t="e">
        <f>IF(ISNUMBER('Suivi Carburant'!A44),'Suivi Carburant'!A44,NA())</f>
        <v>#N/A</v>
      </c>
      <c r="AB29" s="57" t="e">
        <f>IF(OR('Suivi Carburant'!G44="",NOT(ISNUMBER('Suivi Carburant'!G44))),NA(),'Suivi Carburant'!G44)</f>
        <v>#N/A</v>
      </c>
      <c r="AC29" s="57" t="e">
        <f>IF(OR('Suivi Carburant'!K44="",NOT(ISNUMBER('Suivi Carburant'!K44))),NA(),'Suivi Carburant'!K44)</f>
        <v>#N/A</v>
      </c>
      <c r="AE29" s="57">
        <v>27</v>
      </c>
      <c r="AF29" s="57" t="e">
        <f t="shared" si="0"/>
        <v>#N/A</v>
      </c>
      <c r="AG29" s="57">
        <f>'Suivi Carburant'!$B$5</f>
        <v>514.54</v>
      </c>
    </row>
    <row r="30" spans="15:33" x14ac:dyDescent="0.25">
      <c r="O30" s="57" t="e">
        <f>IF(COUNTIFS('Suivi Carburant'!$C$16:$C$46,"SuperEthanol E85",'Suivi Carburant'!$N$16:$N$46,"&gt;=0")&gt;=ROW(O29)-1,ROW(O29)-1,NA())</f>
        <v>#N/A</v>
      </c>
      <c r="P30" s="57" t="e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57" t="e">
        <f>IF(ISNA(O30),NA(),'Suivi Carburant'!$B$5)</f>
        <v>#N/A</v>
      </c>
      <c r="S30" s="57" t="e">
        <f>IF(ISNUMBER('Suivi Carburant'!A45),'Suivi Carburant'!A45,NA())</f>
        <v>#N/A</v>
      </c>
      <c r="T30" s="57" t="e">
        <f>IF(OR('Suivi Carburant'!C45&lt;&gt;"Super 98",'Suivi Carburant'!J45=""),NA(),'Suivi Carburant'!J45)</f>
        <v>#N/A</v>
      </c>
      <c r="U30" s="57" t="e">
        <f>IF(OR('Suivi Carburant'!C45&lt;&gt;"SuperEthanol E85",'Suivi Carburant'!J45=""),NA(),'Suivi Carburant'!J45)</f>
        <v>#N/A</v>
      </c>
      <c r="W30" s="57" t="e">
        <f>IF(ISNUMBER('Suivi Carburant'!A45),'Suivi Carburant'!A45,NA())</f>
        <v>#N/A</v>
      </c>
      <c r="X30" s="57" t="e">
        <f>IF(OR('Suivi Carburant'!C45&lt;&gt;"Super 98",'Suivi Carburant'!H45=""),NA(),'Suivi Carburant'!H45)</f>
        <v>#N/A</v>
      </c>
      <c r="Y30" s="57" t="e">
        <f>IF(OR('Suivi Carburant'!C45&lt;&gt;"SuperEthanol E85",'Suivi Carburant'!H45=""),NA(),'Suivi Carburant'!H45)</f>
        <v>#N/A</v>
      </c>
      <c r="AA30" s="57" t="e">
        <f>IF(ISNUMBER('Suivi Carburant'!A45),'Suivi Carburant'!A45,NA())</f>
        <v>#N/A</v>
      </c>
      <c r="AB30" s="57" t="e">
        <f>IF(OR('Suivi Carburant'!G45="",NOT(ISNUMBER('Suivi Carburant'!G45))),NA(),'Suivi Carburant'!G45)</f>
        <v>#N/A</v>
      </c>
      <c r="AC30" s="57" t="e">
        <f>IF(OR('Suivi Carburant'!K45="",NOT(ISNUMBER('Suivi Carburant'!K45))),NA(),'Suivi Carburant'!K45)</f>
        <v>#N/A</v>
      </c>
      <c r="AE30" s="57">
        <v>28</v>
      </c>
      <c r="AF30" s="57" t="e">
        <f t="shared" si="0"/>
        <v>#N/A</v>
      </c>
      <c r="AG30" s="57">
        <f>'Suivi Carburant'!$B$5</f>
        <v>514.54</v>
      </c>
    </row>
    <row r="31" spans="15:33" x14ac:dyDescent="0.25">
      <c r="O31" s="57" t="e">
        <f>IF(COUNTIFS('Suivi Carburant'!$C$16:$C$46,"SuperEthanol E85",'Suivi Carburant'!$N$16:$N$46,"&gt;=0")&gt;=ROW(O30)-1,ROW(O30)-1,NA())</f>
        <v>#N/A</v>
      </c>
      <c r="P31" s="57" t="e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57" t="e">
        <f>IF(ISNA(O31),NA(),'Suivi Carburant'!$B$5)</f>
        <v>#N/A</v>
      </c>
      <c r="S31" s="57" t="e">
        <f>IF(ISNUMBER('Suivi Carburant'!A46),'Suivi Carburant'!A46,NA())</f>
        <v>#N/A</v>
      </c>
      <c r="T31" s="57" t="e">
        <f>IF(OR('Suivi Carburant'!C46&lt;&gt;"Super 98",'Suivi Carburant'!J46=""),NA(),'Suivi Carburant'!J46)</f>
        <v>#N/A</v>
      </c>
      <c r="U31" s="57" t="e">
        <f>IF(OR('Suivi Carburant'!C46&lt;&gt;"SuperEthanol E85",'Suivi Carburant'!J46=""),NA(),'Suivi Carburant'!J46)</f>
        <v>#N/A</v>
      </c>
      <c r="W31" s="57" t="e">
        <f>IF(ISNUMBER('Suivi Carburant'!A46),'Suivi Carburant'!A46,NA())</f>
        <v>#N/A</v>
      </c>
      <c r="X31" s="57" t="e">
        <f>IF(OR('Suivi Carburant'!C46&lt;&gt;"Super 98",'Suivi Carburant'!H46=""),NA(),'Suivi Carburant'!H46)</f>
        <v>#N/A</v>
      </c>
      <c r="Y31" s="57" t="e">
        <f>IF(OR('Suivi Carburant'!C46&lt;&gt;"SuperEthanol E85",'Suivi Carburant'!H46=""),NA(),'Suivi Carburant'!H46)</f>
        <v>#N/A</v>
      </c>
      <c r="AA31" s="57" t="e">
        <f>IF(ISNUMBER('Suivi Carburant'!A46),'Suivi Carburant'!A46,NA())</f>
        <v>#N/A</v>
      </c>
      <c r="AB31" s="57" t="e">
        <f>IF(OR('Suivi Carburant'!G46="",NOT(ISNUMBER('Suivi Carburant'!G46))),NA(),'Suivi Carburant'!G46)</f>
        <v>#N/A</v>
      </c>
      <c r="AC31" s="57" t="e">
        <f>IF(OR('Suivi Carburant'!K46="",NOT(ISNUMBER('Suivi Carburant'!K46))),NA(),'Suivi Carburant'!K46)</f>
        <v>#N/A</v>
      </c>
      <c r="AE31" s="57">
        <v>29</v>
      </c>
      <c r="AF31" s="57" t="e">
        <f t="shared" si="0"/>
        <v>#N/A</v>
      </c>
      <c r="AG31" s="57">
        <f>'Suivi Carburant'!$B$5</f>
        <v>514.54</v>
      </c>
    </row>
    <row r="32" spans="15:33" x14ac:dyDescent="0.25">
      <c r="O32" s="57" t="e">
        <f>IF(COUNTIFS('Suivi Carburant'!$C$16:$C$46,"SuperEthanol E85",'Suivi Carburant'!$N$16:$N$46,"&gt;=0")&gt;=ROW(O31)-1,ROW(O31)-1,NA())</f>
        <v>#N/A</v>
      </c>
      <c r="P32" s="57" t="e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57" t="e">
        <f>IF(ISNA(O32),NA(),'Suivi Carburant'!$B$5)</f>
        <v>#N/A</v>
      </c>
      <c r="S32" s="57" t="e">
        <f>IF(ISNUMBER('Suivi Carburant'!A47),'Suivi Carburant'!A47,NA())</f>
        <v>#N/A</v>
      </c>
      <c r="T32" s="57" t="e">
        <f>IF(OR('Suivi Carburant'!C47&lt;&gt;"Super 98",'Suivi Carburant'!J47=""),NA(),'Suivi Carburant'!J47)</f>
        <v>#N/A</v>
      </c>
      <c r="U32" s="57" t="e">
        <f>IF(OR('Suivi Carburant'!C47&lt;&gt;"SuperEthanol E85",'Suivi Carburant'!J47=""),NA(),'Suivi Carburant'!J47)</f>
        <v>#N/A</v>
      </c>
      <c r="W32" s="57" t="e">
        <f>IF(ISNUMBER('Suivi Carburant'!A47),'Suivi Carburant'!A47,NA())</f>
        <v>#N/A</v>
      </c>
      <c r="X32" s="57" t="e">
        <f>IF(OR('Suivi Carburant'!C47&lt;&gt;"Super 98",'Suivi Carburant'!H47=""),NA(),'Suivi Carburant'!H47)</f>
        <v>#N/A</v>
      </c>
      <c r="Y32" s="57" t="e">
        <f>IF(OR('Suivi Carburant'!C47&lt;&gt;"SuperEthanol E85",'Suivi Carburant'!H47=""),NA(),'Suivi Carburant'!H47)</f>
        <v>#N/A</v>
      </c>
      <c r="AA32" s="57" t="e">
        <f>IF(ISNUMBER('Suivi Carburant'!A47),'Suivi Carburant'!A47,NA())</f>
        <v>#N/A</v>
      </c>
      <c r="AB32" s="57" t="e">
        <f>IF(OR('Suivi Carburant'!G47="",NOT(ISNUMBER('Suivi Carburant'!G47))),NA(),'Suivi Carburant'!G47)</f>
        <v>#N/A</v>
      </c>
      <c r="AC32" s="57" t="e">
        <f>IF(OR('Suivi Carburant'!K47="",NOT(ISNUMBER('Suivi Carburant'!K47))),NA(),'Suivi Carburant'!K47)</f>
        <v>#N/A</v>
      </c>
      <c r="AE32" s="57">
        <v>30</v>
      </c>
      <c r="AF32" s="57" t="e">
        <f t="shared" si="0"/>
        <v>#N/A</v>
      </c>
      <c r="AG32" s="57">
        <f>'Suivi Carburant'!$B$5</f>
        <v>514.54</v>
      </c>
    </row>
    <row r="33" spans="31:33" x14ac:dyDescent="0.25">
      <c r="AE33" s="57">
        <v>31</v>
      </c>
      <c r="AF33" s="57" t="e">
        <f t="shared" si="0"/>
        <v>#N/A</v>
      </c>
      <c r="AG33" s="57">
        <f>'Suivi Carburant'!$B$5</f>
        <v>514.54</v>
      </c>
    </row>
    <row r="34" spans="31:33" x14ac:dyDescent="0.25">
      <c r="AE34" s="57">
        <v>32</v>
      </c>
      <c r="AF34" s="57" t="e">
        <f t="shared" si="0"/>
        <v>#N/A</v>
      </c>
      <c r="AG34" s="57">
        <f>'Suivi Carburant'!$B$5</f>
        <v>514.54</v>
      </c>
    </row>
    <row r="35" spans="31:33" x14ac:dyDescent="0.25">
      <c r="AE35" s="57">
        <v>33</v>
      </c>
      <c r="AF35" s="57" t="e">
        <f t="shared" ref="AF35:AF66" si="1">IFERROR(VLOOKUP(AE35,$O$2:$P$32,2,FALSE),NA())</f>
        <v>#N/A</v>
      </c>
      <c r="AG35" s="57">
        <f>'Suivi Carburant'!$B$5</f>
        <v>514.54</v>
      </c>
    </row>
    <row r="36" spans="31:33" x14ac:dyDescent="0.25">
      <c r="AE36" s="57">
        <v>34</v>
      </c>
      <c r="AF36" s="57" t="e">
        <f t="shared" si="1"/>
        <v>#N/A</v>
      </c>
      <c r="AG36" s="57">
        <f>'Suivi Carburant'!$B$5</f>
        <v>514.54</v>
      </c>
    </row>
    <row r="37" spans="31:33" x14ac:dyDescent="0.25">
      <c r="AE37" s="57">
        <v>35</v>
      </c>
      <c r="AF37" s="57" t="e">
        <f t="shared" si="1"/>
        <v>#N/A</v>
      </c>
      <c r="AG37" s="57">
        <f>'Suivi Carburant'!$B$5</f>
        <v>514.54</v>
      </c>
    </row>
    <row r="38" spans="31:33" x14ac:dyDescent="0.25">
      <c r="AE38" s="57">
        <v>36</v>
      </c>
      <c r="AF38" s="57" t="e">
        <f t="shared" si="1"/>
        <v>#N/A</v>
      </c>
      <c r="AG38" s="57">
        <f>'Suivi Carburant'!$B$5</f>
        <v>514.54</v>
      </c>
    </row>
    <row r="39" spans="31:33" x14ac:dyDescent="0.25">
      <c r="AE39" s="57">
        <v>37</v>
      </c>
      <c r="AF39" s="57" t="e">
        <f t="shared" si="1"/>
        <v>#N/A</v>
      </c>
      <c r="AG39" s="57">
        <f>'Suivi Carburant'!$B$5</f>
        <v>514.54</v>
      </c>
    </row>
    <row r="40" spans="31:33" x14ac:dyDescent="0.25">
      <c r="AE40" s="57">
        <v>38</v>
      </c>
      <c r="AF40" s="57" t="e">
        <f t="shared" si="1"/>
        <v>#N/A</v>
      </c>
      <c r="AG40" s="57">
        <f>'Suivi Carburant'!$B$5</f>
        <v>514.54</v>
      </c>
    </row>
    <row r="41" spans="31:33" x14ac:dyDescent="0.25">
      <c r="AE41" s="57">
        <v>39</v>
      </c>
      <c r="AF41" s="57" t="e">
        <f t="shared" si="1"/>
        <v>#N/A</v>
      </c>
      <c r="AG41" s="57">
        <f>'Suivi Carburant'!$B$5</f>
        <v>514.54</v>
      </c>
    </row>
    <row r="42" spans="31:33" x14ac:dyDescent="0.25">
      <c r="AE42" s="57">
        <v>40</v>
      </c>
      <c r="AF42" s="57" t="e">
        <f t="shared" si="1"/>
        <v>#N/A</v>
      </c>
      <c r="AG42" s="57">
        <f>'Suivi Carburant'!$B$5</f>
        <v>514.54</v>
      </c>
    </row>
    <row r="43" spans="31:33" x14ac:dyDescent="0.25">
      <c r="AE43" s="57">
        <v>41</v>
      </c>
      <c r="AF43" s="57" t="e">
        <f t="shared" si="1"/>
        <v>#N/A</v>
      </c>
      <c r="AG43" s="57">
        <f>'Suivi Carburant'!$B$5</f>
        <v>514.54</v>
      </c>
    </row>
    <row r="44" spans="31:33" x14ac:dyDescent="0.25">
      <c r="AE44" s="57">
        <v>42</v>
      </c>
      <c r="AF44" s="57" t="e">
        <f t="shared" si="1"/>
        <v>#N/A</v>
      </c>
      <c r="AG44" s="57">
        <f>'Suivi Carburant'!$B$5</f>
        <v>514.54</v>
      </c>
    </row>
    <row r="45" spans="31:33" x14ac:dyDescent="0.25">
      <c r="AE45" s="57">
        <v>43</v>
      </c>
      <c r="AF45" s="57" t="e">
        <f t="shared" si="1"/>
        <v>#N/A</v>
      </c>
      <c r="AG45" s="57">
        <f>'Suivi Carburant'!$B$5</f>
        <v>514.54</v>
      </c>
    </row>
    <row r="46" spans="31:33" x14ac:dyDescent="0.25">
      <c r="AE46" s="57">
        <v>44</v>
      </c>
      <c r="AF46" s="57" t="e">
        <f t="shared" si="1"/>
        <v>#N/A</v>
      </c>
      <c r="AG46" s="57">
        <f>'Suivi Carburant'!$B$5</f>
        <v>514.54</v>
      </c>
    </row>
    <row r="47" spans="31:33" x14ac:dyDescent="0.25">
      <c r="AE47" s="57">
        <v>45</v>
      </c>
      <c r="AF47" s="57" t="e">
        <f t="shared" si="1"/>
        <v>#N/A</v>
      </c>
      <c r="AG47" s="57">
        <f>'Suivi Carburant'!$B$5</f>
        <v>514.54</v>
      </c>
    </row>
    <row r="48" spans="31:33" x14ac:dyDescent="0.25">
      <c r="AE48" s="57">
        <v>46</v>
      </c>
      <c r="AF48" s="57" t="e">
        <f t="shared" si="1"/>
        <v>#N/A</v>
      </c>
      <c r="AG48" s="57">
        <f>'Suivi Carburant'!$B$5</f>
        <v>514.54</v>
      </c>
    </row>
    <row r="49" spans="31:33" x14ac:dyDescent="0.25">
      <c r="AE49" s="57">
        <v>47</v>
      </c>
      <c r="AF49" s="57" t="e">
        <f t="shared" si="1"/>
        <v>#N/A</v>
      </c>
      <c r="AG49" s="57">
        <f>'Suivi Carburant'!$B$5</f>
        <v>514.54</v>
      </c>
    </row>
    <row r="50" spans="31:33" x14ac:dyDescent="0.25">
      <c r="AE50" s="57">
        <v>48</v>
      </c>
      <c r="AF50" s="57" t="e">
        <f t="shared" si="1"/>
        <v>#N/A</v>
      </c>
      <c r="AG50" s="57">
        <f>'Suivi Carburant'!$B$5</f>
        <v>514.54</v>
      </c>
    </row>
    <row r="51" spans="31:33" x14ac:dyDescent="0.25">
      <c r="AE51" s="57">
        <v>49</v>
      </c>
      <c r="AF51" s="57" t="e">
        <f t="shared" si="1"/>
        <v>#N/A</v>
      </c>
      <c r="AG51" s="57">
        <f>'Suivi Carburant'!$B$5</f>
        <v>514.54</v>
      </c>
    </row>
    <row r="52" spans="31:33" x14ac:dyDescent="0.25">
      <c r="AE52" s="57">
        <v>50</v>
      </c>
      <c r="AF52" s="57" t="e">
        <f t="shared" si="1"/>
        <v>#N/A</v>
      </c>
      <c r="AG52" s="57">
        <f>'Suivi Carburant'!$B$5</f>
        <v>514.54</v>
      </c>
    </row>
    <row r="53" spans="31:33" x14ac:dyDescent="0.25">
      <c r="AE53" s="57">
        <v>51</v>
      </c>
      <c r="AF53" s="57" t="e">
        <f t="shared" si="1"/>
        <v>#N/A</v>
      </c>
      <c r="AG53" s="57">
        <f>'Suivi Carburant'!$B$5</f>
        <v>514.54</v>
      </c>
    </row>
    <row r="54" spans="31:33" x14ac:dyDescent="0.25">
      <c r="AE54" s="57">
        <v>52</v>
      </c>
      <c r="AF54" s="57" t="e">
        <f t="shared" si="1"/>
        <v>#N/A</v>
      </c>
      <c r="AG54" s="57">
        <f>'Suivi Carburant'!$B$5</f>
        <v>514.54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1:F8"/>
  <sheetViews>
    <sheetView zoomScale="90" zoomScaleNormal="90" workbookViewId="0">
      <selection activeCell="G21" sqref="G21"/>
    </sheetView>
  </sheetViews>
  <sheetFormatPr baseColWidth="10" defaultColWidth="14" defaultRowHeight="15.75" x14ac:dyDescent="0.25"/>
  <cols>
    <col min="1" max="1" width="3.25" style="57" customWidth="1"/>
    <col min="2" max="2" width="19.375" style="57" customWidth="1"/>
    <col min="3" max="3" width="1.125" style="57" customWidth="1"/>
    <col min="4" max="4" width="45.125" style="57" customWidth="1"/>
    <col min="5" max="5" width="1" style="57" customWidth="1"/>
    <col min="6" max="6" width="29.875" style="57" customWidth="1"/>
    <col min="7" max="16384" width="14" style="57"/>
  </cols>
  <sheetData>
    <row r="1" spans="2:6" ht="9.75" customHeight="1" x14ac:dyDescent="0.25"/>
    <row r="2" spans="2:6" x14ac:dyDescent="0.25">
      <c r="B2" s="57" t="s">
        <v>319</v>
      </c>
      <c r="D2" s="57" t="s">
        <v>320</v>
      </c>
      <c r="F2" s="57" t="s">
        <v>326</v>
      </c>
    </row>
    <row r="3" spans="2:6" x14ac:dyDescent="0.25">
      <c r="B3" s="57" t="s">
        <v>321</v>
      </c>
      <c r="D3" s="57" t="s">
        <v>271</v>
      </c>
    </row>
    <row r="4" spans="2:6" x14ac:dyDescent="0.25">
      <c r="B4" s="57" t="s">
        <v>322</v>
      </c>
      <c r="D4" s="57" t="s">
        <v>233</v>
      </c>
    </row>
    <row r="5" spans="2:6" x14ac:dyDescent="0.25">
      <c r="B5" s="57" t="s">
        <v>270</v>
      </c>
      <c r="D5" s="57" t="s">
        <v>272</v>
      </c>
    </row>
    <row r="6" spans="2:6" x14ac:dyDescent="0.25">
      <c r="B6" s="57" t="s">
        <v>232</v>
      </c>
      <c r="D6" s="57" t="s">
        <v>234</v>
      </c>
    </row>
    <row r="7" spans="2:6" x14ac:dyDescent="0.25">
      <c r="D7" s="57" t="s">
        <v>323</v>
      </c>
    </row>
    <row r="8" spans="2:6" x14ac:dyDescent="0.25">
      <c r="D8" s="57" t="s">
        <v>235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N6"/>
  <sheetViews>
    <sheetView zoomScale="70" zoomScaleNormal="70" workbookViewId="0">
      <selection activeCell="H29" sqref="H29"/>
    </sheetView>
  </sheetViews>
  <sheetFormatPr baseColWidth="10" defaultRowHeight="15.75" x14ac:dyDescent="0.25"/>
  <cols>
    <col min="1" max="1" width="18.5" style="57" customWidth="1"/>
    <col min="2" max="2" width="17" style="57" customWidth="1"/>
    <col min="3" max="3" width="23.625" style="57" customWidth="1"/>
    <col min="4" max="4" width="23" style="57" bestFit="1" customWidth="1"/>
    <col min="5" max="5" width="17.125" style="57" customWidth="1"/>
    <col min="6" max="6" width="21.75" style="57" customWidth="1"/>
    <col min="7" max="7" width="23.625" style="57" customWidth="1"/>
    <col min="8" max="8" width="45.375" style="57" customWidth="1"/>
    <col min="9" max="9" width="18.875" style="57" bestFit="1" customWidth="1"/>
    <col min="10" max="11" width="20.125" style="57" bestFit="1" customWidth="1"/>
    <col min="12" max="12" width="18.875" style="57" bestFit="1" customWidth="1"/>
    <col min="13" max="13" width="21.625" style="57" bestFit="1" customWidth="1"/>
    <col min="14" max="14" width="20.125" style="57" bestFit="1" customWidth="1"/>
    <col min="15" max="23" width="11.375" style="57" bestFit="1" customWidth="1"/>
    <col min="24" max="24" width="24.25" style="57" bestFit="1" customWidth="1"/>
    <col min="25" max="27" width="13.375" style="57" bestFit="1" customWidth="1"/>
    <col min="28" max="28" width="11.375" style="57" bestFit="1" customWidth="1"/>
    <col min="29" max="29" width="81" style="57" bestFit="1" customWidth="1"/>
    <col min="30" max="30" width="26.875" style="57" bestFit="1" customWidth="1"/>
    <col min="31" max="32" width="11.375" style="57" bestFit="1" customWidth="1"/>
    <col min="33" max="33" width="12.125" style="57" bestFit="1" customWidth="1"/>
    <col min="34" max="34" width="20.25" style="57" bestFit="1" customWidth="1"/>
    <col min="35" max="36" width="11.375" style="57" bestFit="1" customWidth="1"/>
    <col min="37" max="37" width="27" style="57" bestFit="1" customWidth="1"/>
    <col min="38" max="55" width="11.375" style="57" bestFit="1" customWidth="1"/>
    <col min="56" max="56" width="28.125" style="57" bestFit="1" customWidth="1"/>
    <col min="57" max="59" width="13.375" style="57" bestFit="1" customWidth="1"/>
    <col min="60" max="60" width="11.375" style="57" bestFit="1" customWidth="1"/>
    <col min="61" max="61" width="81" style="57" bestFit="1" customWidth="1"/>
    <col min="62" max="62" width="27" style="57" bestFit="1" customWidth="1"/>
    <col min="63" max="65" width="11.375" style="57" bestFit="1" customWidth="1"/>
    <col min="66" max="66" width="25.375" style="57" bestFit="1" customWidth="1"/>
    <col min="67" max="70" width="11.375" style="57" bestFit="1" customWidth="1"/>
    <col min="71" max="71" width="23.75" style="57" bestFit="1" customWidth="1"/>
    <col min="72" max="75" width="11.375" style="57" bestFit="1" customWidth="1"/>
    <col min="76" max="76" width="29.375" style="57" bestFit="1" customWidth="1"/>
    <col min="77" max="80" width="11.375" style="57" bestFit="1" customWidth="1"/>
    <col min="81" max="81" width="23.875" style="57" bestFit="1" customWidth="1"/>
    <col min="82" max="85" width="11.375" style="57" bestFit="1" customWidth="1"/>
    <col min="86" max="86" width="12.5" style="57" bestFit="1" customWidth="1"/>
    <col min="87" max="98" width="11.375" style="57" bestFit="1" customWidth="1"/>
    <col min="99" max="106" width="12.375" style="57" bestFit="1" customWidth="1"/>
    <col min="107" max="107" width="28.25" style="57" bestFit="1" customWidth="1"/>
    <col min="108" max="110" width="14.375" style="57" bestFit="1" customWidth="1"/>
    <col min="111" max="111" width="12.375" style="57" bestFit="1" customWidth="1"/>
    <col min="112" max="112" width="81" style="57" bestFit="1" customWidth="1"/>
    <col min="113" max="113" width="25.25" style="57" bestFit="1" customWidth="1"/>
    <col min="114" max="114" width="44.25" style="57" bestFit="1" customWidth="1"/>
    <col min="115" max="121" width="12.375" style="57" bestFit="1" customWidth="1"/>
    <col min="122" max="122" width="20.125" style="57" bestFit="1" customWidth="1"/>
    <col min="123" max="123" width="38.125" style="57" bestFit="1" customWidth="1"/>
    <col min="124" max="136" width="12.375" style="57" bestFit="1" customWidth="1"/>
    <col min="137" max="137" width="25.875" style="57" bestFit="1" customWidth="1"/>
    <col min="138" max="138" width="12.375" style="57" bestFit="1" customWidth="1"/>
    <col min="139" max="139" width="45.5" style="57" bestFit="1" customWidth="1"/>
    <col min="140" max="142" width="14.375" style="57" bestFit="1" customWidth="1"/>
    <col min="143" max="143" width="12.375" style="57" bestFit="1" customWidth="1"/>
    <col min="144" max="144" width="81" style="57" bestFit="1" customWidth="1"/>
    <col min="145" max="145" width="25.625" style="57" bestFit="1" customWidth="1"/>
    <col min="146" max="146" width="16.875" style="57" bestFit="1" customWidth="1"/>
    <col min="147" max="154" width="12.375" style="57" bestFit="1" customWidth="1"/>
    <col min="155" max="155" width="14.625" style="57" bestFit="1" customWidth="1"/>
    <col min="156" max="156" width="15" style="57" bestFit="1" customWidth="1"/>
    <col min="157" max="157" width="25.375" style="57" bestFit="1" customWidth="1"/>
    <col min="158" max="158" width="17.25" style="57" bestFit="1" customWidth="1"/>
    <col min="159" max="171" width="12.375" style="57" bestFit="1" customWidth="1"/>
    <col min="172" max="172" width="26.375" style="57" bestFit="1" customWidth="1"/>
    <col min="173" max="173" width="12.375" style="57" bestFit="1" customWidth="1"/>
    <col min="174" max="174" width="16.875" style="57" bestFit="1" customWidth="1"/>
    <col min="175" max="175" width="12.375" style="57" bestFit="1" customWidth="1"/>
    <col min="176" max="178" width="14.375" style="57" bestFit="1" customWidth="1"/>
    <col min="179" max="179" width="12.375" style="57" bestFit="1" customWidth="1"/>
    <col min="180" max="181" width="81" style="57" bestFit="1" customWidth="1"/>
    <col min="182" max="182" width="30.25" style="57" bestFit="1" customWidth="1"/>
    <col min="183" max="183" width="15.75" style="57" bestFit="1" customWidth="1"/>
    <col min="184" max="184" width="15.5" style="57" bestFit="1" customWidth="1"/>
    <col min="185" max="185" width="20.125" style="57" bestFit="1" customWidth="1"/>
    <col min="186" max="192" width="12.375" style="57" bestFit="1" customWidth="1"/>
    <col min="193" max="193" width="14.625" style="57" bestFit="1" customWidth="1"/>
    <col min="194" max="194" width="15" style="57" bestFit="1" customWidth="1"/>
    <col min="195" max="195" width="25.375" style="57" bestFit="1" customWidth="1"/>
    <col min="196" max="196" width="17.25" style="57" bestFit="1" customWidth="1"/>
    <col min="197" max="209" width="12.375" style="57" bestFit="1" customWidth="1"/>
    <col min="210" max="210" width="30.875" style="57" bestFit="1" customWidth="1"/>
    <col min="211" max="211" width="12.375" style="57" bestFit="1" customWidth="1"/>
    <col min="212" max="212" width="15.75" style="57" bestFit="1" customWidth="1"/>
    <col min="213" max="213" width="15.5" style="57" bestFit="1" customWidth="1"/>
    <col min="214" max="214" width="21.5" style="57" bestFit="1" customWidth="1"/>
    <col min="215" max="217" width="14.375" style="57" bestFit="1" customWidth="1"/>
    <col min="218" max="218" width="12.375" style="57" bestFit="1" customWidth="1"/>
    <col min="219" max="219" width="81" style="57" bestFit="1" customWidth="1"/>
    <col min="220" max="220" width="15.5" style="57" bestFit="1" customWidth="1"/>
    <col min="221" max="221" width="81" style="57" bestFit="1" customWidth="1"/>
    <col min="222" max="222" width="14.25" style="57" bestFit="1" customWidth="1"/>
    <col min="223" max="223" width="14.875" style="57" bestFit="1" customWidth="1"/>
    <col min="224" max="224" width="14.625" style="57" bestFit="1" customWidth="1"/>
    <col min="225" max="225" width="81" style="57" bestFit="1" customWidth="1"/>
    <col min="226" max="226" width="12.375" style="57" bestFit="1" customWidth="1"/>
    <col min="227" max="229" width="81" style="57" bestFit="1" customWidth="1"/>
    <col min="230" max="248" width="12.375" style="57" bestFit="1" customWidth="1"/>
    <col min="249" max="249" width="13" style="57" bestFit="1" customWidth="1"/>
    <col min="250" max="250" width="12.375" style="57" bestFit="1" customWidth="1"/>
    <col min="251" max="251" width="15.5" style="57" bestFit="1" customWidth="1"/>
    <col min="252" max="257" width="12.375" style="57" bestFit="1" customWidth="1"/>
    <col min="258" max="258" width="17.25" style="57" bestFit="1" customWidth="1"/>
    <col min="259" max="268" width="12.375" style="57" bestFit="1" customWidth="1"/>
    <col min="269" max="269" width="16.875" style="57" bestFit="1" customWidth="1"/>
    <col min="270" max="270" width="12.375" style="57" bestFit="1" customWidth="1"/>
    <col min="271" max="271" width="15.625" style="57" bestFit="1" customWidth="1"/>
    <col min="272" max="274" width="12.375" style="57" bestFit="1" customWidth="1"/>
    <col min="275" max="275" width="15.625" style="57" bestFit="1" customWidth="1"/>
    <col min="276" max="279" width="12.375" style="57" bestFit="1" customWidth="1"/>
    <col min="280" max="280" width="14" style="57" bestFit="1" customWidth="1"/>
    <col min="281" max="284" width="12.375" style="57" bestFit="1" customWidth="1"/>
    <col min="285" max="285" width="19.625" style="57" bestFit="1" customWidth="1"/>
    <col min="286" max="289" width="12.375" style="57" bestFit="1" customWidth="1"/>
    <col min="290" max="290" width="14.125" style="57" bestFit="1" customWidth="1"/>
    <col min="291" max="313" width="12.375" style="57" bestFit="1" customWidth="1"/>
    <col min="314" max="314" width="17" style="57" bestFit="1" customWidth="1"/>
    <col min="315" max="315" width="12.375" style="57" bestFit="1" customWidth="1"/>
    <col min="316" max="316" width="14" style="57" bestFit="1" customWidth="1"/>
    <col min="317" max="317" width="33" style="57" bestFit="1" customWidth="1"/>
    <col min="318" max="325" width="12.375" style="57" bestFit="1" customWidth="1"/>
    <col min="326" max="326" width="28.125" style="57" bestFit="1" customWidth="1"/>
    <col min="327" max="333" width="12.375" style="57" bestFit="1" customWidth="1"/>
    <col min="334" max="334" width="14.625" style="57" bestFit="1" customWidth="1"/>
    <col min="335" max="335" width="12.375" style="57" bestFit="1" customWidth="1"/>
    <col min="336" max="336" width="34.25" style="57" bestFit="1" customWidth="1"/>
    <col min="337" max="337" width="12.375" style="57" bestFit="1" customWidth="1"/>
    <col min="338" max="338" width="14.375" style="57" bestFit="1" customWidth="1"/>
    <col min="339" max="339" width="13.75" style="57" bestFit="1" customWidth="1"/>
    <col min="340" max="348" width="12.375" style="57" bestFit="1" customWidth="1"/>
    <col min="349" max="349" width="32.625" style="57" bestFit="1" customWidth="1"/>
    <col min="350" max="356" width="12.375" style="57" bestFit="1" customWidth="1"/>
    <col min="357" max="357" width="15" style="57" bestFit="1" customWidth="1"/>
    <col min="358" max="358" width="12.375" style="57" bestFit="1" customWidth="1"/>
    <col min="359" max="359" width="15" style="57" bestFit="1" customWidth="1"/>
    <col min="360" max="360" width="12.375" style="57" bestFit="1" customWidth="1"/>
    <col min="361" max="361" width="19" style="57" bestFit="1" customWidth="1"/>
    <col min="362" max="362" width="40.125" style="57" bestFit="1" customWidth="1"/>
    <col min="363" max="371" width="12.375" style="57" bestFit="1" customWidth="1"/>
    <col min="372" max="372" width="32.625" style="57" bestFit="1" customWidth="1"/>
    <col min="373" max="379" width="12.375" style="57" bestFit="1" customWidth="1"/>
    <col min="380" max="380" width="19.625" style="57" bestFit="1" customWidth="1"/>
    <col min="381" max="381" width="12.375" style="57" bestFit="1" customWidth="1"/>
    <col min="382" max="382" width="41.375" style="57" bestFit="1" customWidth="1"/>
    <col min="383" max="383" width="12.375" style="57" bestFit="1" customWidth="1"/>
    <col min="384" max="384" width="24.125" style="57" bestFit="1" customWidth="1"/>
    <col min="385" max="385" width="48.25" style="57" bestFit="1" customWidth="1"/>
    <col min="386" max="394" width="12.375" style="57" bestFit="1" customWidth="1"/>
    <col min="395" max="395" width="24.75" style="57" bestFit="1" customWidth="1"/>
    <col min="396" max="396" width="12.375" style="57" bestFit="1" customWidth="1"/>
    <col min="397" max="397" width="58.5" style="57" bestFit="1" customWidth="1"/>
    <col min="398" max="398" width="12.375" style="57" bestFit="1" customWidth="1"/>
    <col min="399" max="399" width="33" style="57" bestFit="1" customWidth="1"/>
    <col min="400" max="400" width="51.625" style="57" bestFit="1" customWidth="1"/>
    <col min="401" max="409" width="12.375" style="57" bestFit="1" customWidth="1"/>
    <col min="410" max="410" width="32.625" style="57" bestFit="1" customWidth="1"/>
    <col min="411" max="417" width="12.375" style="57" bestFit="1" customWidth="1"/>
    <col min="418" max="418" width="33.625" style="57" bestFit="1" customWidth="1"/>
    <col min="419" max="419" width="12.375" style="57" bestFit="1" customWidth="1"/>
    <col min="420" max="420" width="53.625" style="57" bestFit="1" customWidth="1"/>
    <col min="421" max="421" width="18.375" style="57" bestFit="1" customWidth="1"/>
    <col min="422" max="451" width="12.375" style="57" bestFit="1" customWidth="1"/>
    <col min="452" max="452" width="81" style="57" bestFit="1" customWidth="1"/>
    <col min="453" max="453" width="12.375" style="57" bestFit="1" customWidth="1"/>
    <col min="454" max="454" width="26" style="57" bestFit="1" customWidth="1"/>
    <col min="455" max="464" width="12.375" style="57" bestFit="1" customWidth="1"/>
    <col min="465" max="465" width="59.375" style="57" bestFit="1" customWidth="1"/>
    <col min="466" max="469" width="12.375" style="57" bestFit="1" customWidth="1"/>
    <col min="470" max="470" width="81" style="57" bestFit="1" customWidth="1"/>
    <col min="471" max="998" width="12.375" style="57" bestFit="1" customWidth="1"/>
    <col min="999" max="4783" width="13.375" style="57" bestFit="1" customWidth="1"/>
    <col min="4784" max="4833" width="13.375" style="57" customWidth="1"/>
    <col min="4834" max="4841" width="13.375" style="57" bestFit="1" customWidth="1"/>
    <col min="4842" max="4842" width="11" style="57" customWidth="1"/>
    <col min="4843" max="16384" width="11" style="57"/>
  </cols>
  <sheetData>
    <row r="1" spans="1:14" x14ac:dyDescent="0.25">
      <c r="A1" t="s">
        <v>224</v>
      </c>
      <c r="B1" t="s">
        <v>1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325</v>
      </c>
      <c r="J1"/>
      <c r="K1"/>
      <c r="L1"/>
      <c r="M1"/>
      <c r="N1"/>
    </row>
    <row r="2" spans="1:14" x14ac:dyDescent="0.25">
      <c r="A2" s="103">
        <v>46164.251331018517</v>
      </c>
      <c r="B2" t="s">
        <v>231</v>
      </c>
      <c r="C2" t="s">
        <v>232</v>
      </c>
      <c r="D2">
        <v>15000</v>
      </c>
      <c r="E2">
        <v>22</v>
      </c>
      <c r="F2">
        <v>0.6</v>
      </c>
      <c r="G2"/>
      <c r="H2" t="s">
        <v>233</v>
      </c>
      <c r="I2"/>
      <c r="J2"/>
      <c r="K2"/>
      <c r="L2"/>
      <c r="M2"/>
      <c r="N2"/>
    </row>
    <row r="3" spans="1:14" x14ac:dyDescent="0.25">
      <c r="A3" s="103">
        <v>46164.261678240742</v>
      </c>
      <c r="B3" t="s">
        <v>231</v>
      </c>
      <c r="C3" t="s">
        <v>232</v>
      </c>
      <c r="D3">
        <v>15000</v>
      </c>
      <c r="E3">
        <v>15</v>
      </c>
      <c r="F3">
        <v>0.6</v>
      </c>
      <c r="G3">
        <v>2.0910000000000002</v>
      </c>
      <c r="H3" t="s">
        <v>234</v>
      </c>
      <c r="I3"/>
      <c r="J3"/>
      <c r="K3"/>
      <c r="L3"/>
      <c r="M3"/>
      <c r="N3"/>
    </row>
    <row r="4" spans="1:14" x14ac:dyDescent="0.25">
      <c r="A4" s="103">
        <v>46164.806400462963</v>
      </c>
      <c r="B4" t="s">
        <v>231</v>
      </c>
      <c r="C4" t="s">
        <v>232</v>
      </c>
      <c r="D4">
        <v>11831</v>
      </c>
      <c r="E4">
        <v>15</v>
      </c>
      <c r="F4">
        <v>0.79800000000000004</v>
      </c>
      <c r="G4">
        <v>2.117</v>
      </c>
      <c r="H4" t="s">
        <v>235</v>
      </c>
      <c r="I4"/>
      <c r="J4"/>
      <c r="K4"/>
      <c r="L4"/>
      <c r="M4"/>
      <c r="N4"/>
    </row>
    <row r="5" spans="1:14" x14ac:dyDescent="0.25">
      <c r="A5" s="103">
        <v>46164.820196759261</v>
      </c>
      <c r="B5" t="s">
        <v>231</v>
      </c>
      <c r="C5" t="s">
        <v>232</v>
      </c>
      <c r="D5">
        <v>11831</v>
      </c>
      <c r="E5">
        <v>16.25</v>
      </c>
      <c r="F5">
        <v>0.79800000000000004</v>
      </c>
      <c r="G5">
        <v>2.117</v>
      </c>
      <c r="H5" t="s">
        <v>235</v>
      </c>
      <c r="I5"/>
      <c r="J5"/>
      <c r="K5"/>
      <c r="L5"/>
      <c r="M5"/>
      <c r="N5"/>
    </row>
    <row r="6" spans="1:14" x14ac:dyDescent="0.25">
      <c r="A6" s="103">
        <v>46164.837743055556</v>
      </c>
      <c r="B6" t="s">
        <v>231</v>
      </c>
      <c r="C6" t="s">
        <v>232</v>
      </c>
      <c r="D6">
        <v>11831</v>
      </c>
      <c r="E6">
        <v>16.25</v>
      </c>
      <c r="F6">
        <v>0.79800000000000004</v>
      </c>
      <c r="G6">
        <v>2.117</v>
      </c>
      <c r="H6" t="s">
        <v>235</v>
      </c>
      <c r="I6"/>
      <c r="J6"/>
      <c r="K6"/>
      <c r="L6"/>
      <c r="M6"/>
      <c r="N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56"/>
  <sheetViews>
    <sheetView showGridLines="0" showRowColHeaders="0" workbookViewId="0">
      <selection activeCell="E6" sqref="E6"/>
    </sheetView>
  </sheetViews>
  <sheetFormatPr baseColWidth="10" defaultRowHeight="15" x14ac:dyDescent="0.25"/>
  <cols>
    <col min="1" max="1" width="10.125" style="107" customWidth="1"/>
    <col min="2" max="2" width="10.375" style="107" bestFit="1" customWidth="1"/>
    <col min="3" max="3" width="40.25" style="105" customWidth="1"/>
    <col min="4" max="4" width="51.5" style="105" customWidth="1"/>
    <col min="5" max="5" width="64" style="105" customWidth="1"/>
    <col min="6" max="6" width="66.75" style="105" customWidth="1"/>
    <col min="7" max="16384" width="11" style="105"/>
  </cols>
  <sheetData>
    <row r="1" spans="1:6" s="106" customFormat="1" ht="15.75" x14ac:dyDescent="0.25">
      <c r="A1" s="104" t="s">
        <v>0</v>
      </c>
      <c r="B1" s="104" t="s">
        <v>1</v>
      </c>
      <c r="C1" s="104" t="s">
        <v>2</v>
      </c>
      <c r="D1" s="104" t="s">
        <v>3</v>
      </c>
      <c r="E1" s="104" t="s">
        <v>4</v>
      </c>
      <c r="F1" s="104" t="s">
        <v>5</v>
      </c>
    </row>
    <row r="2" spans="1:6" ht="45" x14ac:dyDescent="0.25">
      <c r="A2" s="107">
        <v>1</v>
      </c>
      <c r="B2" s="108">
        <v>46126</v>
      </c>
      <c r="C2" s="105" t="s">
        <v>6</v>
      </c>
      <c r="D2" s="105" t="s">
        <v>7</v>
      </c>
      <c r="E2" s="105" t="s">
        <v>8</v>
      </c>
      <c r="F2" s="105" t="s">
        <v>9</v>
      </c>
    </row>
    <row r="3" spans="1:6" ht="45" x14ac:dyDescent="0.25">
      <c r="A3" s="107">
        <v>2</v>
      </c>
      <c r="B3" s="108">
        <v>46126</v>
      </c>
      <c r="C3" s="105" t="s">
        <v>10</v>
      </c>
      <c r="D3" s="105" t="s">
        <v>11</v>
      </c>
      <c r="E3" s="105" t="s">
        <v>12</v>
      </c>
      <c r="F3" s="105" t="s">
        <v>13</v>
      </c>
    </row>
    <row r="4" spans="1:6" ht="45" x14ac:dyDescent="0.25">
      <c r="A4" s="107">
        <v>3</v>
      </c>
      <c r="B4" s="108">
        <v>46126</v>
      </c>
      <c r="C4" s="105" t="s">
        <v>14</v>
      </c>
      <c r="D4" s="105" t="s">
        <v>15</v>
      </c>
      <c r="E4" s="105" t="s">
        <v>16</v>
      </c>
      <c r="F4" s="105" t="s">
        <v>17</v>
      </c>
    </row>
    <row r="5" spans="1:6" ht="45" x14ac:dyDescent="0.25">
      <c r="A5" s="107">
        <v>4</v>
      </c>
      <c r="B5" s="108">
        <v>46126</v>
      </c>
      <c r="C5" s="105" t="s">
        <v>18</v>
      </c>
      <c r="D5" s="105" t="s">
        <v>19</v>
      </c>
      <c r="E5" s="105" t="s">
        <v>20</v>
      </c>
      <c r="F5" s="105" t="s">
        <v>21</v>
      </c>
    </row>
    <row r="6" spans="1:6" ht="45" x14ac:dyDescent="0.25">
      <c r="A6" s="107">
        <v>5</v>
      </c>
      <c r="B6" s="108">
        <v>46126</v>
      </c>
      <c r="C6" s="105" t="s">
        <v>22</v>
      </c>
      <c r="D6" s="105" t="s">
        <v>23</v>
      </c>
      <c r="E6" s="105" t="s">
        <v>24</v>
      </c>
      <c r="F6" s="105" t="s">
        <v>25</v>
      </c>
    </row>
    <row r="7" spans="1:6" ht="45" x14ac:dyDescent="0.25">
      <c r="A7" s="107">
        <v>6</v>
      </c>
      <c r="B7" s="108">
        <v>46126</v>
      </c>
      <c r="C7" s="105" t="s">
        <v>26</v>
      </c>
      <c r="D7" s="105" t="s">
        <v>27</v>
      </c>
      <c r="E7" s="105" t="s">
        <v>28</v>
      </c>
      <c r="F7" s="105" t="s">
        <v>29</v>
      </c>
    </row>
    <row r="8" spans="1:6" ht="45" x14ac:dyDescent="0.25">
      <c r="A8" s="107">
        <v>7</v>
      </c>
      <c r="B8" s="108">
        <v>46126</v>
      </c>
      <c r="C8" s="105" t="s">
        <v>30</v>
      </c>
      <c r="D8" s="105" t="s">
        <v>31</v>
      </c>
      <c r="E8" s="105" t="s">
        <v>32</v>
      </c>
      <c r="F8" s="105" t="s">
        <v>33</v>
      </c>
    </row>
    <row r="9" spans="1:6" ht="30" x14ac:dyDescent="0.25">
      <c r="A9" s="107">
        <v>8</v>
      </c>
      <c r="B9" s="108">
        <v>46126</v>
      </c>
      <c r="C9" s="105" t="s">
        <v>34</v>
      </c>
      <c r="D9" s="105" t="s">
        <v>35</v>
      </c>
      <c r="E9" s="105" t="s">
        <v>36</v>
      </c>
      <c r="F9" s="105" t="s">
        <v>37</v>
      </c>
    </row>
    <row r="10" spans="1:6" ht="60" x14ac:dyDescent="0.25">
      <c r="A10" s="107">
        <v>9</v>
      </c>
      <c r="B10" s="108">
        <v>46126</v>
      </c>
      <c r="C10" s="105" t="s">
        <v>38</v>
      </c>
      <c r="D10" s="105" t="s">
        <v>39</v>
      </c>
      <c r="E10" s="105" t="s">
        <v>40</v>
      </c>
      <c r="F10" s="105" t="s">
        <v>41</v>
      </c>
    </row>
    <row r="11" spans="1:6" ht="45" x14ac:dyDescent="0.25">
      <c r="A11" s="107">
        <v>10</v>
      </c>
      <c r="B11" s="108">
        <v>46126</v>
      </c>
      <c r="C11" s="105" t="s">
        <v>42</v>
      </c>
      <c r="D11" s="105" t="s">
        <v>43</v>
      </c>
      <c r="E11" s="105" t="s">
        <v>44</v>
      </c>
      <c r="F11" s="105" t="s">
        <v>45</v>
      </c>
    </row>
    <row r="12" spans="1:6" ht="60" x14ac:dyDescent="0.25">
      <c r="A12" s="107">
        <v>11</v>
      </c>
      <c r="B12" s="108">
        <v>46126</v>
      </c>
      <c r="C12" s="105" t="s">
        <v>46</v>
      </c>
      <c r="D12" s="105" t="s">
        <v>47</v>
      </c>
      <c r="E12" s="105" t="s">
        <v>48</v>
      </c>
      <c r="F12" s="105" t="s">
        <v>49</v>
      </c>
    </row>
    <row r="13" spans="1:6" ht="60" x14ac:dyDescent="0.25">
      <c r="A13" s="107">
        <v>12</v>
      </c>
      <c r="B13" s="108">
        <v>46126</v>
      </c>
      <c r="C13" s="105" t="s">
        <v>50</v>
      </c>
      <c r="D13" s="105" t="s">
        <v>51</v>
      </c>
      <c r="E13" s="105" t="s">
        <v>52</v>
      </c>
      <c r="F13" s="105" t="s">
        <v>53</v>
      </c>
    </row>
    <row r="14" spans="1:6" ht="60" x14ac:dyDescent="0.25">
      <c r="A14" s="107">
        <v>13</v>
      </c>
      <c r="B14" s="108">
        <v>46126</v>
      </c>
      <c r="C14" s="105" t="s">
        <v>54</v>
      </c>
      <c r="D14" s="105" t="s">
        <v>55</v>
      </c>
      <c r="E14" s="105" t="s">
        <v>56</v>
      </c>
      <c r="F14" s="105" t="s">
        <v>57</v>
      </c>
    </row>
    <row r="15" spans="1:6" ht="75" x14ac:dyDescent="0.25">
      <c r="A15" s="107">
        <v>22</v>
      </c>
      <c r="B15" s="108">
        <v>46153</v>
      </c>
      <c r="C15" s="105" t="s">
        <v>58</v>
      </c>
      <c r="D15" s="105" t="s">
        <v>59</v>
      </c>
      <c r="E15" s="105" t="s">
        <v>60</v>
      </c>
      <c r="F15" s="105" t="s">
        <v>61</v>
      </c>
    </row>
    <row r="16" spans="1:6" ht="75" x14ac:dyDescent="0.25">
      <c r="A16" s="107">
        <v>23</v>
      </c>
      <c r="B16" s="108">
        <v>46153</v>
      </c>
      <c r="C16" s="105" t="s">
        <v>62</v>
      </c>
      <c r="D16" s="105" t="s">
        <v>63</v>
      </c>
      <c r="E16" s="105" t="s">
        <v>64</v>
      </c>
      <c r="F16" s="105" t="s">
        <v>65</v>
      </c>
    </row>
    <row r="17" spans="1:6" ht="30" x14ac:dyDescent="0.25">
      <c r="A17" s="107">
        <v>24</v>
      </c>
      <c r="B17" s="108">
        <v>46153</v>
      </c>
      <c r="C17" s="105" t="s">
        <v>66</v>
      </c>
      <c r="D17" s="105" t="s">
        <v>67</v>
      </c>
      <c r="E17" s="105" t="s">
        <v>68</v>
      </c>
      <c r="F17" s="105" t="s">
        <v>69</v>
      </c>
    </row>
    <row r="18" spans="1:6" ht="45" x14ac:dyDescent="0.25">
      <c r="A18" s="107">
        <v>17</v>
      </c>
      <c r="B18" s="108">
        <v>46138</v>
      </c>
      <c r="C18" s="105" t="s">
        <v>70</v>
      </c>
      <c r="D18" s="105" t="s">
        <v>71</v>
      </c>
      <c r="E18" s="105" t="s">
        <v>72</v>
      </c>
      <c r="F18" s="105" t="s">
        <v>73</v>
      </c>
    </row>
    <row r="19" spans="1:6" ht="75" x14ac:dyDescent="0.25">
      <c r="A19" s="107">
        <v>18</v>
      </c>
      <c r="B19" s="108">
        <v>46146</v>
      </c>
      <c r="C19" s="105" t="s">
        <v>74</v>
      </c>
      <c r="D19" s="105" t="s">
        <v>75</v>
      </c>
      <c r="E19" s="105" t="s">
        <v>76</v>
      </c>
      <c r="F19" s="105" t="s">
        <v>77</v>
      </c>
    </row>
    <row r="20" spans="1:6" ht="30" x14ac:dyDescent="0.25">
      <c r="A20" s="107">
        <v>19</v>
      </c>
      <c r="B20" s="108">
        <v>46146</v>
      </c>
      <c r="C20" s="105" t="s">
        <v>78</v>
      </c>
      <c r="D20" s="105" t="s">
        <v>79</v>
      </c>
      <c r="E20" s="105" t="s">
        <v>80</v>
      </c>
      <c r="F20" s="105" t="s">
        <v>81</v>
      </c>
    </row>
    <row r="21" spans="1:6" ht="30" x14ac:dyDescent="0.25">
      <c r="A21" s="107">
        <v>20</v>
      </c>
      <c r="B21" s="108">
        <v>46146</v>
      </c>
      <c r="C21" s="105" t="s">
        <v>82</v>
      </c>
      <c r="D21" s="105" t="s">
        <v>83</v>
      </c>
      <c r="E21" s="105" t="s">
        <v>84</v>
      </c>
      <c r="F21" s="105" t="s">
        <v>85</v>
      </c>
    </row>
    <row r="22" spans="1:6" ht="60" x14ac:dyDescent="0.25">
      <c r="A22" s="107">
        <v>21</v>
      </c>
      <c r="B22" s="108">
        <v>46148</v>
      </c>
      <c r="C22" s="105" t="s">
        <v>86</v>
      </c>
      <c r="D22" s="105" t="s">
        <v>87</v>
      </c>
      <c r="E22" s="105" t="s">
        <v>88</v>
      </c>
      <c r="F22" s="105" t="s">
        <v>89</v>
      </c>
    </row>
    <row r="23" spans="1:6" ht="45" x14ac:dyDescent="0.25">
      <c r="A23" s="107">
        <v>25</v>
      </c>
      <c r="B23" s="108">
        <v>46153</v>
      </c>
      <c r="C23" s="105" t="s">
        <v>90</v>
      </c>
      <c r="D23" s="105" t="s">
        <v>91</v>
      </c>
      <c r="E23" s="105" t="s">
        <v>92</v>
      </c>
      <c r="F23" s="105" t="s">
        <v>93</v>
      </c>
    </row>
    <row r="24" spans="1:6" ht="45" x14ac:dyDescent="0.25">
      <c r="A24" s="107">
        <v>26</v>
      </c>
      <c r="B24" s="108">
        <v>46153</v>
      </c>
      <c r="C24" s="105" t="s">
        <v>94</v>
      </c>
      <c r="D24" s="105" t="s">
        <v>95</v>
      </c>
      <c r="E24" s="105" t="s">
        <v>96</v>
      </c>
      <c r="F24" s="105" t="s">
        <v>97</v>
      </c>
    </row>
    <row r="25" spans="1:6" ht="30" x14ac:dyDescent="0.25">
      <c r="A25" s="107">
        <v>27</v>
      </c>
      <c r="B25" s="108">
        <v>46153</v>
      </c>
      <c r="C25" s="105" t="s">
        <v>98</v>
      </c>
      <c r="D25" s="105" t="s">
        <v>99</v>
      </c>
      <c r="E25" s="105" t="s">
        <v>100</v>
      </c>
      <c r="F25" s="105" t="s">
        <v>101</v>
      </c>
    </row>
    <row r="26" spans="1:6" ht="45" x14ac:dyDescent="0.25">
      <c r="A26" s="107">
        <v>28</v>
      </c>
      <c r="B26" s="108">
        <v>46153</v>
      </c>
      <c r="C26" s="105" t="s">
        <v>102</v>
      </c>
      <c r="D26" s="105" t="s">
        <v>103</v>
      </c>
      <c r="E26" s="105" t="s">
        <v>104</v>
      </c>
      <c r="F26" s="105" t="s">
        <v>105</v>
      </c>
    </row>
    <row r="27" spans="1:6" ht="60" x14ac:dyDescent="0.25">
      <c r="A27" s="107">
        <v>29</v>
      </c>
      <c r="B27" s="108">
        <v>46153</v>
      </c>
      <c r="C27" s="105" t="s">
        <v>106</v>
      </c>
      <c r="D27" s="105" t="s">
        <v>107</v>
      </c>
      <c r="E27" s="105" t="s">
        <v>108</v>
      </c>
      <c r="F27" s="105" t="s">
        <v>109</v>
      </c>
    </row>
    <row r="28" spans="1:6" ht="60" x14ac:dyDescent="0.25">
      <c r="A28" s="107">
        <v>30</v>
      </c>
      <c r="B28" s="108">
        <v>46153</v>
      </c>
      <c r="C28" s="105" t="s">
        <v>110</v>
      </c>
      <c r="D28" s="105" t="s">
        <v>111</v>
      </c>
      <c r="E28" s="105" t="s">
        <v>112</v>
      </c>
      <c r="F28" s="105" t="s">
        <v>113</v>
      </c>
    </row>
    <row r="29" spans="1:6" ht="45" x14ac:dyDescent="0.25">
      <c r="A29" s="107">
        <v>31</v>
      </c>
      <c r="B29" s="108">
        <v>46153</v>
      </c>
      <c r="C29" s="105" t="s">
        <v>114</v>
      </c>
      <c r="D29" s="105" t="s">
        <v>115</v>
      </c>
      <c r="E29" s="105" t="s">
        <v>116</v>
      </c>
      <c r="F29" s="105" t="s">
        <v>117</v>
      </c>
    </row>
    <row r="30" spans="1:6" ht="75" x14ac:dyDescent="0.25">
      <c r="A30" s="107">
        <v>32</v>
      </c>
      <c r="B30" s="108">
        <v>46153</v>
      </c>
      <c r="C30" s="105" t="s">
        <v>118</v>
      </c>
      <c r="D30" s="105" t="s">
        <v>119</v>
      </c>
      <c r="E30" s="105" t="s">
        <v>120</v>
      </c>
      <c r="F30" s="105" t="s">
        <v>121</v>
      </c>
    </row>
    <row r="31" spans="1:6" ht="60" x14ac:dyDescent="0.25">
      <c r="A31" s="107">
        <v>33</v>
      </c>
      <c r="B31" s="108">
        <v>46157</v>
      </c>
      <c r="C31" s="105" t="s">
        <v>122</v>
      </c>
      <c r="D31" s="105" t="s">
        <v>123</v>
      </c>
      <c r="E31" s="105" t="s">
        <v>124</v>
      </c>
      <c r="F31" s="105" t="s">
        <v>125</v>
      </c>
    </row>
    <row r="32" spans="1:6" ht="45" x14ac:dyDescent="0.25">
      <c r="A32" s="107">
        <v>34</v>
      </c>
      <c r="B32" s="108">
        <v>46158</v>
      </c>
      <c r="C32" s="105" t="s">
        <v>126</v>
      </c>
      <c r="D32" s="105" t="s">
        <v>127</v>
      </c>
      <c r="E32" s="105" t="s">
        <v>128</v>
      </c>
      <c r="F32" s="105" t="s">
        <v>129</v>
      </c>
    </row>
    <row r="33" spans="1:6" ht="45" x14ac:dyDescent="0.25">
      <c r="A33" s="107">
        <v>35</v>
      </c>
      <c r="B33" s="108">
        <v>46158</v>
      </c>
      <c r="C33" s="105" t="s">
        <v>130</v>
      </c>
      <c r="D33" s="105" t="s">
        <v>131</v>
      </c>
      <c r="E33" s="105" t="s">
        <v>132</v>
      </c>
      <c r="F33" s="105" t="s">
        <v>133</v>
      </c>
    </row>
    <row r="34" spans="1:6" ht="45" x14ac:dyDescent="0.25">
      <c r="A34" s="107">
        <v>36</v>
      </c>
      <c r="B34" s="108">
        <v>46158</v>
      </c>
      <c r="C34" s="105" t="s">
        <v>134</v>
      </c>
      <c r="D34" s="105" t="s">
        <v>135</v>
      </c>
      <c r="E34" s="105" t="s">
        <v>136</v>
      </c>
      <c r="F34" s="105" t="s">
        <v>137</v>
      </c>
    </row>
    <row r="35" spans="1:6" ht="45" x14ac:dyDescent="0.25">
      <c r="A35" s="107">
        <v>37</v>
      </c>
      <c r="B35" s="108">
        <v>46158</v>
      </c>
      <c r="C35" s="105" t="s">
        <v>138</v>
      </c>
      <c r="D35" s="105" t="s">
        <v>139</v>
      </c>
      <c r="E35" s="105" t="s">
        <v>140</v>
      </c>
      <c r="F35" s="105" t="s">
        <v>141</v>
      </c>
    </row>
    <row r="36" spans="1:6" ht="45" x14ac:dyDescent="0.25">
      <c r="A36" s="107">
        <v>38</v>
      </c>
      <c r="B36" s="108">
        <v>46158</v>
      </c>
      <c r="C36" s="105" t="s">
        <v>142</v>
      </c>
      <c r="D36" s="105" t="s">
        <v>143</v>
      </c>
      <c r="E36" s="105" t="s">
        <v>144</v>
      </c>
      <c r="F36" s="105" t="s">
        <v>145</v>
      </c>
    </row>
    <row r="37" spans="1:6" ht="60" x14ac:dyDescent="0.25">
      <c r="A37" s="107">
        <v>39</v>
      </c>
      <c r="B37" s="108">
        <v>46158</v>
      </c>
      <c r="C37" s="105" t="s">
        <v>146</v>
      </c>
      <c r="D37" s="105" t="s">
        <v>147</v>
      </c>
      <c r="E37" s="105" t="s">
        <v>148</v>
      </c>
      <c r="F37" s="105" t="s">
        <v>149</v>
      </c>
    </row>
    <row r="38" spans="1:6" ht="60" x14ac:dyDescent="0.25">
      <c r="A38" s="107">
        <v>40</v>
      </c>
      <c r="B38" s="108">
        <v>46158</v>
      </c>
      <c r="C38" s="105" t="s">
        <v>150</v>
      </c>
      <c r="D38" s="105" t="s">
        <v>151</v>
      </c>
      <c r="E38" s="105" t="s">
        <v>152</v>
      </c>
      <c r="F38" s="105" t="s">
        <v>153</v>
      </c>
    </row>
    <row r="39" spans="1:6" ht="45" x14ac:dyDescent="0.25">
      <c r="A39" s="107">
        <v>41</v>
      </c>
      <c r="B39" s="108">
        <v>46158</v>
      </c>
      <c r="C39" s="105" t="s">
        <v>154</v>
      </c>
      <c r="D39" s="105" t="s">
        <v>155</v>
      </c>
      <c r="E39" s="105" t="s">
        <v>156</v>
      </c>
      <c r="F39" s="105" t="s">
        <v>141</v>
      </c>
    </row>
    <row r="40" spans="1:6" ht="60" x14ac:dyDescent="0.25">
      <c r="A40" s="107">
        <v>42</v>
      </c>
      <c r="B40" s="108">
        <v>46158</v>
      </c>
      <c r="C40" s="105" t="s">
        <v>157</v>
      </c>
      <c r="D40" s="105" t="s">
        <v>158</v>
      </c>
      <c r="E40" s="105" t="s">
        <v>159</v>
      </c>
      <c r="F40" s="105" t="s">
        <v>160</v>
      </c>
    </row>
    <row r="41" spans="1:6" ht="60" x14ac:dyDescent="0.25">
      <c r="A41" s="107">
        <v>43</v>
      </c>
      <c r="B41" s="108">
        <v>46158</v>
      </c>
      <c r="C41" s="105" t="s">
        <v>161</v>
      </c>
      <c r="D41" s="105" t="s">
        <v>162</v>
      </c>
      <c r="E41" s="105" t="s">
        <v>163</v>
      </c>
      <c r="F41" s="105" t="s">
        <v>164</v>
      </c>
    </row>
    <row r="42" spans="1:6" ht="45" x14ac:dyDescent="0.25">
      <c r="A42" s="107">
        <v>44</v>
      </c>
      <c r="B42" s="108">
        <v>46158</v>
      </c>
      <c r="C42" s="105" t="s">
        <v>165</v>
      </c>
      <c r="D42" s="105" t="s">
        <v>166</v>
      </c>
      <c r="E42" s="105" t="s">
        <v>167</v>
      </c>
      <c r="F42" s="105" t="s">
        <v>168</v>
      </c>
    </row>
    <row r="43" spans="1:6" ht="75" x14ac:dyDescent="0.25">
      <c r="A43" s="107">
        <v>45</v>
      </c>
      <c r="B43" s="108">
        <v>46158</v>
      </c>
      <c r="C43" s="105" t="s">
        <v>169</v>
      </c>
      <c r="D43" s="105" t="s">
        <v>170</v>
      </c>
      <c r="E43" s="105" t="s">
        <v>171</v>
      </c>
      <c r="F43" s="105" t="s">
        <v>172</v>
      </c>
    </row>
    <row r="44" spans="1:6" ht="45" x14ac:dyDescent="0.25">
      <c r="A44" s="107">
        <v>46</v>
      </c>
      <c r="B44" s="108">
        <v>46158</v>
      </c>
      <c r="C44" s="105" t="s">
        <v>173</v>
      </c>
      <c r="D44" s="105" t="s">
        <v>174</v>
      </c>
      <c r="E44" s="105" t="s">
        <v>175</v>
      </c>
      <c r="F44" s="105" t="s">
        <v>176</v>
      </c>
    </row>
    <row r="45" spans="1:6" ht="45" x14ac:dyDescent="0.25">
      <c r="A45" s="107">
        <v>47</v>
      </c>
      <c r="B45" s="108">
        <v>46158</v>
      </c>
      <c r="C45" s="105" t="s">
        <v>177</v>
      </c>
      <c r="D45" s="105" t="s">
        <v>178</v>
      </c>
      <c r="E45" s="105" t="s">
        <v>179</v>
      </c>
      <c r="F45" s="105" t="s">
        <v>180</v>
      </c>
    </row>
    <row r="46" spans="1:6" ht="45" x14ac:dyDescent="0.25">
      <c r="A46" s="107">
        <v>48</v>
      </c>
      <c r="B46" s="108">
        <v>46158</v>
      </c>
      <c r="C46" s="105" t="s">
        <v>181</v>
      </c>
      <c r="D46" s="105" t="s">
        <v>182</v>
      </c>
      <c r="E46" s="105" t="s">
        <v>183</v>
      </c>
      <c r="F46" s="105" t="s">
        <v>184</v>
      </c>
    </row>
    <row r="47" spans="1:6" ht="60" x14ac:dyDescent="0.25">
      <c r="A47" s="107">
        <v>49</v>
      </c>
      <c r="B47" s="108">
        <v>46158</v>
      </c>
      <c r="C47" s="105" t="s">
        <v>185</v>
      </c>
      <c r="D47" s="105" t="s">
        <v>186</v>
      </c>
      <c r="E47" s="105" t="s">
        <v>187</v>
      </c>
      <c r="F47" s="105" t="s">
        <v>188</v>
      </c>
    </row>
    <row r="48" spans="1:6" ht="45" x14ac:dyDescent="0.25">
      <c r="A48" s="107">
        <v>50</v>
      </c>
      <c r="B48" s="108">
        <v>46158</v>
      </c>
      <c r="C48" s="105" t="s">
        <v>189</v>
      </c>
      <c r="D48" s="105" t="s">
        <v>190</v>
      </c>
      <c r="E48" s="105" t="s">
        <v>191</v>
      </c>
      <c r="F48" s="105" t="s">
        <v>192</v>
      </c>
    </row>
    <row r="49" spans="1:6" ht="60" x14ac:dyDescent="0.25">
      <c r="A49" s="107">
        <v>51</v>
      </c>
      <c r="B49" s="108">
        <v>46158</v>
      </c>
      <c r="C49" s="105" t="s">
        <v>193</v>
      </c>
      <c r="D49" s="105" t="s">
        <v>194</v>
      </c>
      <c r="E49" s="105" t="s">
        <v>195</v>
      </c>
      <c r="F49" s="105" t="s">
        <v>196</v>
      </c>
    </row>
    <row r="50" spans="1:6" ht="45" x14ac:dyDescent="0.25">
      <c r="A50" s="107">
        <v>52</v>
      </c>
      <c r="B50" s="108">
        <v>46158</v>
      </c>
      <c r="C50" s="105" t="s">
        <v>197</v>
      </c>
      <c r="D50" s="105" t="s">
        <v>198</v>
      </c>
      <c r="E50" s="105" t="s">
        <v>199</v>
      </c>
      <c r="F50" s="105" t="s">
        <v>200</v>
      </c>
    </row>
    <row r="51" spans="1:6" ht="75" x14ac:dyDescent="0.25">
      <c r="A51" s="107">
        <v>53</v>
      </c>
      <c r="B51" s="108">
        <v>46158</v>
      </c>
      <c r="C51" s="105" t="s">
        <v>201</v>
      </c>
      <c r="D51" s="105" t="s">
        <v>202</v>
      </c>
      <c r="E51" s="105" t="s">
        <v>203</v>
      </c>
      <c r="F51" s="105" t="s">
        <v>141</v>
      </c>
    </row>
    <row r="52" spans="1:6" ht="60" x14ac:dyDescent="0.25">
      <c r="A52" s="107">
        <v>54</v>
      </c>
      <c r="B52" s="108">
        <v>46158</v>
      </c>
      <c r="C52" s="105" t="s">
        <v>204</v>
      </c>
      <c r="D52" s="105" t="s">
        <v>205</v>
      </c>
      <c r="E52" s="105" t="s">
        <v>206</v>
      </c>
      <c r="F52" s="105" t="s">
        <v>207</v>
      </c>
    </row>
    <row r="53" spans="1:6" ht="30" x14ac:dyDescent="0.25">
      <c r="A53" s="107">
        <v>1</v>
      </c>
      <c r="B53" s="108">
        <v>46163</v>
      </c>
      <c r="C53" s="105" t="s">
        <v>208</v>
      </c>
      <c r="D53" s="105" t="s">
        <v>209</v>
      </c>
      <c r="E53" s="105" t="s">
        <v>210</v>
      </c>
      <c r="F53" s="105" t="s">
        <v>211</v>
      </c>
    </row>
    <row r="54" spans="1:6" ht="45" x14ac:dyDescent="0.25">
      <c r="A54" s="107">
        <v>55</v>
      </c>
      <c r="B54" s="108">
        <v>46163</v>
      </c>
      <c r="C54" s="105" t="s">
        <v>212</v>
      </c>
      <c r="D54" s="105" t="s">
        <v>213</v>
      </c>
      <c r="E54" s="105" t="s">
        <v>214</v>
      </c>
      <c r="F54" s="105" t="s">
        <v>215</v>
      </c>
    </row>
    <row r="55" spans="1:6" ht="45" x14ac:dyDescent="0.25">
      <c r="A55" s="107">
        <v>56</v>
      </c>
      <c r="B55" s="108">
        <v>46163</v>
      </c>
      <c r="C55" s="105" t="s">
        <v>216</v>
      </c>
      <c r="D55" s="105" t="s">
        <v>217</v>
      </c>
      <c r="E55" s="105" t="s">
        <v>218</v>
      </c>
      <c r="F55" s="105" t="s">
        <v>219</v>
      </c>
    </row>
    <row r="56" spans="1:6" ht="45" x14ac:dyDescent="0.25">
      <c r="A56" s="107">
        <v>57</v>
      </c>
      <c r="B56" s="108">
        <v>46163</v>
      </c>
      <c r="C56" s="105" t="s">
        <v>220</v>
      </c>
      <c r="D56" s="105" t="s">
        <v>221</v>
      </c>
      <c r="E56" s="105" t="s">
        <v>222</v>
      </c>
      <c r="F56" s="105" t="s">
        <v>223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Suivi Carburant</vt:lpstr>
      <vt:lpstr>Prix par Station</vt:lpstr>
      <vt:lpstr>Graphiques</vt:lpstr>
      <vt:lpstr>Notes</vt:lpstr>
      <vt:lpstr>_ImportGS</vt:lpstr>
      <vt:lpstr>Claude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2026-05-24T08:15:34Z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