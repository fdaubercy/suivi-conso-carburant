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65CF614D-494D-4DF4-96FC-97B8E86705D2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4" i="2" l="1"/>
  <c r="X7" i="4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<sst xmlns="http://schemas.openxmlformats.org/spreadsheetml/2006/main" count="415" uniqueCount="359">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</sst>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5">
    <dxf>
      <numFmt numFmtId="27" formatCode="dd/mm/yyyy\ hh:mm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6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4" tableType="queryTable" totalsRowShown="0" headerRowDxfId="44" dataDxfId="43">
  <autoFilter ref="A1:O4" xr:uid="{74CBBEF5-DAC6-4FFF-B9BF-F912C02B05A8}"/>
  <tableColumns count="15">
    <tableColumn id="1" xr3:uid="{D1245828-BB9F-457F-9D89-03E146E97A20}" uniqueName="1" name="Horodatage" queryTableFieldId="1" dataDxfId="42"/>
    <tableColumn id="2" xr3:uid="{6AFDA1AD-8B7E-4056-B820-4B105507BC22}" uniqueName="2" name="Date" queryTableFieldId="2" dataDxfId="41"/>
    <tableColumn id="3" xr3:uid="{0E3159AD-DEC3-4CB0-8263-673EE4364DE4}" uniqueName="3" name="Type" queryTableFieldId="3" dataDxfId="40"/>
    <tableColumn id="4" xr3:uid="{9CA1100B-4402-4A99-881C-A70EA8E0EBA0}" uniqueName="4" name="Km" queryTableFieldId="4" dataDxfId="39"/>
    <tableColumn id="5" xr3:uid="{3DC79D37-A57D-45A6-B68B-28F91AE90D1B}" uniqueName="5" name="Litres" queryTableFieldId="5" dataDxfId="38"/>
    <tableColumn id="6" xr3:uid="{E20F9B47-933F-4695-AC5B-7BFCB43AA70B}" uniqueName="6" name="PrixL" queryTableFieldId="6" dataDxfId="37"/>
    <tableColumn id="7" xr3:uid="{55FB565F-6DB2-4A5B-A401-A402FE60DCE5}" uniqueName="7" name="PrixS98" queryTableFieldId="7" dataDxfId="36"/>
    <tableColumn id="8" xr3:uid="{1810D7F1-75C0-4692-B633-9344880F4391}" uniqueName="8" name="Station essence" queryTableFieldId="8" dataDxfId="35"/>
    <tableColumn id="9" xr3:uid="{B958E2B1-5DEB-4CEF-B30E-3537BD55A8E8}" uniqueName="9" name="Vehicule" queryTableFieldId="9" dataDxfId="34"/>
    <tableColumn id="10" xr3:uid="{7955E5A1-C834-43AD-B7C1-739EA1C9FB0B}" uniqueName="10" name="E85 station" queryTableFieldId="10" dataDxfId="33"/>
    <tableColumn id="11" xr3:uid="{168A26EB-A626-4924-B067-7D0EE30B248F}" uniqueName="11" name="SP98 station" queryTableFieldId="11" dataDxfId="32"/>
    <tableColumn id="12" xr3:uid="{18AADF40-972E-454B-9FD3-FD2D10CCF4B9}" uniqueName="12" name="SP95 station" queryTableFieldId="12" dataDxfId="31"/>
    <tableColumn id="13" xr3:uid="{A1195D38-1809-462B-9D20-AE18F43CBC4B}" uniqueName="13" name="E10 station" queryTableFieldId="13" dataDxfId="30"/>
    <tableColumn id="14" xr3:uid="{9F059A0B-5171-4FB9-8BF4-0CBD57021E52}" uniqueName="14" name="Gazole station" queryTableFieldId="14" dataDxfId="29"/>
    <tableColumn id="15" xr3:uid="{BE30AC6F-80E2-4B6C-B72A-506C9FC60853}" uniqueName="15" name="GPLc station" queryTableFieldId="15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CBCA13-BA28-4AE9-93B0-70D4C69B887E}" name="DonneesExternes_1" displayName="DonneesExternes_1" ref="A1:Z2" totalsRowShown="0">
  <autoFilter ref="A1:Z2" xr:uid="{53CBCA13-BA28-4AE9-93B0-70D4C69B887E}"/>
  <tableColumns count="26">
    <tableColumn id="1" xr3:uid="{10E965BD-706F-43A3-B5C8-715045D0DFAF}" name="Horodatage" dataDxfId="0"/>
    <tableColumn id="2" xr3:uid="{A075F0BF-CB84-4273-A40F-730C342EC07B}" name="Date"/>
    <tableColumn id="3" xr3:uid="{2C4A3EE1-ABEA-408B-B3B6-A55B2FA508AA}" name="Type"/>
    <tableColumn id="4" xr3:uid="{F7EA1015-8917-4589-897D-1E134C56A186}" name="Km compteur"/>
    <tableColumn id="5" xr3:uid="{A2BBABFB-767B-4084-867A-8D88BE11F817}" name="Nb. Litres"/>
    <tableColumn id="6" xr3:uid="{1BC95285-0467-4B23-BC84-280E91DD9D20}" name="Prix €/L"/>
    <tableColumn id="7" xr3:uid="{695C3511-5476-453F-8DD4-5389FC761BF4}" name="Prix S98 jour (€/L)"/>
    <tableColumn id="8" xr3:uid="{F5A0DC90-9E1C-45FC-AA0B-99A2289F960D}" name="Station essence"/>
    <tableColumn id="9" xr3:uid="{ACDDDD37-5BA7-4728-A70D-7C5C71F015EC}" name="Véhicule"/>
    <tableColumn id="10" xr3:uid="{F2CE415F-0498-476A-B18D-108731E8285B}" name="E85 station (€/L)"/>
    <tableColumn id="11" xr3:uid="{3C7D56FB-84A3-4180-96A4-C0E744F16215}" name="SP98 station (€/L)"/>
    <tableColumn id="12" xr3:uid="{7DF65505-BEBE-4F58-8046-A32F6892A2E8}" name="SP95 station (€/L)"/>
    <tableColumn id="13" xr3:uid="{EA7D2C54-B47D-495E-A6D7-8C9C9568764C}" name="E10 station (€/L)"/>
    <tableColumn id="14" xr3:uid="{4E9C799B-5656-43B0-A287-E0AE015F3891}" name="Gazole station (€/L)"/>
    <tableColumn id="15" xr3:uid="{43B5E798-139C-46A2-B621-95550B7A9737}" name="GPLc station (€/L)"/>
    <tableColumn id="16" xr3:uid="{38CDC1D3-D99E-4B2C-BB62-86A2A1CC41D4}" name="Colonne1"/>
    <tableColumn id="17" xr3:uid="{997F207F-D422-45AF-9C38-CEBC80E55329}" name="Colonne2"/>
    <tableColumn id="18" xr3:uid="{FF06316F-6FC9-4672-B3C3-9C5A628704DE}" name="Colonne3"/>
    <tableColumn id="19" xr3:uid="{5ADA0086-E67F-4FF4-A3CB-264043A17C12}" name="Colonne4"/>
    <tableColumn id="20" xr3:uid="{2CC0E8BE-6AAD-425B-9919-92990D56B5DF}" name="Colonne5"/>
    <tableColumn id="21" xr3:uid="{EEAC745F-8C38-4AAA-BFC8-EFD40770D15E}" name="Colonne6"/>
    <tableColumn id="22" xr3:uid="{08D1D5E8-44C9-43AB-9EF6-517009DE9783}" name="Colonne7"/>
    <tableColumn id="23" xr3:uid="{87F7201C-6C6E-4885-B711-EE49423D9F34}" name="Colonne8"/>
    <tableColumn id="24" xr3:uid="{035E68BA-818C-454C-BB02-6657FC842F81}" name="Colonne9"/>
    <tableColumn id="25" xr3:uid="{0F9B2C07-2372-487F-AD90-96165697AAB7}" name="Colonne10"/>
    <tableColumn id="26" xr3:uid="{49522F48-9703-4EFC-A612-6E6A12D7E620}" name="Colonne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6" dataDxfId="24" headerRowBorderDxfId="25" tableBorderDxfId="23" totalsRowBorderDxfId="22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1">
      <calculatedColumnFormula>IF(B16="","",A15+1)</calculatedColumnFormula>
    </tableColumn>
    <tableColumn id="2" xr3:uid="{D9E9EBFF-BC9D-4E59-9822-91D7DEC1E7CE}" name="Date" dataDxfId="20"/>
    <tableColumn id="11" xr3:uid="{A77486BA-32D8-4661-BA23-1144AE2FD0EC}" name="Type" dataDxfId="19"/>
    <tableColumn id="3" xr3:uid="{6C87F133-7224-4AAB-ACB2-666E8B7315B5}" name="Km compteur" dataDxfId="18"/>
    <tableColumn id="15" xr3:uid="{E9E70181-907F-4D1A-BD9D-156B992A2880}" name="Nb. km" dataDxfId="17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6"/>
    <tableColumn id="5" xr3:uid="{A61BA34E-E60B-4F70-A1D9-62090C37C449}" name="Prix €/L" dataDxfId="15"/>
    <tableColumn id="13" xr3:uid="{C796B9E8-7AC6-4345-B44F-194876D2515D}" name="Coût c€/km" dataDxfId="14">
      <calculatedColumnFormula>IF(OR(D16="",D15="",I16="",ISTEXT(D15)),"",F16/(D16-D15)*100)</calculatedColumnFormula>
    </tableColumn>
    <tableColumn id="6" xr3:uid="{7A10B093-08A0-4955-A678-47B342940366}" name="Coût Plein (€)" dataDxfId="13">
      <calculatedColumnFormula>IF(F16="","",F16*G16)</calculatedColumnFormula>
    </tableColumn>
    <tableColumn id="7" xr3:uid="{0D4F331E-E5DE-4D78-8EE4-6B964BF0DB88}" name="Conso. (L/100km)" dataDxfId="12">
      <calculatedColumnFormula>IF(OR(D16="",D15="",F16="",ISTEXT(D15)),"",F16/(D16-D15)*100)</calculatedColumnFormula>
    </tableColumn>
    <tableColumn id="8" xr3:uid="{8C4BCB7E-42BC-494E-A304-19A9848326C2}" name="Prix S98 jour (€/L)" dataDxfId="11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0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9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6" dataDxfId="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3" dataDxfId="2">
  <autoFilter ref="D2:D25" xr:uid="{25AB3DD4-00E3-4CC0-B281-01FA80424A7F}"/>
  <sortState xmlns:xlrd2="http://schemas.microsoft.com/office/spreadsheetml/2017/richdata2" ref="D3:D25">
    <sortCondition ref="D2:D25"/>
  </sortState>
  <tableColumns count="1">
    <tableColumn id="1" xr3:uid="{15E89797-5AED-42ED-A3B9-120C7515903D}" name="Station essence utilisé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4"/>
  <sheetViews>
    <sheetView tabSelected="1" zoomScale="70" zoomScaleNormal="70" workbookViewId="0">
      <selection activeCell="C13" sqref="C13"/>
    </sheetView>
  </sheetViews>
  <sheetFormatPr baseColWidth="10" defaultRowHeight="15.75" x14ac:dyDescent="0.25"/>
  <cols>
    <col min="1" max="1" width="18.125" style="101" bestFit="1" customWidth="1"/>
    <col min="2" max="2" width="15.375" style="101" customWidth="1"/>
    <col min="3" max="3" width="29.25" style="10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384" width="11" style="101"/>
  </cols>
  <sheetData>
    <row r="1" spans="1:15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</row>
    <row r="2" spans="1:15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</row>
    <row r="3" spans="1:15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</row>
    <row r="4" spans="1:15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348</v>
      </c>
      <c r="Q1" t="s">
        <v>349</v>
      </c>
      <c r="R1" t="s">
        <v>350</v>
      </c>
      <c r="S1" t="s">
        <v>351</v>
      </c>
      <c r="T1" t="s">
        <v>352</v>
      </c>
      <c r="U1" t="s">
        <v>353</v>
      </c>
      <c r="V1" t="s">
        <v>354</v>
      </c>
      <c r="W1" t="s">
        <v>355</v>
      </c>
      <c r="X1" t="s">
        <v>356</v>
      </c>
      <c r="Y1" t="s">
        <v>357</v>
      </c>
      <c r="Z1" t="s">
        <v>358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2" sqref="F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7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Intermarché</v>
      </c>
      <c r="C8" s="90">
        <f ca="1">IFERROR(AVERAGEIF(GS_Pleins!$H:$H,$B8,GS_Pleins[E85 station]),"")</f>
        <v>0.6</v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Leclerc Douai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Total Access</v>
      </c>
      <c r="C10" s="90">
        <f ca="1">IFERROR(AVERAGEIF(GS_Pleins!$H:$H,$B10,GS_Pleins[E85 station]),"")</f>
        <v>0.79800000000000004</v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1</v>
      </c>
    </row>
    <row r="11" spans="2:9" ht="21.95" customHeight="1" x14ac:dyDescent="0.25">
      <c r="B11" s="88" t="str">
        <f>IF(Notes!$D$8="","",Notes!$D$8)</f>
        <v>Total Waziers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ZONE DU MOULIN RUE ARTHUR LAMENDIN — Beuvry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1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D16" sqref="D16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347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312</v>
      </c>
    </row>
    <row r="6" spans="2:4" x14ac:dyDescent="0.25">
      <c r="B6" s="82" t="s">
        <v>100</v>
      </c>
      <c r="D6" s="82" t="s">
        <v>288</v>
      </c>
    </row>
    <row r="7" spans="2:4" x14ac:dyDescent="0.25">
      <c r="D7" s="82" t="s">
        <v>313</v>
      </c>
    </row>
    <row r="8" spans="2:4" x14ac:dyDescent="0.25">
      <c r="D8" s="82" t="s">
        <v>287</v>
      </c>
    </row>
    <row r="9" spans="2:4" x14ac:dyDescent="0.25">
      <c r="D9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2026-05-24T18:58:57Z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