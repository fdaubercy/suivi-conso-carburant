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CCFAB720-9783-48F3-A783-59BCAC163327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Suivi Carburant" sheetId="2" r:id="rId3"/>
    <sheet name="Prix par Station" sheetId="7" r:id="rId4"/>
    <sheet name="Graphiques" sheetId="4" r:id="rId5"/>
    <sheet name="Notes" sheetId="6" r:id="rId6"/>
  </sheets>
  <externalReferences>
    <externalReference r:id="rId7"/>
  </externalReferences>
  <definedNames>
    <definedName name="DonnéesExternes_1" localSheetId="1" hidden="1">GS_Pleins!$A$1:$O$6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7" l="1"/>
  <c r="I8" i="7"/>
  <c r="I9" i="7"/>
  <c r="I10" i="7"/>
  <c r="I11" i="7"/>
  <c r="I12" i="7"/>
  <c r="I13" i="7"/>
  <c r="I14" i="7"/>
  <c r="I15" i="7"/>
  <c r="I16" i="7"/>
  <c r="I6" i="7"/>
  <c r="C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4" i="7"/>
  <c r="E14" i="7"/>
  <c r="F14" i="7"/>
  <c r="G14" i="7"/>
  <c r="H14" i="7"/>
  <c r="D15" i="7"/>
  <c r="E15" i="7"/>
  <c r="F15" i="7"/>
  <c r="G15" i="7"/>
  <c r="H15" i="7"/>
  <c r="D16" i="7"/>
  <c r="E16" i="7"/>
  <c r="F16" i="7"/>
  <c r="G16" i="7"/>
  <c r="H16" i="7"/>
  <c r="D6" i="7"/>
  <c r="E6" i="7"/>
  <c r="F6" i="7"/>
  <c r="G6" i="7"/>
  <c r="H6" i="7"/>
  <c r="C7" i="7"/>
  <c r="C8" i="7"/>
  <c r="C9" i="7"/>
  <c r="C10" i="7"/>
  <c r="C11" i="7"/>
  <c r="C12" i="7"/>
  <c r="C13" i="7"/>
  <c r="C14" i="7"/>
  <c r="C15" i="7"/>
  <c r="C16" i="7"/>
  <c r="D17" i="7"/>
  <c r="E17" i="7"/>
  <c r="F17" i="7"/>
  <c r="G17" i="7"/>
  <c r="H17" i="7"/>
  <c r="C17" i="7"/>
  <c r="B29" i="2" l="1"/>
  <c r="B33" i="2"/>
  <c r="B28" i="2"/>
  <c r="B30" i="2"/>
  <c r="A25" i="2"/>
  <c r="E25" i="2"/>
  <c r="I25" i="2"/>
  <c r="H25" i="2" s="1"/>
  <c r="J25" i="2"/>
  <c r="L25" i="2"/>
  <c r="M25" i="2" s="1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B36" i="2" s="1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5" i="2" l="1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9" i="2" s="1"/>
  <c r="L17" i="2"/>
  <c r="B7" i="2" a="1"/>
  <c r="B7" i="2" s="1"/>
  <c r="L23" i="2" l="1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AC2" i="4"/>
  <c r="Y9" i="4"/>
  <c r="X9" i="4"/>
  <c r="Y4" i="4"/>
  <c r="X4" i="4"/>
  <c r="H19" i="2"/>
  <c r="N19" i="2"/>
  <c r="M19" i="2"/>
  <c r="Y2" i="4"/>
  <c r="X2" i="4"/>
  <c r="M23" i="2"/>
  <c r="M20" i="2"/>
  <c r="M21" i="2"/>
  <c r="J28" i="2" l="1"/>
  <c r="U13" i="4" s="1"/>
  <c r="T13" i="4"/>
  <c r="Y5" i="4"/>
  <c r="X5" i="4"/>
  <c r="N20" i="2"/>
  <c r="N21" i="2" s="1"/>
  <c r="N22" i="2" s="1"/>
  <c r="N23" i="2" s="1"/>
  <c r="N24" i="2" s="1"/>
  <c r="N25" i="2" s="1"/>
  <c r="J29" i="2"/>
  <c r="P28" i="4" l="1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O3" i="4"/>
  <c r="Q3" i="4" s="1"/>
  <c r="O17" i="4"/>
  <c r="Q17" i="4" s="1"/>
  <c r="O32" i="4"/>
  <c r="Q32" i="4" s="1"/>
  <c r="O16" i="4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9" i="4"/>
  <c r="Q22" i="4"/>
  <c r="Q11" i="4"/>
  <c r="Q5" i="4"/>
  <c r="Q16" i="4"/>
  <c r="Q18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<sst xmlns="http://schemas.openxmlformats.org/spreadsheetml/2006/main" count="394" uniqueCount="342">
  <si>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</si>
  <si>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</si>
  <si>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</si>
  <si>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</si>
  <si>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</si>
  <si>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</si>
  <si>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</si>
  <si>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</si>
  <si>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</si>
  <si>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</si>
  <si>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</si>
  <si>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</si>
  <si>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</si>
  <si>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</si>
  <si>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</si>
  <si>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</si>
  <si>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</si>
  <si>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</si>
  <si>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</si>
  <si>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</si>
  <si>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</si>
  <si>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</si>
  <si>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</si>
  <si>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</si>
  <si>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</si>
  <si>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</si>
  <si>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</si>
  <si>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</si>
  <si>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</si>
  <si>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</si>
  <si>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</si>
  <si>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</si>
  <si>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</si>
  <si>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</si>
  <si>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</si>
  <si>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</si>
  <si>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</si>
  <si>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</si>
  <si>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</si>
  <si>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</si>
  <si>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</si>
  <si>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</si>
  <si>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</si>
  <si>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</si>
  <si>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</si>
  <si>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</si>
  <si>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</si>
  <si>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</si>
  <si>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</si>
  <si>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</si>
  <si>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</si>
  <si>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</si>
  <si>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</si>
  <si>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</si>
  <si>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</si>
  <si>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</si>
  <si>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</si>
  <si>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</si>
  <si>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</si>
  <si>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</si>
  <si>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</si>
  <si>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</si>
  <si>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</si>
  <si>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</si>
  <si>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</si>
  <si>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</si>
  <si>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</si>
  <si>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</si>
  <si>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</si>
  <si>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</si>
  <si>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</si>
  <si>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</si>
  <si>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</si>
  <si>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</si>
  <si>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</si>
  <si>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</si>
  <si>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</si>
  <si>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</si>
  <si>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</si>
  <si>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</si>
  <si>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</si>
  <si>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</si>
  <si>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</si>
  <si>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</si>
  <si>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</si>
  <si>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</si>
  <si>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</si>
  <si>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</si>
  <si>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</si>
  <si>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</si>
  <si>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</si>
  <si>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</si>
  <si>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</si>
  <si>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</si>
  <si>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</si>
  <si>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</si>
  <si>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</si>
  <si>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</si>
  <si>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</si>
  <si>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</si>
  <si>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</si>
  <si>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</si>
  <si>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</si>
  <si>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</si>
  <si>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</si>
  <si>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</si>
  <si>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</si>
  <si>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</si>
  <si>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</si>
  <si>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</si>
  <si>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</si>
  <si>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</si>
  <si>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</si>
  <si>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</si>
  <si>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</si>
  <si>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</si>
  <si>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</si>
  <si>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</si>
  <si>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</si>
  <si>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</si>
  <si>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</si>
  <si>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</si>
  <si>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</si>
  <si>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</si>
  <si>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</si>
  <si>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</si>
  <si>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</si>
  <si>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</si>
  <si>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</si>
  <si>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</si>
  <si>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</si>
  <si>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</si>
  <si>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</si>
  <si>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</si>
  <si>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</si>
  <si>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</si>
  <si>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</si>
  <si>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</si>
  <si>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</si>
  <si>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</si>
  <si>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</si>
  <si>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</si>
  <si>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</si>
  <si>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</si>
  <si>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</si>
  <si>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</si>
  <si>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</si>
  <si>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</si>
  <si>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</si>
  <si>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</si>
  <si>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</si>
  <si>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</si>
  <si>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</si>
  <si>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</si>
  <si>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</si>
  <si>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</si>
  <si>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</si>
  <si>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</si>
  <si>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</si>
  <si>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</si>
  <si>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</si>
  <si>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</si>
  <si>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</si>
  <si>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</si>
  <si>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</si>
  <si>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</si>
  <si>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</si>
  <si>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</si>
  <si>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</si>
  <si>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</si>
  <si>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</si>
  <si>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</si>
  <si>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</si>
  <si>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</si>
  <si>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</si>
  <si>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</si>
  <si>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</si>
  <si>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</si>
  <si>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</si>
  <si>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</si>
  <si>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</si>
  <si>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</si>
  <si>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</si>
  <si>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</si>
  <si>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</si>
  <si>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</si>
  <si>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</si>
  <si>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</si>
  <si>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</si>
  <si>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</si>
  <si>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</si>
  <si>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</si>
  <si>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</si>
  <si>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</si>
  <si>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</si>
  <si>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</si>
  <si>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</si>
  <si>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</si>
  <si>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</si>
  <si>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</si>
  <si>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</si>
  <si>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</si>
  <si>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</si>
  <si>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</si>
  <si>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</si>
  <si>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</si>
  <si>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</si>
  <si>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</si>
  <si>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</si>
  <si>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</si>
  <si>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</si>
  <si>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</si>
  <si>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</si>
  <si>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</si>
  <si>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</si>
  <si>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</si>
  <si>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</si>
  <si>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</si>
  <si>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</si>
  <si>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</si>
  <si>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</si>
  <si>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</si>
  <si>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</si>
  <si>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</si>
  <si>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</si>
  <si>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</si>
  <si>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</si>
  <si>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</si>
  <si>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</si>
  <si>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</si>
  <si>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</si>
  <si>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</si>
  <si>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</si>
  <si>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</si>
  <si>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</si>
  <si>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</si>
  <si>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</si>
  <si>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</si>
  <si>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</si>
  <si>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</si>
  <si>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</si>
  <si>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</si>
  <si>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</si>
  <si>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</si>
  <si>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</si>
  <si>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</si>
  <si>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</si>
  <si>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</si>
  <si>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</si>
  <si>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</si>
  <si>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</si>
  <si>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</si>
  <si>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</si>
  <si>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</si>
  <si>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</si>
  <si>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</si>
  <si>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</si>
  <si>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</si>
  <si>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</si>
  <si>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</si>
  <si>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</si>
  <si>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</si>
  <si>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</si>
  <si>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</si>
  <si>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</si>
  <si>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</si>
  <si>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</si>
  <si>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</si>
  <si>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</si>
  <si>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</si>
  <si>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</si>
  <si>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</si>
  <si>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</si>
  <si>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</si>
  <si>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</si>
  <si>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</si>
  <si>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</si>
  <si>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</si>
  <si>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</si>
  <si>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</si>
  <si>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</si>
  <si>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</si>
  <si>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</si>
  <si>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</si>
  <si>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</si>
  <si>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</si>
  <si>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</si>
  <si>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</si>
  <si>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</si>
  <si>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</si>
  <si>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</si>
  <si>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</si>
  <si>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</si>
  <si>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</si>
  <si>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</si>
  <si>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</si>
  <si>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</si>
  <si>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</si>
  <si>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</si>
  <si>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</si>
  <si>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</si>
  <si>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</si>
  <si>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</si>
  <si>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</si>
  <si>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</si>
  <si>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</si>
  <si>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</si>
  <si>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</si>
  <si>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</si>
  <si>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</si>
  <si>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</si>
  <si>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</si>
  <si>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</si>
  <si>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</si>
  <si>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</si>
  <si>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</si>
  <si>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</si>
  <si>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</si>
  <si>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</si>
  <si>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</si>
  <si>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</si>
  <si>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</si>
  <si>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</si>
  <si>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</si>
  <si>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</si>
  <si>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</si>
  <si>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</si>
  <si>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</si>
  <si>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</si>
  <si>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</si>
  <si>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</si>
  <si>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</si>
  <si>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</si>
  <si>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</si>
  <si>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</si>
  <si>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</si>
  <si>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</si>
  <si>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</si>
  <si>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19:21:13</t>
  </si>
  <si>
    <t>5/22/2026 19:41:05</t>
  </si>
  <si>
    <t>5/22/2026 20:06:21</t>
  </si>
  <si>
    <t>Moyennes calculées à partir des prix relevés par le formulaire web lors de chaque plein  ·  Source : GS_Pleins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</si>
</sst>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0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6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6" tableType="queryTable" totalsRowShown="0" headerRowDxfId="16" dataDxfId="15">
  <autoFilter ref="A1:O6" xr:uid="{74CBBEF5-DAC6-4FFF-B9BF-F912C02B05A8}"/>
  <tableColumns count="15">
    <tableColumn id="1" xr3:uid="{D1245828-BB9F-457F-9D89-03E146E97A20}" uniqueName="1" name="Horodatage" queryTableFieldId="1" dataDxfId="14"/>
    <tableColumn id="2" xr3:uid="{6AFDA1AD-8B7E-4056-B820-4B105507BC22}" uniqueName="2" name="Date" queryTableFieldId="2" dataDxfId="13"/>
    <tableColumn id="3" xr3:uid="{0E3159AD-DEC3-4CB0-8263-673EE4364DE4}" uniqueName="3" name="Type" queryTableFieldId="3" dataDxfId="12"/>
    <tableColumn id="4" xr3:uid="{9CA1100B-4402-4A99-881C-A70EA8E0EBA0}" uniqueName="4" name="Km" queryTableFieldId="4" dataDxfId="11"/>
    <tableColumn id="5" xr3:uid="{3DC79D37-A57D-45A6-B68B-28F91AE90D1B}" uniqueName="5" name="Litres" queryTableFieldId="5" dataDxfId="10"/>
    <tableColumn id="6" xr3:uid="{E20F9B47-933F-4695-AC5B-7BFCB43AA70B}" uniqueName="6" name="PrixL" queryTableFieldId="6" dataDxfId="9"/>
    <tableColumn id="7" xr3:uid="{55FB565F-6DB2-4A5B-A401-A402FE60DCE5}" uniqueName="7" name="PrixS98" queryTableFieldId="7" dataDxfId="8"/>
    <tableColumn id="8" xr3:uid="{1810D7F1-75C0-4692-B633-9344880F4391}" uniqueName="8" name="Station essence" queryTableFieldId="8" dataDxfId="7"/>
    <tableColumn id="9" xr3:uid="{B958E2B1-5DEB-4CEF-B30E-3537BD55A8E8}" uniqueName="9" name="Vehicule" queryTableFieldId="9" dataDxfId="6"/>
    <tableColumn id="10" xr3:uid="{7955E5A1-C834-43AD-B7C1-739EA1C9FB0B}" uniqueName="10" name="E85 station" queryTableFieldId="10" dataDxfId="5"/>
    <tableColumn id="11" xr3:uid="{168A26EB-A626-4924-B067-7D0EE30B248F}" uniqueName="11" name="SP98 station" queryTableFieldId="11" dataDxfId="4"/>
    <tableColumn id="12" xr3:uid="{18AADF40-972E-454B-9FD3-FD2D10CCF4B9}" uniqueName="12" name="SP95 station" queryTableFieldId="12" dataDxfId="3"/>
    <tableColumn id="13" xr3:uid="{A1195D38-1809-462B-9D20-AE18F43CBC4B}" uniqueName="13" name="E10 station" queryTableFieldId="13" dataDxfId="2"/>
    <tableColumn id="14" xr3:uid="{9F059A0B-5171-4FB9-8BF4-0CBD57021E52}" uniqueName="14" name="Gazole station" queryTableFieldId="14" dataDxfId="1"/>
    <tableColumn id="15" xr3:uid="{BE30AC6F-80E2-4B6C-B72A-506C9FC60853}" uniqueName="15" name="GPLc station" queryTableFieldId="15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43" dataDxfId="41" headerRowBorderDxfId="42" tableBorderDxfId="40" totalsRowBorderDxfId="39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8">
      <calculatedColumnFormula>IF(B16="","",A15+1)</calculatedColumnFormula>
    </tableColumn>
    <tableColumn id="2" xr3:uid="{D9E9EBFF-BC9D-4E59-9822-91D7DEC1E7CE}" name="Date" dataDxfId="37"/>
    <tableColumn id="11" xr3:uid="{A77486BA-32D8-4661-BA23-1144AE2FD0EC}" name="Type" dataDxfId="36"/>
    <tableColumn id="3" xr3:uid="{6C87F133-7224-4AAB-ACB2-666E8B7315B5}" name="Km compteur" dataDxfId="35"/>
    <tableColumn id="15" xr3:uid="{E9E70181-907F-4D1A-BD9D-156B992A2880}" name="Nb. km" dataDxfId="3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3"/>
    <tableColumn id="5" xr3:uid="{A61BA34E-E60B-4F70-A1D9-62090C37C449}" name="Prix €/L" dataDxfId="32"/>
    <tableColumn id="13" xr3:uid="{C796B9E8-7AC6-4345-B44F-194876D2515D}" name="Coût c€/km" dataDxfId="31">
      <calculatedColumnFormula>IF(OR(D16="",D15="",I16="",ISTEXT(D15)),"",F16/(D16-D15)*100)</calculatedColumnFormula>
    </tableColumn>
    <tableColumn id="6" xr3:uid="{7A10B093-08A0-4955-A678-47B342940366}" name="Coût Plein (€)" dataDxfId="30">
      <calculatedColumnFormula>IF(F16="","",F16*G16)</calculatedColumnFormula>
    </tableColumn>
    <tableColumn id="7" xr3:uid="{0D4F331E-E5DE-4D78-8EE4-6B964BF0DB88}" name="Conso. (L/100km)" dataDxfId="29">
      <calculatedColumnFormula>IF(OR(D16="",D15="",F16="",ISTEXT(D15)),"",F16/(D16-D15)*100)</calculatedColumnFormula>
    </tableColumn>
    <tableColumn id="8" xr3:uid="{8C4BCB7E-42BC-494E-A304-19A9848326C2}" name="Prix S98 jour (€/L)" dataDxfId="2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3" dataDxfId="2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4" totalsRowShown="0" headerRowDxfId="20" dataDxfId="19">
  <autoFilter ref="D2:D24" xr:uid="{25AB3DD4-00E3-4CC0-B281-01FA80424A7F}"/>
  <sortState xmlns:xlrd2="http://schemas.microsoft.com/office/spreadsheetml/2017/richdata2" ref="D3:D10">
    <sortCondition ref="D2:D24"/>
  </sortState>
  <tableColumns count="1">
    <tableColumn id="1" xr3:uid="{15E89797-5AED-42ED-A3B9-120C7515903D}" name="Station essence utilisé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dimension ref="A1:O6"/>
  <sheetViews>
    <sheetView zoomScale="70" zoomScaleNormal="70" workbookViewId="0">
      <selection sqref="A1:O6"/>
    </sheetView>
  </sheetViews>
  <sheetFormatPr baseColWidth="10" defaultRowHeight="15.75" x14ac:dyDescent="0.25"/>
  <cols>
    <col min="1" max="1" width="18.125" style="108" bestFit="1" customWidth="1"/>
    <col min="2" max="2" width="11.25" style="108" bestFit="1" customWidth="1"/>
    <col min="3" max="3" width="15.875" style="108" bestFit="1" customWidth="1"/>
    <col min="4" max="4" width="9.625" style="108" customWidth="1"/>
    <col min="5" max="5" width="11.5" style="108" bestFit="1" customWidth="1"/>
    <col min="6" max="6" width="11" style="108" bestFit="1" customWidth="1"/>
    <col min="7" max="7" width="13.125" style="108" bestFit="1" customWidth="1"/>
    <col min="8" max="8" width="45.5" style="108" bestFit="1" customWidth="1"/>
    <col min="9" max="9" width="14.375" style="108" bestFit="1" customWidth="1"/>
    <col min="10" max="10" width="16" style="108" bestFit="1" customWidth="1"/>
    <col min="11" max="12" width="17.125" style="108" bestFit="1" customWidth="1"/>
    <col min="13" max="13" width="16" style="108" bestFit="1" customWidth="1"/>
    <col min="14" max="14" width="18.5" style="108" bestFit="1" customWidth="1"/>
    <col min="15" max="15" width="17.125" style="108" bestFit="1" customWidth="1"/>
    <col min="16" max="16384" width="11" style="108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</row>
    <row r="2" spans="1:15" x14ac:dyDescent="0.25">
      <c r="A2" s="100" t="s">
        <v>335</v>
      </c>
      <c r="B2" s="82" t="s">
        <v>311</v>
      </c>
      <c r="C2" s="82" t="s">
        <v>100</v>
      </c>
      <c r="D2" s="109">
        <v>15000</v>
      </c>
      <c r="E2" s="109">
        <v>22</v>
      </c>
      <c r="F2" s="109">
        <v>0.6</v>
      </c>
      <c r="G2" s="109"/>
      <c r="H2" s="82" t="s">
        <v>312</v>
      </c>
      <c r="I2" s="82" t="s">
        <v>336</v>
      </c>
      <c r="J2" s="109">
        <v>0.6</v>
      </c>
      <c r="K2" s="109"/>
      <c r="L2" s="109"/>
      <c r="M2" s="109"/>
      <c r="N2" s="109"/>
      <c r="O2" s="109"/>
    </row>
    <row r="3" spans="1:15" x14ac:dyDescent="0.25">
      <c r="A3" s="100" t="s">
        <v>337</v>
      </c>
      <c r="B3" s="82" t="s">
        <v>311</v>
      </c>
      <c r="C3" s="82" t="s">
        <v>100</v>
      </c>
      <c r="D3" s="109">
        <v>15000</v>
      </c>
      <c r="E3" s="109">
        <v>15</v>
      </c>
      <c r="F3" s="109">
        <v>0.6</v>
      </c>
      <c r="G3" s="109">
        <v>2.0910000000000002</v>
      </c>
      <c r="H3" s="82" t="s">
        <v>313</v>
      </c>
      <c r="I3" s="82" t="s">
        <v>336</v>
      </c>
      <c r="J3" s="109">
        <v>0.6</v>
      </c>
      <c r="K3" s="109"/>
      <c r="L3" s="109"/>
      <c r="M3" s="109"/>
      <c r="N3" s="109"/>
      <c r="O3" s="109"/>
    </row>
    <row r="4" spans="1:15" x14ac:dyDescent="0.25">
      <c r="A4" s="100" t="s">
        <v>338</v>
      </c>
      <c r="B4" s="82" t="s">
        <v>311</v>
      </c>
      <c r="C4" s="82" t="s">
        <v>100</v>
      </c>
      <c r="D4" s="109">
        <v>11831</v>
      </c>
      <c r="E4" s="109">
        <v>15</v>
      </c>
      <c r="F4" s="109">
        <v>0.79800000000000004</v>
      </c>
      <c r="G4" s="109">
        <v>2.117</v>
      </c>
      <c r="H4" s="82" t="s">
        <v>314</v>
      </c>
      <c r="I4" s="82" t="s">
        <v>336</v>
      </c>
      <c r="J4" s="109">
        <v>0.79800000000000004</v>
      </c>
      <c r="K4" s="109"/>
      <c r="L4" s="109"/>
      <c r="M4" s="109"/>
      <c r="N4" s="109"/>
      <c r="O4" s="109"/>
    </row>
    <row r="5" spans="1:15" x14ac:dyDescent="0.25">
      <c r="A5" s="100" t="s">
        <v>339</v>
      </c>
      <c r="B5" s="82" t="s">
        <v>311</v>
      </c>
      <c r="C5" s="82" t="s">
        <v>100</v>
      </c>
      <c r="D5" s="109">
        <v>11831</v>
      </c>
      <c r="E5" s="109">
        <v>16.25</v>
      </c>
      <c r="F5" s="109">
        <v>0.79800000000000004</v>
      </c>
      <c r="G5" s="109">
        <v>2.117</v>
      </c>
      <c r="H5" s="82" t="s">
        <v>314</v>
      </c>
      <c r="I5" s="82" t="s">
        <v>336</v>
      </c>
      <c r="J5" s="109">
        <v>0.79800000000000004</v>
      </c>
      <c r="K5" s="109"/>
      <c r="L5" s="109"/>
      <c r="M5" s="109"/>
      <c r="N5" s="109"/>
      <c r="O5" s="109"/>
    </row>
    <row r="6" spans="1:15" x14ac:dyDescent="0.25">
      <c r="A6" s="100" t="s">
        <v>340</v>
      </c>
      <c r="B6" s="82" t="s">
        <v>311</v>
      </c>
      <c r="C6" s="82" t="s">
        <v>100</v>
      </c>
      <c r="D6" s="109">
        <v>11831</v>
      </c>
      <c r="E6" s="109">
        <v>16.25</v>
      </c>
      <c r="F6" s="109">
        <v>0.79800000000000004</v>
      </c>
      <c r="G6" s="109">
        <v>2.117</v>
      </c>
      <c r="H6" s="82" t="s">
        <v>314</v>
      </c>
      <c r="I6" s="82" t="s">
        <v>336</v>
      </c>
      <c r="J6" s="109">
        <v>0.79800000000000004</v>
      </c>
      <c r="K6" s="109"/>
      <c r="L6" s="109"/>
      <c r="M6" s="109"/>
      <c r="N6" s="109"/>
      <c r="O6" s="10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N8" sqref="N8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2" t="s">
        <v>72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Z1" s="78">
        <v>46164.837743055556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1" t="s">
        <v>107</v>
      </c>
      <c r="H10" s="101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17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tabSelected="1"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3" t="s">
        <v>315</v>
      </c>
      <c r="C2" s="104"/>
      <c r="D2" s="104"/>
      <c r="E2" s="104"/>
      <c r="F2" s="104"/>
      <c r="G2" s="104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5" t="s">
        <v>341</v>
      </c>
      <c r="C4" s="104"/>
      <c r="D4" s="104"/>
      <c r="E4" s="104"/>
      <c r="F4" s="104"/>
      <c r="G4" s="104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 Flers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Intermarché</v>
      </c>
      <c r="C7" s="90">
        <f ca="1">IFERROR(AVERAGEIF(GS_Pleins!$H:$H,$B7,GS_Pleins[E85 station]),"")</f>
        <v>0.6</v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1</v>
      </c>
    </row>
    <row r="8" spans="2:9" ht="21.95" customHeight="1" x14ac:dyDescent="0.25">
      <c r="B8" s="89" t="str">
        <f>IF(Notes!$D$5="","",Notes!$D$5)</f>
        <v>Leclerc Douai</v>
      </c>
      <c r="C8" s="90" t="str">
        <f ca="1">IFERROR(AVERAGEIF(GS_Pleins!$H:$H,$B8,GS_Pleins[E85 station]),"")</f>
        <v/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0</v>
      </c>
    </row>
    <row r="9" spans="2:9" ht="21.95" customHeight="1" x14ac:dyDescent="0.25">
      <c r="B9" s="88" t="str">
        <f>IF(Notes!$D$6="","",Notes!$D$6)</f>
        <v>Total Access</v>
      </c>
      <c r="C9" s="90">
        <f ca="1">IFERROR(AVERAGEIF(GS_Pleins!$H:$H,$B9,GS_Pleins[E85 station]),"")</f>
        <v>0.79800000000000004</v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1</v>
      </c>
    </row>
    <row r="10" spans="2:9" ht="21.95" customHeight="1" x14ac:dyDescent="0.25">
      <c r="B10" s="89" t="str">
        <f>IF(Notes!$D$7="","",Notes!$D$7)</f>
        <v>Total Waziers</v>
      </c>
      <c r="C10" s="90" t="str">
        <f ca="1">IFERROR(AVERAGEIF(GS_Pleins!$H:$H,$B10,GS_Pleins[E85 station]),"")</f>
        <v/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0</v>
      </c>
    </row>
    <row r="11" spans="2:9" ht="21.95" customHeight="1" x14ac:dyDescent="0.25">
      <c r="B11" s="88" t="str">
        <f>IF(Notes!$D$8="","",Notes!$D$8)</f>
        <v>ZONE DU MOULIN RUE ARTHUR LAMENDIN — Beuvry</v>
      </c>
      <c r="C11" s="90">
        <f ca="1">IFERROR(AVERAGEIF(GS_Pleins!$H:$H,$B11,GS_Pleins[E85 station]),"")</f>
        <v>0.79800000000000004</v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3</v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 t="str">
        <f>IF(Notes!$D9="","",COUNTIF(GS_Pleins!$H:$H,B12))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6" t="s">
        <v>323</v>
      </c>
      <c r="C19" s="107"/>
      <c r="D19" s="107"/>
      <c r="E19" s="107"/>
      <c r="F19" s="107"/>
      <c r="G19" s="107"/>
    </row>
    <row r="20" spans="2:9" ht="18" customHeight="1" x14ac:dyDescent="0.25">
      <c r="B20" s="106"/>
      <c r="C20" s="107"/>
      <c r="D20" s="107"/>
      <c r="E20" s="107"/>
      <c r="F20" s="107"/>
      <c r="G20" s="10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8"/>
  <sheetViews>
    <sheetView zoomScale="90" zoomScaleNormal="90" workbookViewId="0">
      <selection activeCell="D8" sqref="D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289</v>
      </c>
    </row>
    <row r="4" spans="2:4" x14ac:dyDescent="0.25">
      <c r="B4" s="82" t="s">
        <v>284</v>
      </c>
      <c r="D4" s="82" t="s">
        <v>312</v>
      </c>
    </row>
    <row r="5" spans="2:4" x14ac:dyDescent="0.25">
      <c r="B5" s="82" t="s">
        <v>81</v>
      </c>
      <c r="D5" s="82" t="s">
        <v>288</v>
      </c>
    </row>
    <row r="6" spans="2:4" x14ac:dyDescent="0.25">
      <c r="B6" s="82" t="s">
        <v>100</v>
      </c>
      <c r="D6" s="82" t="s">
        <v>313</v>
      </c>
    </row>
    <row r="7" spans="2:4" x14ac:dyDescent="0.25">
      <c r="D7" s="82" t="s">
        <v>287</v>
      </c>
    </row>
    <row r="8" spans="2:4" x14ac:dyDescent="0.25">
      <c r="D8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2026-05-24T14:57:34Z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