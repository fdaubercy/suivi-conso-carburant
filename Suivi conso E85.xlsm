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B6C4F884-49EC-446A-BEC7-B17AA4E2D11D}" xr6:coauthVersionLast="47" xr6:coauthVersionMax="47" xr10:uidLastSave="{00000000-0000-0000-0000-000000000000}"/>
  <bookViews>
    <workbookView xWindow="-120" yWindow="-120" windowWidth="24240" windowHeight="13020" firstSheet="1" activeTab="3" xr2:uid="{51658058-8315-A640-B733-1DFC39D6EEC8}"/>
  </bookViews>
  <sheets>
    <sheet name="Claude Log" sheetId="3" state="hidden" r:id="rId1"/>
    <sheet name="GS_Pleins" sheetId="8" r:id="rId2"/>
    <sheet name="_ImportGS" sheetId="9" state="veryHidden" r:id="rId3"/>
    <sheet name="Suivi Carburant" sheetId="2" r:id="rId4"/>
    <sheet name="Prix par Station" sheetId="7" r:id="rId5"/>
    <sheet name="Graphiques" sheetId="4" r:id="rId6"/>
    <sheet name="Notes" sheetId="6" r:id="rId7"/>
  </sheets>
  <externalReferences>
    <externalReference r:id="rId8"/>
  </externalReferences>
  <definedNames>
    <definedName name="DonnéesExternes_1" localSheetId="1" hidden="1">GS_Pleins!$A$1:$O$6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" l="1"/>
  <c r="B33" i="2"/>
  <c r="B28" i="2"/>
  <c r="B30" i="2"/>
  <c r="I7" i="7"/>
  <c r="I8" i="7"/>
  <c r="I9" i="7"/>
  <c r="I10" i="7"/>
  <c r="I11" i="7"/>
  <c r="I12" i="7"/>
  <c r="I13" i="7"/>
  <c r="I14" i="7"/>
  <c r="I15" i="7"/>
  <c r="I16" i="7"/>
  <c r="I6" i="7"/>
  <c r="C6" i="7"/>
  <c r="D7" i="7"/>
  <c r="E7" i="7"/>
  <c r="F7" i="7"/>
  <c r="G7" i="7"/>
  <c r="H7" i="7"/>
  <c r="D8" i="7"/>
  <c r="E8" i="7"/>
  <c r="F8" i="7"/>
  <c r="G8" i="7"/>
  <c r="H8" i="7"/>
  <c r="D9" i="7"/>
  <c r="E9" i="7"/>
  <c r="F9" i="7"/>
  <c r="G9" i="7"/>
  <c r="H9" i="7"/>
  <c r="D10" i="7"/>
  <c r="E10" i="7"/>
  <c r="F10" i="7"/>
  <c r="G10" i="7"/>
  <c r="H10" i="7"/>
  <c r="D11" i="7"/>
  <c r="E11" i="7"/>
  <c r="F11" i="7"/>
  <c r="G11" i="7"/>
  <c r="H11" i="7"/>
  <c r="D12" i="7"/>
  <c r="E12" i="7"/>
  <c r="F12" i="7"/>
  <c r="G12" i="7"/>
  <c r="H12" i="7"/>
  <c r="D13" i="7"/>
  <c r="E13" i="7"/>
  <c r="F13" i="7"/>
  <c r="G13" i="7"/>
  <c r="H13" i="7"/>
  <c r="D14" i="7"/>
  <c r="E14" i="7"/>
  <c r="F14" i="7"/>
  <c r="G14" i="7"/>
  <c r="H14" i="7"/>
  <c r="D15" i="7"/>
  <c r="E15" i="7"/>
  <c r="F15" i="7"/>
  <c r="G15" i="7"/>
  <c r="H15" i="7"/>
  <c r="D16" i="7"/>
  <c r="E16" i="7"/>
  <c r="F16" i="7"/>
  <c r="G16" i="7"/>
  <c r="H16" i="7"/>
  <c r="D6" i="7"/>
  <c r="E6" i="7"/>
  <c r="F6" i="7"/>
  <c r="G6" i="7"/>
  <c r="H6" i="7"/>
  <c r="C7" i="7"/>
  <c r="C8" i="7"/>
  <c r="C9" i="7"/>
  <c r="C10" i="7"/>
  <c r="C11" i="7"/>
  <c r="C12" i="7"/>
  <c r="C13" i="7"/>
  <c r="C14" i="7"/>
  <c r="C15" i="7"/>
  <c r="C16" i="7"/>
  <c r="D17" i="7"/>
  <c r="E17" i="7"/>
  <c r="F17" i="7"/>
  <c r="G17" i="7"/>
  <c r="H17" i="7"/>
  <c r="C17" i="7"/>
  <c r="E25" i="2" l="1"/>
  <c r="I25" i="2"/>
  <c r="H25" i="2" s="1"/>
  <c r="J25" i="2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B36" i="2" s="1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5" i="2" l="1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X7" i="4" l="1"/>
  <c r="Y7" i="4"/>
  <c r="L18" i="2"/>
  <c r="AC4" i="4"/>
  <c r="X6" i="4"/>
  <c r="Y6" i="4"/>
  <c r="L16" i="2"/>
  <c r="J28" i="2" s="1"/>
  <c r="AC2" i="4"/>
  <c r="Y9" i="4"/>
  <c r="X9" i="4"/>
  <c r="Y4" i="4"/>
  <c r="X4" i="4"/>
  <c r="H19" i="2"/>
  <c r="N19" i="2"/>
  <c r="M19" i="2"/>
  <c r="Y2" i="4"/>
  <c r="X2" i="4"/>
  <c r="M23" i="2"/>
  <c r="M20" i="2"/>
  <c r="M21" i="2"/>
  <c r="U13" i="4" l="1"/>
  <c r="T13" i="4"/>
  <c r="Y5" i="4"/>
  <c r="X5" i="4"/>
  <c r="N20" i="2"/>
  <c r="N21" i="2" s="1"/>
  <c r="N22" i="2" s="1"/>
  <c r="N23" i="2" s="1"/>
  <c r="N24" i="2" s="1"/>
  <c r="N25" i="2" s="1"/>
  <c r="J29" i="2"/>
  <c r="P28" i="4" l="1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O3" i="4"/>
  <c r="Q3" i="4" s="1"/>
  <c r="O17" i="4"/>
  <c r="Q17" i="4" s="1"/>
  <c r="O32" i="4"/>
  <c r="Q32" i="4" s="1"/>
  <c r="O16" i="4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Q19" i="4" s="1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22" i="4"/>
  <c r="Q11" i="4"/>
  <c r="Q5" i="4"/>
  <c r="Q16" i="4"/>
  <c r="Q18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<sst xmlns="http://schemas.openxmlformats.org/spreadsheetml/2006/main" count="446" uniqueCount="362">
  <si>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</si>
  <si>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</si>
  <si>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</si>
  <si>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</si>
  <si>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</si>
  <si>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</si>
  <si>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</si>
  <si>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</si>
  <si>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</si>
  <si>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</si>
  <si>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</si>
  <si>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</si>
  <si>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</si>
  <si>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</si>
  <si>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</si>
  <si>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</si>
  <si>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</si>
  <si>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</si>
  <si>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</si>
  <si>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</si>
  <si>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</si>
  <si>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</si>
  <si>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</si>
  <si>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</si>
  <si>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</si>
  <si>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</si>
  <si>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</si>
  <si>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</si>
  <si>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</si>
  <si>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</si>
  <si>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</si>
  <si>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</si>
  <si>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</si>
  <si>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</si>
  <si>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</si>
  <si>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</si>
  <si>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</si>
  <si>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</si>
  <si>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</si>
  <si>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</si>
  <si>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</si>
  <si>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</si>
  <si>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</si>
  <si>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</si>
  <si>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</si>
  <si>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</si>
  <si>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</si>
  <si>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</si>
  <si>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</si>
  <si>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</si>
  <si>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</si>
  <si>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</si>
  <si>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</si>
  <si>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</si>
  <si>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</si>
  <si>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</si>
  <si>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</si>
  <si>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</si>
  <si>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</si>
  <si>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</si>
  <si>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</si>
  <si>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</si>
  <si>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</si>
  <si>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</si>
  <si>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</si>
  <si>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</si>
  <si>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</si>
  <si>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</si>
  <si>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</si>
  <si>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</si>
  <si>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</si>
  <si>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</si>
  <si>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</si>
  <si>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</si>
  <si>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</si>
  <si>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</si>
  <si>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</si>
  <si>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</si>
  <si>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</si>
  <si>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</si>
  <si>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</si>
  <si>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</si>
  <si>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</si>
  <si>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</si>
  <si>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</si>
  <si>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</si>
  <si>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</si>
  <si>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</si>
  <si>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</si>
  <si>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</si>
  <si>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</si>
  <si>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</si>
  <si>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</si>
  <si>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</si>
  <si>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</si>
  <si>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</si>
  <si>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</si>
  <si>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</si>
  <si>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</si>
  <si>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</si>
  <si>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</si>
  <si>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</si>
  <si>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</si>
  <si>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</si>
  <si>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</si>
  <si>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</si>
  <si>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</si>
  <si>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</si>
  <si>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</si>
  <si>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</si>
  <si>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</si>
  <si>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</si>
  <si>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</si>
  <si>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</si>
  <si>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</si>
  <si>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</si>
  <si>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</si>
  <si>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</si>
  <si>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</si>
  <si>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</si>
  <si>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</si>
  <si>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</si>
  <si>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</si>
  <si>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</si>
  <si>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</si>
  <si>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</si>
  <si>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</si>
  <si>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</si>
  <si>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</si>
  <si>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</si>
  <si>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</si>
  <si>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</si>
  <si>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</si>
  <si>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</si>
  <si>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</si>
  <si>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</si>
  <si>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</si>
  <si>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</si>
  <si>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</si>
  <si>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</si>
  <si>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</si>
  <si>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</si>
  <si>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</si>
  <si>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</si>
  <si>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</si>
  <si>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</si>
  <si>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</si>
  <si>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</si>
  <si>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</si>
  <si>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</si>
  <si>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</si>
  <si>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</si>
  <si>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</si>
  <si>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</si>
  <si>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</si>
  <si>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</si>
  <si>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</si>
  <si>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</si>
  <si>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</si>
  <si>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</si>
  <si>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</si>
  <si>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</si>
  <si>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</si>
  <si>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</si>
  <si>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</si>
  <si>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</si>
  <si>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</si>
  <si>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</si>
  <si>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</si>
  <si>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</si>
  <si>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</si>
  <si>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</si>
  <si>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</si>
  <si>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</si>
  <si>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</si>
  <si>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</si>
  <si>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</si>
  <si>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</si>
  <si>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</si>
  <si>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</si>
  <si>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</si>
  <si>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</si>
  <si>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</si>
  <si>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</si>
  <si>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</si>
  <si>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</si>
  <si>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</si>
  <si>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</si>
  <si>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</si>
  <si>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</si>
  <si>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</si>
  <si>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</si>
  <si>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</si>
  <si>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</si>
  <si>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</si>
  <si>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</si>
  <si>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</si>
  <si>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</si>
  <si>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</si>
  <si>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</si>
  <si>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</si>
  <si>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</si>
  <si>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</si>
  <si>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</si>
  <si>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</si>
  <si>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</si>
  <si>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</si>
  <si>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</si>
  <si>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</si>
  <si>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</si>
  <si>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</si>
  <si>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</si>
  <si>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</si>
  <si>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</si>
  <si>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</si>
  <si>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</si>
  <si>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</si>
  <si>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</si>
  <si>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</si>
  <si>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</si>
  <si>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</si>
  <si>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</si>
  <si>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</si>
  <si>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</si>
  <si>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</si>
  <si>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</si>
  <si>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</si>
  <si>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</si>
  <si>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</si>
  <si>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</si>
  <si>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</si>
  <si>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</si>
  <si>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</si>
  <si>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</si>
  <si>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</si>
  <si>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</si>
  <si>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</si>
  <si>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</si>
  <si>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</si>
  <si>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</si>
  <si>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</si>
  <si>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</si>
  <si>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</si>
  <si>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</si>
  <si>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</si>
  <si>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</si>
  <si>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</si>
  <si>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</si>
  <si>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</si>
  <si>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</si>
  <si>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</si>
  <si>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</si>
  <si>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</si>
  <si>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</si>
  <si>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</si>
  <si>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</si>
  <si>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</si>
  <si>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</si>
  <si>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</si>
  <si>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</si>
  <si>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</si>
  <si>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</si>
  <si>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</si>
  <si>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</si>
  <si>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</si>
  <si>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</si>
  <si>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</si>
  <si>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</si>
  <si>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</si>
  <si>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</si>
  <si>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</si>
  <si>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</si>
  <si>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</si>
  <si>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</si>
  <si>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</si>
  <si>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</si>
  <si>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</si>
  <si>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</si>
  <si>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</si>
  <si>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</si>
  <si>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</si>
  <si>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</si>
  <si>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</si>
  <si>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</si>
  <si>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</si>
  <si>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</si>
  <si>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</si>
  <si>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</si>
  <si>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</si>
  <si>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</si>
  <si>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</si>
  <si>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</si>
  <si>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</si>
  <si>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</si>
  <si>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</si>
  <si>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</si>
  <si>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</si>
  <si>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</si>
  <si>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</si>
  <si>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</si>
  <si>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</si>
  <si>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</si>
  <si>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</si>
  <si>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</si>
  <si>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</si>
  <si>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</si>
  <si>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</si>
  <si>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</si>
  <si>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</si>
  <si>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</si>
  <si>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</si>
  <si>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22/05/2026</t>
  </si>
  <si>
    <t>Intermarché</t>
  </si>
  <si>
    <t>Total Access</t>
  </si>
  <si>
    <t>ZONE DU MOULIN RUE ARTHUR LAMENDIN — Beuvry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</si>
  <si>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</si>
  <si>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</si>
  <si>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</si>
  <si>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</si>
  <si>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</si>
  <si>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</si>
  <si>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</si>
  <si>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</si>
  <si>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</si>
  <si>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</si>
  <si>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</si>
  <si>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</si>
  <si>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PrixS98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</si>
  <si>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</si>
  <si>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</si>
  <si>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</si>
  <si>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</si>
  <si>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</si>
  <si>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</si>
  <si>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</si>
  <si>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5/22/2026 6:01:55</t>
  </si>
  <si>
    <t>Z900</t>
  </si>
  <si>
    <t>5/22/2026 6:16:49</t>
  </si>
  <si>
    <t>5/22/2026 19:21:13</t>
  </si>
  <si>
    <t>5/22/2026 19:41:05</t>
  </si>
  <si>
    <t>5/22/2026 20:06:21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</si>
  <si>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</si>
  <si>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</si>
  <si>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</si>
  <si>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</si>
  <si>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</si>
  <si>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</si>
  <si>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</si>
  <si>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</si>
  <si>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Gazole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</si>
  <si>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</si>
  <si>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</si>
  <si>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</si>
  <si>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</si>
  <si>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</si>
  <si>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</si>
  <si>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</si>
  <si>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</si>
  <si>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</si>
  <si>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</si>
  <si>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</si>
  <si>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Colonne11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</si>
</sst>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</numFmts>
  <fonts count="25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0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11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  <xf numFmtId="22" fontId="0" fillId="0" borderId="0" xfId="0" applyNumberFormat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5">
    <dxf>
      <font>
        <color rgb="FF9C5700"/>
      </font>
      <fill>
        <patternFill patternType="solid">
          <fgColor indexed="64"/>
          <bgColor rgb="FFFFE699"/>
        </patternFill>
      </fill>
    </dxf>
    <dxf>
      <numFmt numFmtId="27" formatCode="dd/mm/yyyy\ hh:mm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6">
    <queryTableFields count="15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7" name="PrixS98" tableColumnId="7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O6" tableType="queryTable" totalsRowShown="0" headerRowDxfId="44" dataDxfId="43">
  <autoFilter ref="A1:O6" xr:uid="{74CBBEF5-DAC6-4FFF-B9BF-F912C02B05A8}"/>
  <tableColumns count="15">
    <tableColumn id="1" xr3:uid="{D1245828-BB9F-457F-9D89-03E146E97A20}" uniqueName="1" name="Horodatage" queryTableFieldId="1" dataDxfId="42"/>
    <tableColumn id="2" xr3:uid="{6AFDA1AD-8B7E-4056-B820-4B105507BC22}" uniqueName="2" name="Date" queryTableFieldId="2" dataDxfId="41"/>
    <tableColumn id="3" xr3:uid="{0E3159AD-DEC3-4CB0-8263-673EE4364DE4}" uniqueName="3" name="Type" queryTableFieldId="3" dataDxfId="40"/>
    <tableColumn id="4" xr3:uid="{9CA1100B-4402-4A99-881C-A70EA8E0EBA0}" uniqueName="4" name="Km" queryTableFieldId="4" dataDxfId="39"/>
    <tableColumn id="5" xr3:uid="{3DC79D37-A57D-45A6-B68B-28F91AE90D1B}" uniqueName="5" name="Litres" queryTableFieldId="5" dataDxfId="38"/>
    <tableColumn id="6" xr3:uid="{E20F9B47-933F-4695-AC5B-7BFCB43AA70B}" uniqueName="6" name="PrixL" queryTableFieldId="6" dataDxfId="37"/>
    <tableColumn id="7" xr3:uid="{55FB565F-6DB2-4A5B-A401-A402FE60DCE5}" uniqueName="7" name="PrixS98" queryTableFieldId="7" dataDxfId="36"/>
    <tableColumn id="8" xr3:uid="{1810D7F1-75C0-4692-B633-9344880F4391}" uniqueName="8" name="Station essence" queryTableFieldId="8" dataDxfId="35"/>
    <tableColumn id="9" xr3:uid="{B958E2B1-5DEB-4CEF-B30E-3537BD55A8E8}" uniqueName="9" name="Vehicule" queryTableFieldId="9" dataDxfId="34"/>
    <tableColumn id="10" xr3:uid="{7955E5A1-C834-43AD-B7C1-739EA1C9FB0B}" uniqueName="10" name="E85 station" queryTableFieldId="10" dataDxfId="33"/>
    <tableColumn id="11" xr3:uid="{168A26EB-A626-4924-B067-7D0EE30B248F}" uniqueName="11" name="SP98 station" queryTableFieldId="11" dataDxfId="32"/>
    <tableColumn id="12" xr3:uid="{18AADF40-972E-454B-9FD3-FD2D10CCF4B9}" uniqueName="12" name="SP95 station" queryTableFieldId="12" dataDxfId="31"/>
    <tableColumn id="13" xr3:uid="{A1195D38-1809-462B-9D20-AE18F43CBC4B}" uniqueName="13" name="E10 station" queryTableFieldId="13" dataDxfId="30"/>
    <tableColumn id="14" xr3:uid="{9F059A0B-5171-4FB9-8BF4-0CBD57021E52}" uniqueName="14" name="Gazole station" queryTableFieldId="14" dataDxfId="29"/>
    <tableColumn id="15" xr3:uid="{BE30AC6F-80E2-4B6C-B72A-506C9FC60853}" uniqueName="15" name="GPLc station" queryTableFieldId="15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82D5B0B-EC70-4FF9-B457-CED34F047F5E}" name="DonneesExternes_1" displayName="DonneesExternes_1" ref="A1:Z8" totalsRowShown="0">
  <autoFilter ref="A1:Z8" xr:uid="{A82D5B0B-EC70-4FF9-B457-CED34F047F5E}"/>
  <tableColumns count="26">
    <tableColumn id="1" xr3:uid="{6B5BD51F-4718-4EDD-8CFD-7F4B1AC954EA}" name="Horodatage" dataDxfId="1"/>
    <tableColumn id="2" xr3:uid="{D389D803-5756-48E0-81D8-BF12C4EB3E31}" name="Date"/>
    <tableColumn id="3" xr3:uid="{A88CCB31-598D-46BA-AD35-B9F81B5030D4}" name="Type"/>
    <tableColumn id="4" xr3:uid="{50CF83C9-FC32-4274-9A46-3553401BF014}" name="Km compteur"/>
    <tableColumn id="5" xr3:uid="{EF63C828-6DF2-4018-8ACA-583AC3B0FBB8}" name="Nb. Litres"/>
    <tableColumn id="6" xr3:uid="{334DADF4-624F-445D-9060-FDEC2368092A}" name="Prix €/L"/>
    <tableColumn id="7" xr3:uid="{86217F3E-78AA-419F-AA65-D236447B18B1}" name="Prix S98 jour (€/L)"/>
    <tableColumn id="8" xr3:uid="{82FD238B-3C67-4041-837A-07C34C12CB1B}" name="Station essence"/>
    <tableColumn id="9" xr3:uid="{3C0CCACD-CA64-4958-82F7-17A9A2996E74}" name="Véhicule"/>
    <tableColumn id="10" xr3:uid="{F4AD8D04-263E-49BD-AE67-5CB163E5816B}" name="E85 station (€/L)"/>
    <tableColumn id="11" xr3:uid="{35D52D23-A3E5-4EDA-AE63-842CC9182784}" name="SP98 station (€/L)"/>
    <tableColumn id="12" xr3:uid="{8A022029-FC9F-4A19-B4E6-54A9F87CBD38}" name="SP95 station (€/L)"/>
    <tableColumn id="13" xr3:uid="{E737FE56-A69E-47A8-BFA3-43679AE12F34}" name="E10 station (€/L)"/>
    <tableColumn id="14" xr3:uid="{BBF60D59-5D80-40B0-94F6-A22FE69AB462}" name="Gazole station (€/L)"/>
    <tableColumn id="15" xr3:uid="{998267B5-E6D2-4BCA-8B88-019B2111160E}" name="GPLc station (€/L)"/>
    <tableColumn id="16" xr3:uid="{F603398C-4D01-4EDC-8AAD-C918F17700DB}" name="Colonne1"/>
    <tableColumn id="17" xr3:uid="{2D422C14-6431-4710-8EF0-3B3818F32618}" name="Colonne2"/>
    <tableColumn id="18" xr3:uid="{DD1425F1-D6B9-4F91-BF01-55B45D2178EB}" name="Colonne3"/>
    <tableColumn id="19" xr3:uid="{3EA6125F-C6C8-4B07-B836-FCAB17C6A128}" name="Colonne4"/>
    <tableColumn id="20" xr3:uid="{91EF03C4-9649-48E2-8AC2-98BE8EB10B4B}" name="Colonne5"/>
    <tableColumn id="21" xr3:uid="{60D48CAC-78B6-49F3-A8AD-B5550AF648B8}" name="Colonne6"/>
    <tableColumn id="22" xr3:uid="{E4509540-6BE1-478C-8296-8D2C8499E65B}" name="Colonne7"/>
    <tableColumn id="23" xr3:uid="{1EC118BA-E633-49CA-8614-153508B117DB}" name="Colonne8"/>
    <tableColumn id="24" xr3:uid="{5234A0F6-7EDB-4331-8F3A-5CC7EB4524CA}" name="Colonne9"/>
    <tableColumn id="25" xr3:uid="{42D37784-71DE-45BE-AA4B-DFDEB58BEDEA}" name="Colonne10"/>
    <tableColumn id="26" xr3:uid="{900FCBC2-B350-46CA-B616-858B549C6D80}" name="Colonne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27" dataDxfId="25" headerRowBorderDxfId="26" tableBorderDxfId="24" totalsRowBorderDxfId="23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2">
      <calculatedColumnFormula>IF(B16="","",A15+1)</calculatedColumnFormula>
    </tableColumn>
    <tableColumn id="2" xr3:uid="{D9E9EBFF-BC9D-4E59-9822-91D7DEC1E7CE}" name="Date" dataDxfId="21"/>
    <tableColumn id="11" xr3:uid="{A77486BA-32D8-4661-BA23-1144AE2FD0EC}" name="Type" dataDxfId="20"/>
    <tableColumn id="3" xr3:uid="{6C87F133-7224-4AAB-ACB2-666E8B7315B5}" name="Km compteur" dataDxfId="19"/>
    <tableColumn id="15" xr3:uid="{E9E70181-907F-4D1A-BD9D-156B992A2880}" name="Nb. km" dataDxfId="18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17"/>
    <tableColumn id="5" xr3:uid="{A61BA34E-E60B-4F70-A1D9-62090C37C449}" name="Prix €/L" dataDxfId="16"/>
    <tableColumn id="13" xr3:uid="{C796B9E8-7AC6-4345-B44F-194876D2515D}" name="Coût c€/km" dataDxfId="15">
      <calculatedColumnFormula>IF(OR(D16="",D15="",I16="",ISTEXT(D15)),"",F16/(D16-D15)*100)</calculatedColumnFormula>
    </tableColumn>
    <tableColumn id="6" xr3:uid="{7A10B093-08A0-4955-A678-47B342940366}" name="Coût Plein (€)" dataDxfId="14">
      <calculatedColumnFormula>IF(F16="","",F16*G16)</calculatedColumnFormula>
    </tableColumn>
    <tableColumn id="7" xr3:uid="{0D4F331E-E5DE-4D78-8EE4-6B964BF0DB88}" name="Conso. (L/100km)" dataDxfId="13">
      <calculatedColumnFormula>IF(OR(D16="",D15="",F16="",ISTEXT(D15)),"",F16/(D16-D15)*100)</calculatedColumnFormula>
    </tableColumn>
    <tableColumn id="8" xr3:uid="{8C4BCB7E-42BC-494E-A304-19A9848326C2}" name="Prix S98 jour (€/L)" dataDxfId="12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1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0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9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7" dataDxfId="6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4" totalsRowShown="0" headerRowDxfId="4" dataDxfId="3">
  <autoFilter ref="D2:D24" xr:uid="{25AB3DD4-00E3-4CC0-B281-01FA80424A7F}"/>
  <sortState xmlns:xlrd2="http://schemas.microsoft.com/office/spreadsheetml/2017/richdata2" ref="D3:D10">
    <sortCondition ref="D2:D24"/>
  </sortState>
  <tableColumns count="1">
    <tableColumn id="1" xr3:uid="{15E89797-5AED-42ED-A3B9-120C7515903D}" name="Station essence utilisé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O6"/>
  <sheetViews>
    <sheetView zoomScale="70" zoomScaleNormal="70" workbookViewId="0">
      <selection sqref="A1:O6"/>
    </sheetView>
  </sheetViews>
  <sheetFormatPr baseColWidth="10" defaultRowHeight="15.75" x14ac:dyDescent="0.25"/>
  <cols>
    <col min="1" max="1" width="18.125" style="101" bestFit="1" customWidth="1"/>
    <col min="2" max="2" width="11.25" style="101" bestFit="1" customWidth="1"/>
    <col min="3" max="3" width="15.875" style="101" bestFit="1" customWidth="1"/>
    <col min="4" max="4" width="9.625" style="101" customWidth="1"/>
    <col min="5" max="5" width="11.5" style="101" bestFit="1" customWidth="1"/>
    <col min="6" max="6" width="11" style="101" bestFit="1" customWidth="1"/>
    <col min="7" max="7" width="13.125" style="101" bestFit="1" customWidth="1"/>
    <col min="8" max="8" width="45.5" style="101" bestFit="1" customWidth="1"/>
    <col min="9" max="9" width="14.375" style="101" bestFit="1" customWidth="1"/>
    <col min="10" max="10" width="16" style="101" bestFit="1" customWidth="1"/>
    <col min="11" max="12" width="17.125" style="101" bestFit="1" customWidth="1"/>
    <col min="13" max="13" width="16" style="101" bestFit="1" customWidth="1"/>
    <col min="14" max="14" width="18.5" style="101" bestFit="1" customWidth="1"/>
    <col min="15" max="15" width="17.125" style="101" bestFit="1" customWidth="1"/>
    <col min="16" max="16384" width="11" style="101"/>
  </cols>
  <sheetData>
    <row r="1" spans="1:15" x14ac:dyDescent="0.25">
      <c r="A1" s="82" t="s">
        <v>310</v>
      </c>
      <c r="B1" s="82" t="s">
        <v>1</v>
      </c>
      <c r="C1" s="82" t="s">
        <v>55</v>
      </c>
      <c r="D1" s="82" t="s">
        <v>324</v>
      </c>
      <c r="E1" s="82" t="s">
        <v>325</v>
      </c>
      <c r="F1" s="82" t="s">
        <v>326</v>
      </c>
      <c r="G1" s="82" t="s">
        <v>327</v>
      </c>
      <c r="H1" s="82" t="s">
        <v>282</v>
      </c>
      <c r="I1" s="82" t="s">
        <v>328</v>
      </c>
      <c r="J1" s="82" t="s">
        <v>329</v>
      </c>
      <c r="K1" s="82" t="s">
        <v>330</v>
      </c>
      <c r="L1" s="82" t="s">
        <v>331</v>
      </c>
      <c r="M1" s="82" t="s">
        <v>332</v>
      </c>
      <c r="N1" s="82" t="s">
        <v>333</v>
      </c>
      <c r="O1" s="82" t="s">
        <v>334</v>
      </c>
    </row>
    <row r="2" spans="1:15" x14ac:dyDescent="0.25">
      <c r="A2" s="100" t="s">
        <v>335</v>
      </c>
      <c r="B2" s="82" t="s">
        <v>311</v>
      </c>
      <c r="C2" s="82" t="s">
        <v>100</v>
      </c>
      <c r="D2" s="102">
        <v>15000</v>
      </c>
      <c r="E2" s="102">
        <v>22</v>
      </c>
      <c r="F2" s="102">
        <v>0.6</v>
      </c>
      <c r="G2" s="102"/>
      <c r="H2" s="82" t="s">
        <v>312</v>
      </c>
      <c r="I2" s="82" t="s">
        <v>336</v>
      </c>
      <c r="J2" s="102">
        <v>0.6</v>
      </c>
      <c r="K2" s="102"/>
      <c r="L2" s="102"/>
      <c r="M2" s="102"/>
      <c r="N2" s="102"/>
      <c r="O2" s="102"/>
    </row>
    <row r="3" spans="1:15" x14ac:dyDescent="0.25">
      <c r="A3" s="100" t="s">
        <v>337</v>
      </c>
      <c r="B3" s="82" t="s">
        <v>311</v>
      </c>
      <c r="C3" s="82" t="s">
        <v>100</v>
      </c>
      <c r="D3" s="102">
        <v>15000</v>
      </c>
      <c r="E3" s="102">
        <v>15</v>
      </c>
      <c r="F3" s="102">
        <v>0.6</v>
      </c>
      <c r="G3" s="102">
        <v>2.0910000000000002</v>
      </c>
      <c r="H3" s="82" t="s">
        <v>313</v>
      </c>
      <c r="I3" s="82" t="s">
        <v>336</v>
      </c>
      <c r="J3" s="102">
        <v>0.6</v>
      </c>
      <c r="K3" s="102"/>
      <c r="L3" s="102"/>
      <c r="M3" s="102"/>
      <c r="N3" s="102"/>
      <c r="O3" s="102"/>
    </row>
    <row r="4" spans="1:15" x14ac:dyDescent="0.25">
      <c r="A4" s="100" t="s">
        <v>338</v>
      </c>
      <c r="B4" s="82" t="s">
        <v>311</v>
      </c>
      <c r="C4" s="82" t="s">
        <v>100</v>
      </c>
      <c r="D4" s="102">
        <v>11831</v>
      </c>
      <c r="E4" s="102">
        <v>15</v>
      </c>
      <c r="F4" s="102">
        <v>0.79800000000000004</v>
      </c>
      <c r="G4" s="102">
        <v>2.117</v>
      </c>
      <c r="H4" s="82" t="s">
        <v>314</v>
      </c>
      <c r="I4" s="82" t="s">
        <v>336</v>
      </c>
      <c r="J4" s="102">
        <v>0.79800000000000004</v>
      </c>
      <c r="K4" s="102"/>
      <c r="L4" s="102"/>
      <c r="M4" s="102"/>
      <c r="N4" s="102"/>
      <c r="O4" s="102"/>
    </row>
    <row r="5" spans="1:15" x14ac:dyDescent="0.25">
      <c r="A5" s="100" t="s">
        <v>339</v>
      </c>
      <c r="B5" s="82" t="s">
        <v>311</v>
      </c>
      <c r="C5" s="82" t="s">
        <v>100</v>
      </c>
      <c r="D5" s="102">
        <v>11831</v>
      </c>
      <c r="E5" s="102">
        <v>16.25</v>
      </c>
      <c r="F5" s="102">
        <v>0.79800000000000004</v>
      </c>
      <c r="G5" s="102">
        <v>2.117</v>
      </c>
      <c r="H5" s="82" t="s">
        <v>314</v>
      </c>
      <c r="I5" s="82" t="s">
        <v>336</v>
      </c>
      <c r="J5" s="102">
        <v>0.79800000000000004</v>
      </c>
      <c r="K5" s="102"/>
      <c r="L5" s="102"/>
      <c r="M5" s="102"/>
      <c r="N5" s="102"/>
      <c r="O5" s="102"/>
    </row>
    <row r="6" spans="1:15" x14ac:dyDescent="0.25">
      <c r="A6" s="100" t="s">
        <v>340</v>
      </c>
      <c r="B6" s="82" t="s">
        <v>311</v>
      </c>
      <c r="C6" s="82" t="s">
        <v>100</v>
      </c>
      <c r="D6" s="102">
        <v>11831</v>
      </c>
      <c r="E6" s="102">
        <v>16.25</v>
      </c>
      <c r="F6" s="102">
        <v>0.79800000000000004</v>
      </c>
      <c r="G6" s="102">
        <v>2.117</v>
      </c>
      <c r="H6" s="82" t="s">
        <v>314</v>
      </c>
      <c r="I6" s="82" t="s">
        <v>336</v>
      </c>
      <c r="J6" s="102">
        <v>0.79800000000000004</v>
      </c>
      <c r="K6" s="102"/>
      <c r="L6" s="102"/>
      <c r="M6" s="102"/>
      <c r="N6" s="102"/>
      <c r="O6" s="10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Z8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10" max="10" width="16.75" customWidth="1"/>
    <col min="11" max="12" width="17.875" customWidth="1"/>
    <col min="13" max="13" width="16.75" customWidth="1"/>
    <col min="14" max="14" width="19.375" customWidth="1"/>
    <col min="15" max="15" width="17.875" customWidth="1"/>
    <col min="25" max="26" width="11.75" customWidth="1"/>
  </cols>
  <sheetData>
    <row r="1" spans="1:26" x14ac:dyDescent="0.25">
      <c r="A1" t="s">
        <v>310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135</v>
      </c>
      <c r="H1" t="s">
        <v>282</v>
      </c>
      <c r="I1" t="s">
        <v>342</v>
      </c>
      <c r="J1" t="s">
        <v>343</v>
      </c>
      <c r="K1" t="s">
        <v>344</v>
      </c>
      <c r="L1" t="s">
        <v>345</v>
      </c>
      <c r="M1" t="s">
        <v>346</v>
      </c>
      <c r="N1" t="s">
        <v>347</v>
      </c>
      <c r="O1" t="s">
        <v>348</v>
      </c>
      <c r="P1" t="s">
        <v>351</v>
      </c>
      <c r="Q1" t="s">
        <v>352</v>
      </c>
      <c r="R1" t="s">
        <v>353</v>
      </c>
      <c r="S1" t="s">
        <v>354</v>
      </c>
      <c r="T1" t="s">
        <v>355</v>
      </c>
      <c r="U1" t="s">
        <v>356</v>
      </c>
      <c r="V1" t="s">
        <v>357</v>
      </c>
      <c r="W1" t="s">
        <v>358</v>
      </c>
      <c r="X1" t="s">
        <v>359</v>
      </c>
      <c r="Y1" t="s">
        <v>360</v>
      </c>
      <c r="Z1" t="s">
        <v>361</v>
      </c>
    </row>
    <row r="2" spans="1:26" x14ac:dyDescent="0.25">
      <c r="A2" s="110">
        <v>46164.251331018517</v>
      </c>
      <c r="B2" t="s">
        <v>311</v>
      </c>
      <c r="C2" t="s">
        <v>100</v>
      </c>
      <c r="D2">
        <v>15000</v>
      </c>
      <c r="E2">
        <v>22</v>
      </c>
      <c r="F2">
        <v>0.6</v>
      </c>
      <c r="H2" t="s">
        <v>312</v>
      </c>
      <c r="I2" t="s">
        <v>336</v>
      </c>
    </row>
    <row r="3" spans="1:26" x14ac:dyDescent="0.25">
      <c r="A3" s="110">
        <v>46164.261678240742</v>
      </c>
      <c r="B3" t="s">
        <v>311</v>
      </c>
      <c r="C3" t="s">
        <v>100</v>
      </c>
      <c r="D3">
        <v>15000</v>
      </c>
      <c r="E3">
        <v>15</v>
      </c>
      <c r="F3">
        <v>0.6</v>
      </c>
      <c r="G3">
        <v>2.0910000000000002</v>
      </c>
      <c r="H3" t="s">
        <v>313</v>
      </c>
      <c r="I3" t="s">
        <v>336</v>
      </c>
    </row>
    <row r="4" spans="1:26" x14ac:dyDescent="0.25">
      <c r="A4" s="110">
        <v>46164.806400462963</v>
      </c>
      <c r="B4" t="s">
        <v>311</v>
      </c>
      <c r="C4" t="s">
        <v>100</v>
      </c>
      <c r="D4">
        <v>11831</v>
      </c>
      <c r="E4">
        <v>15</v>
      </c>
      <c r="F4">
        <v>0.79800000000000004</v>
      </c>
      <c r="G4">
        <v>2.117</v>
      </c>
      <c r="H4" t="s">
        <v>314</v>
      </c>
      <c r="I4" t="s">
        <v>336</v>
      </c>
    </row>
    <row r="5" spans="1:26" x14ac:dyDescent="0.25">
      <c r="A5" s="110">
        <v>46164.820196759261</v>
      </c>
      <c r="B5" t="s">
        <v>311</v>
      </c>
      <c r="C5" t="s">
        <v>100</v>
      </c>
      <c r="D5">
        <v>11831</v>
      </c>
      <c r="E5">
        <v>16.25</v>
      </c>
      <c r="F5">
        <v>0.79800000000000004</v>
      </c>
      <c r="G5">
        <v>2.117</v>
      </c>
      <c r="H5" t="s">
        <v>314</v>
      </c>
      <c r="I5" t="s">
        <v>336</v>
      </c>
    </row>
    <row r="6" spans="1:26" x14ac:dyDescent="0.25">
      <c r="A6" s="110">
        <v>46164.837743055556</v>
      </c>
      <c r="B6" t="s">
        <v>311</v>
      </c>
      <c r="C6" t="s">
        <v>100</v>
      </c>
      <c r="D6">
        <v>11831</v>
      </c>
      <c r="E6">
        <v>16.25</v>
      </c>
      <c r="F6">
        <v>0.79800000000000004</v>
      </c>
      <c r="G6">
        <v>2.117</v>
      </c>
      <c r="H6" t="s">
        <v>314</v>
      </c>
      <c r="I6" t="s">
        <v>336</v>
      </c>
    </row>
    <row r="7" spans="1:26" x14ac:dyDescent="0.25">
      <c r="A7" s="110">
        <v>46166.760520833333</v>
      </c>
      <c r="B7" s="110">
        <v>46166.083333333336</v>
      </c>
      <c r="C7" t="s">
        <v>349</v>
      </c>
      <c r="D7">
        <v>16000</v>
      </c>
      <c r="E7">
        <v>16.100000000000001</v>
      </c>
      <c r="F7">
        <v>2.1739999999999999</v>
      </c>
      <c r="H7" t="s">
        <v>350</v>
      </c>
      <c r="I7" t="s">
        <v>336</v>
      </c>
      <c r="K7">
        <v>2.1989999999999998</v>
      </c>
      <c r="L7">
        <v>2.12</v>
      </c>
      <c r="N7">
        <v>2.1739999999999999</v>
      </c>
    </row>
    <row r="8" spans="1:26" x14ac:dyDescent="0.25">
      <c r="A8" s="110">
        <v>46166.761157407411</v>
      </c>
      <c r="B8" s="110">
        <v>46166.083333333336</v>
      </c>
      <c r="C8" t="s">
        <v>349</v>
      </c>
      <c r="D8">
        <v>16000</v>
      </c>
      <c r="E8">
        <v>16.100000000000001</v>
      </c>
      <c r="F8">
        <v>2.1739999999999999</v>
      </c>
      <c r="H8" t="s">
        <v>350</v>
      </c>
      <c r="I8" t="s">
        <v>336</v>
      </c>
      <c r="K8">
        <v>2.1989999999999998</v>
      </c>
      <c r="L8">
        <v>2.12</v>
      </c>
      <c r="N8">
        <v>2.1739999999999999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N40" sqref="N40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4" t="s">
        <v>72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Z1" s="78"/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3" t="s">
        <v>107</v>
      </c>
      <c r="H10" s="103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289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289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288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314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314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314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314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314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314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314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0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5" t="s">
        <v>315</v>
      </c>
      <c r="C2" s="106"/>
      <c r="D2" s="106"/>
      <c r="E2" s="106"/>
      <c r="F2" s="106"/>
      <c r="G2" s="106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7" t="s">
        <v>341</v>
      </c>
      <c r="C4" s="106"/>
      <c r="D4" s="106"/>
      <c r="E4" s="106"/>
      <c r="F4" s="106"/>
      <c r="G4" s="106"/>
    </row>
    <row r="5" spans="2:9" ht="32.1" customHeight="1" x14ac:dyDescent="0.25">
      <c r="B5" s="86" t="s">
        <v>290</v>
      </c>
      <c r="C5" s="87" t="s">
        <v>316</v>
      </c>
      <c r="D5" s="87" t="s">
        <v>317</v>
      </c>
      <c r="E5" s="87" t="s">
        <v>318</v>
      </c>
      <c r="F5" s="87" t="s">
        <v>319</v>
      </c>
      <c r="G5" s="87" t="s">
        <v>320</v>
      </c>
      <c r="H5" s="87" t="s">
        <v>321</v>
      </c>
      <c r="I5" s="86" t="s">
        <v>322</v>
      </c>
    </row>
    <row r="6" spans="2:9" ht="21.95" customHeight="1" x14ac:dyDescent="0.25">
      <c r="B6" s="89" t="str">
        <f>IF(Notes!$D$3="","",Notes!$D$3)</f>
        <v>Carrefour Flers</v>
      </c>
      <c r="C6" s="90" t="str">
        <f ca="1">IFERROR(AVERAGEIF(GS_Pleins!$H:$H,$B6,GS_Pleins[E85 station]),"")</f>
        <v/>
      </c>
      <c r="D6" s="90" t="str">
        <f ca="1">IFERROR(AVERAGEIF(GS_Pleins!$H:$H,$B6,GS_Pleins[SP98 station]),"")</f>
        <v/>
      </c>
      <c r="E6" s="90" t="str">
        <f ca="1">IFERROR(AVERAGEIF(GS_Pleins!$H:$H,$B6,GS_Pleins[SP95 station]),"")</f>
        <v/>
      </c>
      <c r="F6" s="90" t="str">
        <f ca="1">IFERROR(AVERAGEIF(GS_Pleins!$H:$H,$B6,GS_Pleins[E10 station]),"")</f>
        <v/>
      </c>
      <c r="G6" s="90" t="str">
        <f ca="1">IFERROR(AVERAGEIF(GS_Pleins!$H:$H,$B6,GS_Pleins[Gazole station]),"")</f>
        <v/>
      </c>
      <c r="H6" s="90" t="str">
        <f ca="1">IFERROR(AVERAGEIF(GS_Pleins!$H:$H,$B6,GS_Pleins[GPLc station]),"")</f>
        <v/>
      </c>
      <c r="I6" s="91">
        <f>IF(Notes!$D3="","",COUNTIF(GS_Pleins!$H:$H,B6))</f>
        <v>0</v>
      </c>
    </row>
    <row r="7" spans="2:9" ht="21.95" customHeight="1" x14ac:dyDescent="0.25">
      <c r="B7" s="88" t="str">
        <f>IF(Notes!$D$4="","",Notes!$D$4)</f>
        <v>Intermarché</v>
      </c>
      <c r="C7" s="90">
        <f ca="1">IFERROR(AVERAGEIF(GS_Pleins!$H:$H,$B7,GS_Pleins[E85 station]),"")</f>
        <v>0.6</v>
      </c>
      <c r="D7" s="90" t="str">
        <f ca="1">IFERROR(AVERAGEIF(GS_Pleins!$H:$H,$B7,GS_Pleins[SP98 station]),"")</f>
        <v/>
      </c>
      <c r="E7" s="90" t="str">
        <f ca="1">IFERROR(AVERAGEIF(GS_Pleins!$H:$H,$B7,GS_Pleins[SP95 station]),"")</f>
        <v/>
      </c>
      <c r="F7" s="90" t="str">
        <f ca="1">IFERROR(AVERAGEIF(GS_Pleins!$H:$H,$B7,GS_Pleins[E10 station]),"")</f>
        <v/>
      </c>
      <c r="G7" s="90" t="str">
        <f ca="1">IFERROR(AVERAGEIF(GS_Pleins!$H:$H,$B7,GS_Pleins[Gazole station]),"")</f>
        <v/>
      </c>
      <c r="H7" s="90" t="str">
        <f ca="1">IFERROR(AVERAGEIF(GS_Pleins!$H:$H,$B7,GS_Pleins[GPLc station]),"")</f>
        <v/>
      </c>
      <c r="I7" s="91">
        <f>IF(Notes!$D4="","",COUNTIF(GS_Pleins!$H:$H,B7))</f>
        <v>1</v>
      </c>
    </row>
    <row r="8" spans="2:9" ht="21.95" customHeight="1" x14ac:dyDescent="0.25">
      <c r="B8" s="89" t="str">
        <f>IF(Notes!$D$5="","",Notes!$D$5)</f>
        <v>Leclerc Douai</v>
      </c>
      <c r="C8" s="90" t="str">
        <f ca="1">IFERROR(AVERAGEIF(GS_Pleins!$H:$H,$B8,GS_Pleins[E85 station]),"")</f>
        <v/>
      </c>
      <c r="D8" s="90" t="str">
        <f ca="1">IFERROR(AVERAGEIF(GS_Pleins!$H:$H,$B8,GS_Pleins[SP98 station]),"")</f>
        <v/>
      </c>
      <c r="E8" s="90" t="str">
        <f ca="1">IFERROR(AVERAGEIF(GS_Pleins!$H:$H,$B8,GS_Pleins[SP95 station]),"")</f>
        <v/>
      </c>
      <c r="F8" s="90" t="str">
        <f ca="1">IFERROR(AVERAGEIF(GS_Pleins!$H:$H,$B8,GS_Pleins[E10 station]),"")</f>
        <v/>
      </c>
      <c r="G8" s="90" t="str">
        <f ca="1">IFERROR(AVERAGEIF(GS_Pleins!$H:$H,$B8,GS_Pleins[Gazole station]),"")</f>
        <v/>
      </c>
      <c r="H8" s="90" t="str">
        <f ca="1">IFERROR(AVERAGEIF(GS_Pleins!$H:$H,$B8,GS_Pleins[GPLc station]),"")</f>
        <v/>
      </c>
      <c r="I8" s="91">
        <f>IF(Notes!$D5="","",COUNTIF(GS_Pleins!$H:$H,B8))</f>
        <v>0</v>
      </c>
    </row>
    <row r="9" spans="2:9" ht="21.95" customHeight="1" x14ac:dyDescent="0.25">
      <c r="B9" s="88" t="str">
        <f>IF(Notes!$D$6="","",Notes!$D$6)</f>
        <v>Total Access</v>
      </c>
      <c r="C9" s="90">
        <f ca="1">IFERROR(AVERAGEIF(GS_Pleins!$H:$H,$B9,GS_Pleins[E85 station]),"")</f>
        <v>0.79800000000000004</v>
      </c>
      <c r="D9" s="90" t="str">
        <f ca="1">IFERROR(AVERAGEIF(GS_Pleins!$H:$H,$B9,GS_Pleins[SP98 station]),"")</f>
        <v/>
      </c>
      <c r="E9" s="90" t="str">
        <f ca="1">IFERROR(AVERAGEIF(GS_Pleins!$H:$H,$B9,GS_Pleins[SP95 station]),"")</f>
        <v/>
      </c>
      <c r="F9" s="90" t="str">
        <f ca="1">IFERROR(AVERAGEIF(GS_Pleins!$H:$H,$B9,GS_Pleins[E10 station]),"")</f>
        <v/>
      </c>
      <c r="G9" s="90" t="str">
        <f ca="1">IFERROR(AVERAGEIF(GS_Pleins!$H:$H,$B9,GS_Pleins[Gazole station]),"")</f>
        <v/>
      </c>
      <c r="H9" s="90" t="str">
        <f ca="1">IFERROR(AVERAGEIF(GS_Pleins!$H:$H,$B9,GS_Pleins[GPLc station]),"")</f>
        <v/>
      </c>
      <c r="I9" s="91">
        <f>IF(Notes!$D6="","",COUNTIF(GS_Pleins!$H:$H,B9))</f>
        <v>1</v>
      </c>
    </row>
    <row r="10" spans="2:9" ht="21.95" customHeight="1" x14ac:dyDescent="0.25">
      <c r="B10" s="89" t="str">
        <f>IF(Notes!$D$7="","",Notes!$D$7)</f>
        <v>Total Waziers</v>
      </c>
      <c r="C10" s="90" t="str">
        <f ca="1">IFERROR(AVERAGEIF(GS_Pleins!$H:$H,$B10,GS_Pleins[E85 station]),"")</f>
        <v/>
      </c>
      <c r="D10" s="90" t="str">
        <f ca="1">IFERROR(AVERAGEIF(GS_Pleins!$H:$H,$B10,GS_Pleins[SP98 station]),"")</f>
        <v/>
      </c>
      <c r="E10" s="90" t="str">
        <f ca="1">IFERROR(AVERAGEIF(GS_Pleins!$H:$H,$B10,GS_Pleins[SP95 station]),"")</f>
        <v/>
      </c>
      <c r="F10" s="90" t="str">
        <f ca="1">IFERROR(AVERAGEIF(GS_Pleins!$H:$H,$B10,GS_Pleins[E10 station]),"")</f>
        <v/>
      </c>
      <c r="G10" s="90" t="str">
        <f ca="1">IFERROR(AVERAGEIF(GS_Pleins!$H:$H,$B10,GS_Pleins[Gazole station]),"")</f>
        <v/>
      </c>
      <c r="H10" s="90" t="str">
        <f ca="1">IFERROR(AVERAGEIF(GS_Pleins!$H:$H,$B10,GS_Pleins[GPLc station]),"")</f>
        <v/>
      </c>
      <c r="I10" s="91">
        <f>IF(Notes!$D7="","",COUNTIF(GS_Pleins!$H:$H,B10))</f>
        <v>0</v>
      </c>
    </row>
    <row r="11" spans="2:9" ht="21.95" customHeight="1" x14ac:dyDescent="0.25">
      <c r="B11" s="88" t="str">
        <f>IF(Notes!$D$8="","",Notes!$D$8)</f>
        <v>ZONE DU MOULIN RUE ARTHUR LAMENDIN — Beuvry</v>
      </c>
      <c r="C11" s="90">
        <f ca="1">IFERROR(AVERAGEIF(GS_Pleins!$H:$H,$B11,GS_Pleins[E85 station]),"")</f>
        <v>0.79800000000000004</v>
      </c>
      <c r="D11" s="90" t="str">
        <f ca="1">IFERROR(AVERAGEIF(GS_Pleins!$H:$H,$B11,GS_Pleins[SP98 station]),"")</f>
        <v/>
      </c>
      <c r="E11" s="90" t="str">
        <f ca="1">IFERROR(AVERAGEIF(GS_Pleins!$H:$H,$B11,GS_Pleins[SP95 station]),"")</f>
        <v/>
      </c>
      <c r="F11" s="90" t="str">
        <f ca="1">IFERROR(AVERAGEIF(GS_Pleins!$H:$H,$B11,GS_Pleins[E10 station]),"")</f>
        <v/>
      </c>
      <c r="G11" s="90" t="str">
        <f ca="1">IFERROR(AVERAGEIF(GS_Pleins!$H:$H,$B11,GS_Pleins[Gazole station]),"")</f>
        <v/>
      </c>
      <c r="H11" s="90" t="str">
        <f ca="1">IFERROR(AVERAGEIF(GS_Pleins!$H:$H,$B11,GS_Pleins[GPLc station]),"")</f>
        <v/>
      </c>
      <c r="I11" s="91">
        <f>IF(Notes!$D8="","",COUNTIF(GS_Pleins!$H:$H,B11))</f>
        <v>3</v>
      </c>
    </row>
    <row r="12" spans="2:9" ht="21.95" customHeight="1" x14ac:dyDescent="0.25">
      <c r="B12" s="89" t="str">
        <f>IF(Notes!$D$9="","",Notes!$D$9)</f>
        <v/>
      </c>
      <c r="C12" s="90" t="str">
        <f ca="1">IFERROR(AVERAGEIF(GS_Pleins!$H:$H,$B12,GS_Pleins[E85 station]),"")</f>
        <v/>
      </c>
      <c r="D12" s="90" t="str">
        <f ca="1">IFERROR(AVERAGEIF(GS_Pleins!$H:$H,$B12,GS_Pleins[SP98 station]),"")</f>
        <v/>
      </c>
      <c r="E12" s="90" t="str">
        <f ca="1">IFERROR(AVERAGEIF(GS_Pleins!$H:$H,$B12,GS_Pleins[SP95 station]),"")</f>
        <v/>
      </c>
      <c r="F12" s="90" t="str">
        <f ca="1">IFERROR(AVERAGEIF(GS_Pleins!$H:$H,$B12,GS_Pleins[E10 station]),"")</f>
        <v/>
      </c>
      <c r="G12" s="90" t="str">
        <f ca="1">IFERROR(AVERAGEIF(GS_Pleins!$H:$H,$B12,GS_Pleins[Gazole station]),"")</f>
        <v/>
      </c>
      <c r="H12" s="90" t="str">
        <f ca="1">IFERROR(AVERAGEIF(GS_Pleins!$H:$H,$B12,GS_Pleins[GPLc station]),"")</f>
        <v/>
      </c>
      <c r="I12" s="91" t="str">
        <f>IF(Notes!$D9="","",COUNTIF(GS_Pleins!$H:$H,B12))</f>
        <v/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IFERROR(AVERAGEIF(GS_Pleins!$H:$H,$B13,GS_Pleins[E85 station]),"")</f>
        <v/>
      </c>
      <c r="D13" s="90" t="str">
        <f ca="1">IFERROR(AVERAGEIF(GS_Pleins!$H:$H,$B13,GS_Pleins[SP98 station]),"")</f>
        <v/>
      </c>
      <c r="E13" s="90" t="str">
        <f ca="1">IFERROR(AVERAGEIF(GS_Pleins!$H:$H,$B13,GS_Pleins[SP95 station]),"")</f>
        <v/>
      </c>
      <c r="F13" s="90" t="str">
        <f ca="1">IFERROR(AVERAGEIF(GS_Pleins!$H:$H,$B13,GS_Pleins[E10 station]),"")</f>
        <v/>
      </c>
      <c r="G13" s="90" t="str">
        <f ca="1">IFERROR(AVERAGEIF(GS_Pleins!$H:$H,$B13,GS_Pleins[Gazole station]),"")</f>
        <v/>
      </c>
      <c r="H13" s="90" t="str">
        <f ca="1">IFERROR(AVERAGEIF(GS_Pleins!$H:$H,$B13,GS_Pleins[GPLc station]),"")</f>
        <v/>
      </c>
      <c r="I13" s="91" t="str">
        <f>IF(Notes!$D10="","",COUNTIF(GS_Pleins!$H:$H,B13))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IFERROR(AVERAGEIF(GS_Pleins!$H:$H,$B14,GS_Pleins[E85 station]),"")</f>
        <v/>
      </c>
      <c r="D14" s="90" t="str">
        <f ca="1">IFERROR(AVERAGEIF(GS_Pleins!$H:$H,$B14,GS_Pleins[SP98 station]),"")</f>
        <v/>
      </c>
      <c r="E14" s="90" t="str">
        <f ca="1">IFERROR(AVERAGEIF(GS_Pleins!$H:$H,$B14,GS_Pleins[SP95 station]),"")</f>
        <v/>
      </c>
      <c r="F14" s="90" t="str">
        <f ca="1">IFERROR(AVERAGEIF(GS_Pleins!$H:$H,$B14,GS_Pleins[E10 station]),"")</f>
        <v/>
      </c>
      <c r="G14" s="90" t="str">
        <f ca="1">IFERROR(AVERAGEIF(GS_Pleins!$H:$H,$B14,GS_Pleins[Gazole station]),"")</f>
        <v/>
      </c>
      <c r="H14" s="90" t="str">
        <f ca="1">IFERROR(AVERAGEIF(GS_Pleins!$H:$H,$B14,GS_Pleins[GPLc station]),"")</f>
        <v/>
      </c>
      <c r="I14" s="91" t="str">
        <f>IF(Notes!$D11="","",COUNTIF(GS_Pleins!$H:$H,B14))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IFERROR(AVERAGEIF(GS_Pleins!$H:$H,$B15,GS_Pleins[E85 station]),"")</f>
        <v/>
      </c>
      <c r="D15" s="90" t="str">
        <f ca="1">IFERROR(AVERAGEIF(GS_Pleins!$H:$H,$B15,GS_Pleins[SP98 station]),"")</f>
        <v/>
      </c>
      <c r="E15" s="90" t="str">
        <f ca="1">IFERROR(AVERAGEIF(GS_Pleins!$H:$H,$B15,GS_Pleins[SP95 station]),"")</f>
        <v/>
      </c>
      <c r="F15" s="90" t="str">
        <f ca="1">IFERROR(AVERAGEIF(GS_Pleins!$H:$H,$B15,GS_Pleins[E10 station]),"")</f>
        <v/>
      </c>
      <c r="G15" s="90" t="str">
        <f ca="1">IFERROR(AVERAGEIF(GS_Pleins!$H:$H,$B15,GS_Pleins[Gazole station]),"")</f>
        <v/>
      </c>
      <c r="H15" s="90" t="str">
        <f ca="1">IFERROR(AVERAGEIF(GS_Pleins!$H:$H,$B15,GS_Pleins[GPLc station]),"")</f>
        <v/>
      </c>
      <c r="I15" s="91" t="str">
        <f>IF(Notes!$D12="","",COUNTIF(GS_Pleins!$H:$H,B15))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IFERROR(AVERAGEIF(GS_Pleins!$H:$H,$B16,GS_Pleins[E85 station]),"")</f>
        <v/>
      </c>
      <c r="D16" s="90" t="str">
        <f ca="1">IFERROR(AVERAGEIF(GS_Pleins!$H:$H,$B16,GS_Pleins[SP98 station]),"")</f>
        <v/>
      </c>
      <c r="E16" s="90" t="str">
        <f ca="1">IFERROR(AVERAGEIF(GS_Pleins!$H:$H,$B16,GS_Pleins[SP95 station]),"")</f>
        <v/>
      </c>
      <c r="F16" s="90" t="str">
        <f ca="1">IFERROR(AVERAGEIF(GS_Pleins!$H:$H,$B16,GS_Pleins[E10 station]),"")</f>
        <v/>
      </c>
      <c r="G16" s="90" t="str">
        <f ca="1">IFERROR(AVERAGEIF(GS_Pleins!$H:$H,$B16,GS_Pleins[Gazole station]),"")</f>
        <v/>
      </c>
      <c r="H16" s="90" t="str">
        <f ca="1">IFERROR(AVERAGEIF(GS_Pleins!$H:$H,$B16,GS_Pleins[GPLc station]),"")</f>
        <v/>
      </c>
      <c r="I16" s="91" t="str">
        <f>IF(Notes!$D13="","",COUNTIF(GS_Pleins!$H:$H,B16))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8" t="s">
        <v>323</v>
      </c>
      <c r="C19" s="109"/>
      <c r="D19" s="109"/>
      <c r="E19" s="109"/>
      <c r="F19" s="109"/>
      <c r="G19" s="109"/>
    </row>
    <row r="20" spans="2:9" ht="18" customHeight="1" x14ac:dyDescent="0.25">
      <c r="B20" s="108"/>
      <c r="C20" s="109"/>
      <c r="D20" s="109"/>
      <c r="E20" s="109"/>
      <c r="F20" s="109"/>
      <c r="G20" s="109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opLeftCell="A9" workbookViewId="0">
      <selection activeCell="AL47" sqref="AL47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8"/>
  <sheetViews>
    <sheetView zoomScale="90" zoomScaleNormal="90" workbookViewId="0">
      <selection activeCell="D8" sqref="D8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  <c r="D3" s="82" t="s">
        <v>289</v>
      </c>
    </row>
    <row r="4" spans="2:4" x14ac:dyDescent="0.25">
      <c r="B4" s="82" t="s">
        <v>284</v>
      </c>
      <c r="D4" s="82" t="s">
        <v>312</v>
      </c>
    </row>
    <row r="5" spans="2:4" x14ac:dyDescent="0.25">
      <c r="B5" s="82" t="s">
        <v>81</v>
      </c>
      <c r="D5" s="82" t="s">
        <v>288</v>
      </c>
    </row>
    <row r="6" spans="2:4" x14ac:dyDescent="0.25">
      <c r="B6" s="82" t="s">
        <v>100</v>
      </c>
      <c r="D6" s="82" t="s">
        <v>313</v>
      </c>
    </row>
    <row r="7" spans="2:4" x14ac:dyDescent="0.25">
      <c r="D7" s="82" t="s">
        <v>287</v>
      </c>
    </row>
    <row r="8" spans="2:4" x14ac:dyDescent="0.25">
      <c r="D8" s="82" t="s">
        <v>314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Claude Log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2026-05-24T16:33:15Z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