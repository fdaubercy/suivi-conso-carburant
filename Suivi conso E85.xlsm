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39925D24-91E7-48DD-80B2-C82811243323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functionGroups builtInGroupCount="19"/>
  <externalReferences>
    <externalReference r:id="rId8"/>
  </externalReferences>
  <definedNames>
    <definedName name="DonnéesExternes_1" localSheetId="1" hidden="1">GS_Pleins!$A$1:$O$4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4" i="2" l="1"/>
  <c r="X7" i="4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<sst xmlns="http://schemas.openxmlformats.org/spreadsheetml/2006/main" count="417" uniqueCount="360">
  <si>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</si>
  <si>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</si>
  <si>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</si>
  <si>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</si>
  <si>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</si>
  <si>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</si>
  <si>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</si>
  <si>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</si>
  <si>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</si>
  <si>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</si>
  <si>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</si>
  <si>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</si>
  <si>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</si>
  <si>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</si>
  <si>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</si>
  <si>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</si>
  <si>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</si>
  <si>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</si>
  <si>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</si>
  <si>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</si>
  <si>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</si>
  <si>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</si>
  <si>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</si>
  <si>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</si>
  <si>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</si>
  <si>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</si>
  <si>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</si>
  <si>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</si>
  <si>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</si>
  <si>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</si>
  <si>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</si>
  <si>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</si>
  <si>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</si>
  <si>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</si>
  <si>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</si>
  <si>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</si>
  <si>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</si>
  <si>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</si>
  <si>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</si>
  <si>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</si>
  <si>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</si>
  <si>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</si>
  <si>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</si>
  <si>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</si>
  <si>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</si>
  <si>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</si>
  <si>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</si>
  <si>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</si>
  <si>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</si>
  <si>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</si>
  <si>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</si>
  <si>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</si>
  <si>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</si>
  <si>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</si>
  <si>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</si>
  <si>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</si>
  <si>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</si>
  <si>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</si>
  <si>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</si>
  <si>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</si>
  <si>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</si>
  <si>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</si>
  <si>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</si>
  <si>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</si>
  <si>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</si>
  <si>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</si>
  <si>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</si>
  <si>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</si>
  <si>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</si>
  <si>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</si>
  <si>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</si>
  <si>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</si>
  <si>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</si>
  <si>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</si>
  <si>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</si>
  <si>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</si>
  <si>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</si>
  <si>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</si>
  <si>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</si>
  <si>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</si>
  <si>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</si>
  <si>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</si>
  <si>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</si>
  <si>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</si>
  <si>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</si>
  <si>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</si>
  <si>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</si>
  <si>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</si>
  <si>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</si>
  <si>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</si>
  <si>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</si>
  <si>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</si>
  <si>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</si>
  <si>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</si>
  <si>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</si>
  <si>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</si>
  <si>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</si>
  <si>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</si>
  <si>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</si>
  <si>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</si>
  <si>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</si>
  <si>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</si>
  <si>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</si>
  <si>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</si>
  <si>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</si>
  <si>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</si>
  <si>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</si>
  <si>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</si>
  <si>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</si>
  <si>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</si>
  <si>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</si>
  <si>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</si>
  <si>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</si>
  <si>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</si>
  <si>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</si>
  <si>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</si>
  <si>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</si>
  <si>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</si>
  <si>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</si>
  <si>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</si>
  <si>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</si>
  <si>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</si>
  <si>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</si>
  <si>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</si>
  <si>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</si>
  <si>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</si>
  <si>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</si>
  <si>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</si>
  <si>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</si>
  <si>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</si>
  <si>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</si>
  <si>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</si>
  <si>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</si>
  <si>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</si>
  <si>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</si>
  <si>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</si>
  <si>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</si>
  <si>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</si>
  <si>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</si>
  <si>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</si>
  <si>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</si>
  <si>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</si>
  <si>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</si>
  <si>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</si>
  <si>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</si>
  <si>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</si>
  <si>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</si>
  <si>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</si>
  <si>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</si>
  <si>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</si>
  <si>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</si>
  <si>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</si>
  <si>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</si>
  <si>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</si>
  <si>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</si>
  <si>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</si>
  <si>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</si>
  <si>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</si>
  <si>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</si>
  <si>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</si>
  <si>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</si>
  <si>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</si>
  <si>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</si>
  <si>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</si>
  <si>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</si>
  <si>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</si>
  <si>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</si>
  <si>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</si>
  <si>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</si>
  <si>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</si>
  <si>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</si>
  <si>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</si>
  <si>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</si>
  <si>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</si>
  <si>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</si>
  <si>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</si>
  <si>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</si>
  <si>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</si>
  <si>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</si>
  <si>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</si>
  <si>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</si>
  <si>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</si>
  <si>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</si>
  <si>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</si>
  <si>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</si>
  <si>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</si>
  <si>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</si>
  <si>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</si>
  <si>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</si>
  <si>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</si>
  <si>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</si>
  <si>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</si>
  <si>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</si>
  <si>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</si>
  <si>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</si>
  <si>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</si>
  <si>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</si>
  <si>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</si>
  <si>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</si>
  <si>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</si>
  <si>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</si>
  <si>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</si>
  <si>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</si>
  <si>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</si>
  <si>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</si>
  <si>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</si>
  <si>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</si>
  <si>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</si>
  <si>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</si>
  <si>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</si>
  <si>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</si>
  <si>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</si>
  <si>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</si>
  <si>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</si>
  <si>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</si>
  <si>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</si>
  <si>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</si>
  <si>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</si>
  <si>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</si>
  <si>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</si>
  <si>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</si>
  <si>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</si>
  <si>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</si>
  <si>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</si>
  <si>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</si>
  <si>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</si>
  <si>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</si>
  <si>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</si>
  <si>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</si>
  <si>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</si>
  <si>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</si>
  <si>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</si>
  <si>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</si>
  <si>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</si>
  <si>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</si>
  <si>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</si>
  <si>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</si>
  <si>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</si>
  <si>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</si>
  <si>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</si>
  <si>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</si>
  <si>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</si>
  <si>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</si>
  <si>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</si>
  <si>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</si>
  <si>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</si>
  <si>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</si>
  <si>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</si>
  <si>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</si>
  <si>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</si>
  <si>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</si>
  <si>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</si>
  <si>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</si>
  <si>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</si>
  <si>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</si>
  <si>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</si>
  <si>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</si>
  <si>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</si>
  <si>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</si>
  <si>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</si>
  <si>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</si>
  <si>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</si>
  <si>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</si>
  <si>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</si>
  <si>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</si>
  <si>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</si>
  <si>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</si>
  <si>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</si>
  <si>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</si>
  <si>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</si>
  <si>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</si>
  <si>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</si>
  <si>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</si>
  <si>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</si>
  <si>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</si>
  <si>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</si>
  <si>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</si>
  <si>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</si>
  <si>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</si>
  <si>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</si>
  <si>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</si>
  <si>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</si>
  <si>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</si>
  <si>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</si>
  <si>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</si>
  <si>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</si>
  <si>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</si>
  <si>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</si>
  <si>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</si>
  <si>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</si>
  <si>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</si>
  <si>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</si>
  <si>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</si>
  <si>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</si>
  <si>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</si>
  <si>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</si>
  <si>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</si>
  <si>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</si>
  <si>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</si>
  <si>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</si>
  <si>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</si>
  <si>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</si>
  <si>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</si>
  <si>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</si>
  <si>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</si>
  <si>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</si>
  <si>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</si>
  <si>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</si>
  <si>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</si>
  <si>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</si>
  <si>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</si>
  <si>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</si>
  <si>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</si>
  <si>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</si>
  <si>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</si>
  <si>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</si>
  <si>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</si>
  <si>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</si>
  <si>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</si>
  <si>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</si>
  <si>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</si>
  <si>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</si>
  <si>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</si>
  <si>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</si>
  <si>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</si>
  <si>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</si>
  <si>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</si>
  <si>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</si>
  <si>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</si>
  <si>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</si>
  <si>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</si>
  <si>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</si>
  <si>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</si>
  <si>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</si>
  <si>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</si>
  <si>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</si>
  <si>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</si>
  <si>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</si>
  <si>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20:06:21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</si>
  <si>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</si>
  <si>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</si>
  <si>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</si>
  <si>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</si>
  <si>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</si>
  <si>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</si>
  <si>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</si>
  <si>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</si>
  <si>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</si>
  <si>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</si>
  <si>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</si>
  <si>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</si>
  <si>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</si>
  <si>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</si>
  <si>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</si>
  <si>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</si>
  <si>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</si>
  <si>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</si>
  <si>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</si>
  <si>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</si>
  <si>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0aef1fd9-633c-407a-b158-3d4ee892c525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</si>
</sst>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numFmt numFmtId="27" formatCode="dd/mm/yyyy\ hh:mm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7" unboundColumnsRight="1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4" tableType="queryTable" totalsRowShown="0" headerRowDxfId="45" dataDxfId="44">
  <autoFilter ref="A1:P4" xr:uid="{74CBBEF5-DAC6-4FFF-B9BF-F912C02B05A8}"/>
  <tableColumns count="16">
    <tableColumn id="1" xr3:uid="{D1245828-BB9F-457F-9D89-03E146E97A20}" uniqueName="1" name="Horodatage" queryTableFieldId="1" dataDxfId="43"/>
    <tableColumn id="2" xr3:uid="{6AFDA1AD-8B7E-4056-B820-4B105507BC22}" uniqueName="2" name="Date" queryTableFieldId="2" dataDxfId="42"/>
    <tableColumn id="3" xr3:uid="{0E3159AD-DEC3-4CB0-8263-673EE4364DE4}" uniqueName="3" name="Type" queryTableFieldId="3" dataDxfId="41"/>
    <tableColumn id="4" xr3:uid="{9CA1100B-4402-4A99-881C-A70EA8E0EBA0}" uniqueName="4" name="Km" queryTableFieldId="4" dataDxfId="40"/>
    <tableColumn id="5" xr3:uid="{3DC79D37-A57D-45A6-B68B-28F91AE90D1B}" uniqueName="5" name="Litres" queryTableFieldId="5" dataDxfId="39"/>
    <tableColumn id="6" xr3:uid="{E20F9B47-933F-4695-AC5B-7BFCB43AA70B}" uniqueName="6" name="PrixL" queryTableFieldId="6" dataDxfId="38"/>
    <tableColumn id="7" xr3:uid="{55FB565F-6DB2-4A5B-A401-A402FE60DCE5}" uniqueName="7" name="PrixS98" queryTableFieldId="7" dataDxfId="37"/>
    <tableColumn id="8" xr3:uid="{1810D7F1-75C0-4692-B633-9344880F4391}" uniqueName="8" name="Station essence" queryTableFieldId="8" dataDxfId="36"/>
    <tableColumn id="9" xr3:uid="{B958E2B1-5DEB-4CEF-B30E-3537BD55A8E8}" uniqueName="9" name="Vehicule" queryTableFieldId="9" dataDxfId="35"/>
    <tableColumn id="10" xr3:uid="{7955E5A1-C834-43AD-B7C1-739EA1C9FB0B}" uniqueName="10" name="E85 station" queryTableFieldId="10" dataDxfId="34"/>
    <tableColumn id="11" xr3:uid="{168A26EB-A626-4924-B067-7D0EE30B248F}" uniqueName="11" name="SP98 station" queryTableFieldId="11" dataDxfId="33"/>
    <tableColumn id="12" xr3:uid="{18AADF40-972E-454B-9FD3-FD2D10CCF4B9}" uniqueName="12" name="SP95 station" queryTableFieldId="12" dataDxfId="32"/>
    <tableColumn id="13" xr3:uid="{A1195D38-1809-462B-9D20-AE18F43CBC4B}" uniqueName="13" name="E10 station" queryTableFieldId="13" dataDxfId="31"/>
    <tableColumn id="14" xr3:uid="{9F059A0B-5171-4FB9-8BF4-0CBD57021E52}" uniqueName="14" name="Gazole station" queryTableFieldId="14" dataDxfId="30"/>
    <tableColumn id="15" xr3:uid="{BE30AC6F-80E2-4B6C-B72A-506C9FC60853}" uniqueName="15" name="GPLc station" queryTableFieldId="15" dataDxfId="29"/>
    <tableColumn id="16" xr3:uid="{DD5EAF57-67B9-4006-88AF-5A82745A6E1D}" uniqueName="16" name="sync_id" queryTableFieldId="16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7E2EEC-3E77-4ED2-AAC2-0379714EAE61}" name="DonneesExternes_1" displayName="DonneesExternes_1" ref="A1:Z2" totalsRowShown="0">
  <autoFilter ref="A1:Z2" xr:uid="{C57E2EEC-3E77-4ED2-AAC2-0379714EAE61}"/>
  <tableColumns count="26">
    <tableColumn id="1" xr3:uid="{F751AFA8-BC89-44A5-82DF-C0A749F7ED88}" name="Horodatage" dataDxfId="0"/>
    <tableColumn id="2" xr3:uid="{2E203AAA-7895-491D-BA80-E65D1BC78E28}" name="Date"/>
    <tableColumn id="3" xr3:uid="{46A065FD-DCAD-4508-A2DD-DBED8A8ED7C9}" name="Type"/>
    <tableColumn id="4" xr3:uid="{BC5A76CF-AE18-4552-B2C6-B2EF30F395C2}" name="Km compteur"/>
    <tableColumn id="5" xr3:uid="{A91C1ECF-F1C0-4FF6-A09E-A4ADA7C90F66}" name="Nb. Litres"/>
    <tableColumn id="6" xr3:uid="{C014253D-FCC4-4895-9DBF-47BE18F9A5F8}" name="Prix €/L"/>
    <tableColumn id="7" xr3:uid="{3B7A5B0D-FFA5-40D6-8521-C7C532A9C3B4}" name="Prix S98 jour (€/L)"/>
    <tableColumn id="8" xr3:uid="{2154CD70-44F8-4A9F-8687-0C0C1700F822}" name="Station essence"/>
    <tableColumn id="9" xr3:uid="{F888B1F2-AC64-4459-8BDA-E4F4F18917E0}" name="Véhicule"/>
    <tableColumn id="10" xr3:uid="{612AD2D8-4749-4025-B044-19D69E85A587}" name="E85 station (€/L)"/>
    <tableColumn id="11" xr3:uid="{44840849-4471-47C5-A52C-3FB2FD6E5A02}" name="SP98 station (€/L)"/>
    <tableColumn id="12" xr3:uid="{E09FBCA9-EE8D-4719-B4E1-4EB07738D39F}" name="SP95 station (€/L)"/>
    <tableColumn id="13" xr3:uid="{8CB0DE11-B8D8-41CF-AB0C-45BDD91D3021}" name="E10 station (€/L)"/>
    <tableColumn id="14" xr3:uid="{14247C5C-ADE8-4BEC-AA1D-E98C5AEC2479}" name="Gazole station (€/L)"/>
    <tableColumn id="15" xr3:uid="{BE966E4D-5203-4B2D-A7BA-8CBA4260A5F5}" name="GPLc station (€/L)"/>
    <tableColumn id="16" xr3:uid="{9AA42186-4155-4339-A541-107380A620E1}" name="sync_id"/>
    <tableColumn id="17" xr3:uid="{C9C66F16-40E5-4E4C-95D0-2FBAE2125061}" name="Colonne1"/>
    <tableColumn id="18" xr3:uid="{83131BEB-C2D6-4FB1-A7B9-100B35970EEE}" name="Colonne2"/>
    <tableColumn id="19" xr3:uid="{85D6524E-2187-4DC3-AE2A-836FDC68CFC0}" name="Colonne3"/>
    <tableColumn id="20" xr3:uid="{92C68F99-250C-4B3D-A49B-A630FB87C376}" name="Colonne4"/>
    <tableColumn id="21" xr3:uid="{BDF14C1C-4E9C-432A-9703-3C30D5585CF3}" name="Colonne5"/>
    <tableColumn id="22" xr3:uid="{DEB8A52D-35F1-49CB-A3A8-0AC1EC9E9A48}" name="Colonne6"/>
    <tableColumn id="23" xr3:uid="{2FD71103-7B19-4141-9442-70EE5F231778}" name="Colonne7"/>
    <tableColumn id="24" xr3:uid="{23B592CD-F113-4A78-97E2-048950F5F71D}" name="Colonne8"/>
    <tableColumn id="25" xr3:uid="{6D70C380-6CD9-4FE6-8FC9-EF86BD07606B}" name="Colonne9"/>
    <tableColumn id="26" xr3:uid="{82F5B719-4506-4A1F-BB96-A8DE712135CB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26" dataDxfId="24" headerRowBorderDxfId="25" tableBorderDxfId="23" totalsRowBorderDxfId="22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1">
      <calculatedColumnFormula>IF(B16="","",A15+1)</calculatedColumnFormula>
    </tableColumn>
    <tableColumn id="2" xr3:uid="{D9E9EBFF-BC9D-4E59-9822-91D7DEC1E7CE}" name="Date" dataDxfId="20"/>
    <tableColumn id="11" xr3:uid="{A77486BA-32D8-4661-BA23-1144AE2FD0EC}" name="Type" dataDxfId="19"/>
    <tableColumn id="3" xr3:uid="{6C87F133-7224-4AAB-ACB2-666E8B7315B5}" name="Km compteur" dataDxfId="18"/>
    <tableColumn id="15" xr3:uid="{E9E70181-907F-4D1A-BD9D-156B992A2880}" name="Nb. km" dataDxfId="17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16"/>
    <tableColumn id="5" xr3:uid="{A61BA34E-E60B-4F70-A1D9-62090C37C449}" name="Prix €/L" dataDxfId="15"/>
    <tableColumn id="13" xr3:uid="{C796B9E8-7AC6-4345-B44F-194876D2515D}" name="Coût c€/km" dataDxfId="14">
      <calculatedColumnFormula>IF(OR(D16="",D15="",I16="",ISTEXT(D15)),"",F16/(D16-D15)*100)</calculatedColumnFormula>
    </tableColumn>
    <tableColumn id="6" xr3:uid="{7A10B093-08A0-4955-A678-47B342940366}" name="Coût Plein (€)" dataDxfId="13">
      <calculatedColumnFormula>IF(F16="","",F16*G16)</calculatedColumnFormula>
    </tableColumn>
    <tableColumn id="7" xr3:uid="{0D4F331E-E5DE-4D78-8EE4-6B964BF0DB88}" name="Conso. (L/100km)" dataDxfId="12">
      <calculatedColumnFormula>IF(OR(D16="",D15="",F16="",ISTEXT(D15)),"",F16/(D16-D15)*100)</calculatedColumnFormula>
    </tableColumn>
    <tableColumn id="8" xr3:uid="{8C4BCB7E-42BC-494E-A304-19A9848326C2}" name="Prix S98 jour (€/L)" dataDxfId="11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0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9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8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6" dataDxfId="5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5" totalsRowShown="0" headerRowDxfId="3" dataDxfId="2">
  <autoFilter ref="D2:D25" xr:uid="{25AB3DD4-00E3-4CC0-B281-01FA80424A7F}"/>
  <sortState xmlns:xlrd2="http://schemas.microsoft.com/office/spreadsheetml/2017/richdata2" ref="D3:D25">
    <sortCondition ref="D2:D25"/>
  </sortState>
  <tableColumns count="1">
    <tableColumn id="1" xr3:uid="{15E89797-5AED-42ED-A3B9-120C7515903D}" name="Station essence utilisé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4"/>
  <sheetViews>
    <sheetView topLeftCell="B1" zoomScale="70" zoomScaleNormal="70" workbookViewId="0">
      <selection activeCell="P14" sqref="P14"/>
    </sheetView>
  </sheetViews>
  <sheetFormatPr baseColWidth="10" defaultRowHeight="15.75" x14ac:dyDescent="0.25"/>
  <cols>
    <col min="1" max="1" width="18.125" style="101" bestFit="1" customWidth="1"/>
    <col min="2" max="2" width="15.375" style="101" customWidth="1"/>
    <col min="3" max="3" width="29.25" style="101" customWidth="1"/>
    <col min="4" max="4" width="9.625" style="101" customWidth="1"/>
    <col min="5" max="5" width="11.5" style="101" bestFit="1" customWidth="1"/>
    <col min="6" max="6" width="11" style="101" bestFit="1" customWidth="1"/>
    <col min="7" max="7" width="13.125" style="101" bestFit="1" customWidth="1"/>
    <col min="8" max="8" width="45.5" style="101" bestFit="1" customWidth="1"/>
    <col min="9" max="9" width="14.375" style="101" bestFit="1" customWidth="1"/>
    <col min="10" max="10" width="16" style="101" bestFit="1" customWidth="1"/>
    <col min="11" max="12" width="17.125" style="101" bestFit="1" customWidth="1"/>
    <col min="13" max="13" width="16" style="101" bestFit="1" customWidth="1"/>
    <col min="14" max="14" width="18.5" style="101" bestFit="1" customWidth="1"/>
    <col min="15" max="15" width="17.125" style="101" bestFit="1" customWidth="1"/>
    <col min="16" max="16" width="14.625" style="101" customWidth="1"/>
    <col min="17" max="16384" width="11" style="101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  <c r="P1" s="82" t="s">
        <v>358</v>
      </c>
    </row>
    <row r="2" spans="1:16" x14ac:dyDescent="0.25">
      <c r="A2" s="100" t="s">
        <v>335</v>
      </c>
      <c r="B2" s="82" t="s">
        <v>311</v>
      </c>
      <c r="C2" s="82" t="s">
        <v>100</v>
      </c>
      <c r="D2" s="102">
        <v>15000</v>
      </c>
      <c r="E2" s="102">
        <v>22</v>
      </c>
      <c r="F2" s="102">
        <v>0.6</v>
      </c>
      <c r="G2" s="102"/>
      <c r="H2" s="82" t="s">
        <v>312</v>
      </c>
      <c r="I2" s="82" t="s">
        <v>336</v>
      </c>
      <c r="J2" s="102">
        <v>0.6</v>
      </c>
      <c r="K2" s="102"/>
      <c r="L2" s="102"/>
      <c r="M2" s="102"/>
      <c r="N2" s="102"/>
      <c r="O2" s="102"/>
      <c r="P2" s="102"/>
    </row>
    <row r="3" spans="1:16" x14ac:dyDescent="0.25">
      <c r="A3" s="100" t="s">
        <v>337</v>
      </c>
      <c r="B3" s="82" t="s">
        <v>311</v>
      </c>
      <c r="C3" s="82" t="s">
        <v>100</v>
      </c>
      <c r="D3" s="102">
        <v>15000</v>
      </c>
      <c r="E3" s="102">
        <v>15</v>
      </c>
      <c r="F3" s="102">
        <v>0.6</v>
      </c>
      <c r="G3" s="102">
        <v>2.0910000000000002</v>
      </c>
      <c r="H3" s="82" t="s">
        <v>313</v>
      </c>
      <c r="I3" s="82" t="s">
        <v>336</v>
      </c>
      <c r="J3" s="102">
        <v>0.6</v>
      </c>
      <c r="K3" s="102"/>
      <c r="L3" s="102"/>
      <c r="M3" s="102"/>
      <c r="N3" s="102"/>
      <c r="O3" s="102"/>
      <c r="P3" s="102"/>
    </row>
    <row r="4" spans="1:16" x14ac:dyDescent="0.25">
      <c r="A4" s="100" t="s">
        <v>338</v>
      </c>
      <c r="B4" s="82" t="s">
        <v>311</v>
      </c>
      <c r="C4" s="82" t="s">
        <v>100</v>
      </c>
      <c r="D4" s="102">
        <v>11831</v>
      </c>
      <c r="E4" s="102">
        <v>16.25</v>
      </c>
      <c r="F4" s="102">
        <v>0.79800000000000004</v>
      </c>
      <c r="G4" s="102">
        <v>2.117</v>
      </c>
      <c r="H4" s="82" t="s">
        <v>314</v>
      </c>
      <c r="I4" s="82" t="s">
        <v>336</v>
      </c>
      <c r="J4" s="102">
        <v>0.79800000000000004</v>
      </c>
      <c r="K4" s="102"/>
      <c r="L4" s="102"/>
      <c r="M4" s="102"/>
      <c r="N4" s="102"/>
      <c r="O4" s="102"/>
      <c r="P4" s="10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340</v>
      </c>
      <c r="J1" t="s">
        <v>341</v>
      </c>
      <c r="K1" t="s">
        <v>342</v>
      </c>
      <c r="L1" t="s">
        <v>343</v>
      </c>
      <c r="M1" t="s">
        <v>344</v>
      </c>
      <c r="N1" t="s">
        <v>345</v>
      </c>
      <c r="O1" t="s">
        <v>346</v>
      </c>
      <c r="P1" t="s">
        <v>358</v>
      </c>
      <c r="Q1" t="s">
        <v>348</v>
      </c>
      <c r="R1" t="s">
        <v>349</v>
      </c>
      <c r="S1" t="s">
        <v>350</v>
      </c>
      <c r="T1" t="s">
        <v>351</v>
      </c>
      <c r="U1" t="s">
        <v>352</v>
      </c>
      <c r="V1" t="s">
        <v>353</v>
      </c>
      <c r="W1" t="s">
        <v>354</v>
      </c>
      <c r="X1" t="s">
        <v>355</v>
      </c>
      <c r="Y1" t="s">
        <v>356</v>
      </c>
      <c r="Z1" t="s">
        <v>357</v>
      </c>
    </row>
    <row r="2" spans="1:26" x14ac:dyDescent="0.25">
      <c r="A2" s="103">
        <v>46164.820196759261</v>
      </c>
      <c r="B2" t="s">
        <v>311</v>
      </c>
      <c r="C2" t="s">
        <v>100</v>
      </c>
      <c r="D2">
        <v>11831</v>
      </c>
      <c r="E2">
        <v>16.25</v>
      </c>
      <c r="F2">
        <v>0.79800000000000004</v>
      </c>
      <c r="G2">
        <v>2.117</v>
      </c>
      <c r="H2" t="s">
        <v>314</v>
      </c>
      <c r="I2" t="s">
        <v>336</v>
      </c>
      <c r="P2" t="s">
        <v>359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32" sqref="F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46166.804328703707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27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315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339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>Carrefour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Carrefour Flers</v>
      </c>
      <c r="C7" s="90" t="str">
        <f ca="1">IFERROR(AVERAGEIF(GS_Pleins!$H:$H,$B7,GS_Pleins[E85 station]),"")</f>
        <v/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0</v>
      </c>
    </row>
    <row r="8" spans="2:9" ht="21.95" customHeight="1" x14ac:dyDescent="0.25">
      <c r="B8" s="89" t="str">
        <f>IF(Notes!$D$5="","",Notes!$D$5)</f>
        <v>Intermarché</v>
      </c>
      <c r="C8" s="90">
        <f ca="1">IFERROR(AVERAGEIF(GS_Pleins!$H:$H,$B8,GS_Pleins[E85 station]),"")</f>
        <v>0.6</v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1</v>
      </c>
    </row>
    <row r="9" spans="2:9" ht="21.95" customHeight="1" x14ac:dyDescent="0.25">
      <c r="B9" s="88" t="str">
        <f>IF(Notes!$D$6="","",Notes!$D$6)</f>
        <v>Leclerc Douai</v>
      </c>
      <c r="C9" s="90" t="str">
        <f ca="1">IFERROR(AVERAGEIF(GS_Pleins!$H:$H,$B9,GS_Pleins[E85 station]),"")</f>
        <v/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0</v>
      </c>
    </row>
    <row r="10" spans="2:9" ht="21.95" customHeight="1" x14ac:dyDescent="0.25">
      <c r="B10" s="89" t="str">
        <f>IF(Notes!$D$7="","",Notes!$D$7)</f>
        <v>Total Access</v>
      </c>
      <c r="C10" s="90">
        <f ca="1">IFERROR(AVERAGEIF(GS_Pleins!$H:$H,$B10,GS_Pleins[E85 station]),"")</f>
        <v>0.79800000000000004</v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1</v>
      </c>
    </row>
    <row r="11" spans="2:9" ht="21.95" customHeight="1" x14ac:dyDescent="0.25">
      <c r="B11" s="88" t="str">
        <f>IF(Notes!$D$8="","",Notes!$D$8)</f>
        <v>Total Waziers</v>
      </c>
      <c r="C11" s="90" t="str">
        <f ca="1">IFERROR(AVERAGEIF(GS_Pleins!$H:$H,$B11,GS_Pleins[E85 station]),"")</f>
        <v/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0</v>
      </c>
    </row>
    <row r="12" spans="2:9" ht="21.95" customHeight="1" x14ac:dyDescent="0.25">
      <c r="B12" s="89" t="str">
        <f>IF(Notes!$D$9="","",Notes!$D$9)</f>
        <v>ZONE DU MOULIN RUE ARTHUR LAMENDIN — Beuvry</v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>
        <f>IF(Notes!$D9="","",COUNTIF(GS_Pleins!$H:$H,B12))</f>
        <v>1</v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323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abSelected="1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9"/>
  <sheetViews>
    <sheetView zoomScale="90" zoomScaleNormal="90" workbookViewId="0">
      <selection activeCell="D16" sqref="D16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347</v>
      </c>
    </row>
    <row r="4" spans="2:4" x14ac:dyDescent="0.25">
      <c r="B4" s="82" t="s">
        <v>284</v>
      </c>
      <c r="D4" s="82" t="s">
        <v>289</v>
      </c>
    </row>
    <row r="5" spans="2:4" x14ac:dyDescent="0.25">
      <c r="B5" s="82" t="s">
        <v>81</v>
      </c>
      <c r="D5" s="82" t="s">
        <v>312</v>
      </c>
    </row>
    <row r="6" spans="2:4" x14ac:dyDescent="0.25">
      <c r="B6" s="82" t="s">
        <v>100</v>
      </c>
      <c r="D6" s="82" t="s">
        <v>288</v>
      </c>
    </row>
    <row r="7" spans="2:4" x14ac:dyDescent="0.25">
      <c r="D7" s="82" t="s">
        <v>313</v>
      </c>
    </row>
    <row r="8" spans="2:4" x14ac:dyDescent="0.25">
      <c r="D8" s="82" t="s">
        <v>287</v>
      </c>
    </row>
    <row r="9" spans="2:4" x14ac:dyDescent="0.25">
      <c r="D9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2026-05-24T20:21:06Z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