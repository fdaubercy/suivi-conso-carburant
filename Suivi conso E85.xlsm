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4A004354-A438-40D0-8BE4-C36915D5BBC2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<sst xmlns="http://schemas.openxmlformats.org/spreadsheetml/2006/main" count="488" uniqueCount="376">
  <si>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</si>
  <si>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</si>
  <si>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</si>
  <si>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</si>
  <si>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</si>
  <si>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</si>
  <si>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</si>
  <si>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</si>
  <si>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</si>
  <si>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</si>
  <si>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</si>
  <si>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</si>
  <si>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</si>
  <si>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</si>
  <si>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</si>
  <si>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</si>
  <si>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</si>
  <si>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</si>
  <si>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</si>
  <si>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</si>
  <si>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</si>
  <si>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</si>
  <si>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</si>
  <si>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</si>
  <si>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</si>
  <si>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</si>
  <si>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</si>
  <si>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</si>
  <si>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</si>
  <si>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</si>
  <si>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</si>
  <si>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</si>
  <si>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</si>
  <si>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</si>
  <si>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</si>
  <si>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</si>
  <si>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</si>
  <si>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</si>
  <si>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</si>
  <si>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</si>
  <si>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</si>
  <si>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</si>
  <si>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</si>
  <si>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</si>
  <si>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</si>
  <si>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</si>
  <si>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</si>
  <si>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</si>
  <si>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</si>
  <si>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</si>
  <si>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</si>
  <si>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</si>
  <si>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</si>
  <si>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</si>
  <si>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</si>
  <si>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</si>
  <si>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</si>
  <si>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</si>
  <si>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</si>
  <si>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</si>
  <si>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</si>
  <si>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</si>
  <si>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</si>
  <si>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</si>
  <si>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</si>
  <si>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</si>
  <si>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</si>
  <si>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</si>
  <si>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</si>
  <si>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</si>
  <si>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</si>
  <si>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</si>
  <si>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</si>
  <si>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</si>
  <si>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</si>
  <si>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</si>
  <si>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</si>
  <si>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</si>
  <si>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</si>
  <si>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</si>
  <si>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</si>
  <si>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</si>
  <si>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</si>
  <si>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</si>
  <si>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</si>
  <si>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</si>
  <si>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</si>
  <si>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</si>
  <si>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</si>
  <si>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</si>
  <si>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</si>
  <si>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</si>
  <si>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</si>
  <si>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</si>
  <si>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</si>
  <si>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</si>
  <si>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</si>
  <si>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</si>
  <si>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</si>
  <si>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</si>
  <si>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</si>
  <si>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</si>
  <si>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</si>
  <si>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</si>
  <si>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</si>
  <si>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</si>
  <si>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</si>
  <si>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</si>
  <si>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</si>
  <si>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</si>
  <si>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</si>
  <si>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</si>
  <si>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</si>
  <si>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</si>
  <si>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</si>
  <si>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</si>
  <si>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</si>
  <si>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</si>
  <si>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</si>
  <si>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</si>
  <si>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</si>
  <si>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</si>
  <si>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</si>
  <si>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</si>
  <si>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</si>
  <si>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</si>
  <si>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</si>
  <si>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</si>
  <si>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</si>
  <si>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</si>
  <si>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</si>
  <si>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</si>
  <si>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</si>
  <si>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</si>
  <si>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</si>
  <si>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</si>
  <si>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</si>
  <si>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</si>
  <si>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</si>
  <si>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</si>
  <si>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</si>
  <si>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</si>
  <si>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</si>
  <si>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</si>
  <si>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</si>
  <si>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</si>
  <si>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</si>
  <si>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</si>
  <si>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</si>
  <si>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</si>
  <si>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</si>
  <si>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</si>
  <si>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</si>
  <si>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</si>
  <si>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</si>
  <si>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</si>
  <si>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</si>
  <si>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</si>
  <si>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</si>
  <si>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</si>
  <si>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</si>
  <si>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</si>
  <si>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</si>
  <si>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</si>
  <si>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</si>
  <si>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</si>
  <si>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</si>
  <si>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</si>
  <si>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</si>
  <si>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</si>
  <si>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</si>
  <si>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</si>
  <si>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</si>
  <si>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</si>
  <si>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</si>
  <si>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</si>
  <si>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</si>
  <si>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</si>
  <si>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</si>
  <si>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</si>
  <si>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</si>
  <si>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</si>
  <si>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</si>
  <si>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</si>
  <si>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</si>
  <si>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</si>
  <si>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</si>
  <si>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</si>
  <si>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</si>
  <si>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</si>
  <si>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</si>
  <si>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</si>
  <si>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</si>
  <si>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</si>
  <si>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</si>
  <si>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</si>
  <si>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</si>
  <si>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</si>
  <si>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</si>
  <si>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</si>
  <si>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</si>
  <si>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</si>
  <si>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</si>
  <si>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</si>
  <si>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</si>
  <si>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</si>
  <si>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</si>
  <si>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</si>
  <si>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</si>
  <si>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</si>
  <si>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</si>
  <si>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</si>
  <si>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</si>
  <si>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</si>
  <si>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</si>
  <si>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</si>
  <si>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</si>
  <si>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</si>
  <si>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</si>
  <si>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</si>
  <si>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</si>
  <si>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</si>
  <si>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</si>
  <si>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</si>
  <si>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</si>
  <si>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</si>
  <si>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</si>
  <si>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</si>
  <si>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</si>
  <si>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</si>
  <si>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</si>
  <si>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</si>
  <si>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</si>
  <si>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</si>
  <si>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</si>
  <si>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</si>
  <si>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</si>
  <si>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</si>
  <si>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</si>
  <si>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</si>
  <si>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</si>
  <si>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</si>
  <si>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</si>
  <si>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</si>
  <si>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</si>
  <si>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</si>
  <si>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</si>
  <si>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</si>
  <si>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</si>
  <si>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</si>
  <si>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</si>
  <si>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</si>
  <si>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</si>
  <si>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</si>
  <si>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</si>
  <si>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</si>
  <si>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</si>
  <si>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</si>
  <si>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</si>
  <si>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</si>
  <si>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</si>
  <si>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</si>
  <si>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</si>
  <si>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</si>
  <si>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</si>
  <si>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</si>
  <si>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</si>
  <si>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</si>
  <si>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</si>
  <si>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</si>
  <si>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</si>
  <si>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</si>
  <si>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</si>
  <si>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</si>
  <si>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</si>
  <si>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</si>
  <si>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</si>
  <si>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</si>
  <si>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</si>
  <si>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</si>
  <si>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</si>
  <si>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</si>
  <si>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</si>
  <si>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</si>
  <si>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</si>
  <si>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</si>
  <si>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</si>
  <si>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</si>
  <si>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</si>
  <si>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</si>
  <si>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</si>
  <si>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</si>
  <si>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</si>
  <si>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</si>
  <si>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</si>
  <si>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</si>
  <si>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</si>
  <si>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</si>
  <si>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</si>
  <si>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</si>
  <si>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</si>
  <si>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</si>
  <si>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</si>
  <si>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</si>
  <si>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</si>
  <si>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</si>
  <si>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</si>
  <si>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</si>
  <si>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</si>
  <si>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</si>
  <si>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</si>
  <si>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</si>
  <si>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</si>
  <si>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</si>
  <si>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</si>
  <si>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</si>
  <si>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</si>
  <si>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</si>
  <si>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</si>
  <si>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</si>
  <si>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</si>
  <si>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</si>
  <si>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</si>
  <si>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</si>
  <si>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</si>
  <si>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</si>
  <si>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</si>
  <si>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</si>
  <si>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</si>
  <si>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</si>
  <si>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</si>
  <si>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</si>
  <si>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</si>
  <si>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</si>
  <si>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</si>
  <si>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</si>
  <si>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</si>
  <si>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</si>
  <si>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</si>
  <si>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</si>
  <si>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</si>
  <si>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</si>
  <si>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</si>
  <si>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</si>
  <si>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</si>
  <si>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</si>
  <si>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</si>
  <si>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</si>
  <si>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</si>
  <si>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</si>
  <si>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</si>
  <si>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</si>
  <si>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</si>
  <si>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</si>
  <si>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</si>
  <si>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</si>
  <si>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</si>
  <si>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</si>
  <si>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</si>
  <si>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</si>
  <si>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</si>
  <si>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</si>
  <si>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</si>
  <si>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</si>
  <si>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</si>
  <si>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</si>
  <si>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20260525013941-602108-171867</t>
  </si>
  <si>
    <t>20260525013941-951848-688198</t>
  </si>
  <si>
    <t>20260525013941-099112-430120</t>
  </si>
  <si>
    <t>20260525013941-188608-518200</t>
  </si>
  <si>
    <t>20260525013941-931753-685371</t>
  </si>
  <si>
    <t>20260525013941-554813-573151</t>
  </si>
  <si>
    <t>20260525013941-815210-635832</t>
  </si>
  <si>
    <t>20260525013941-486680-231896</t>
  </si>
  <si>
    <t>20260525013941-397751-414818</t>
  </si>
  <si>
    <t>20260525013941-697725-244511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</si>
</sst>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7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20" dataDxfId="19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18"/>
    <tableColumn id="5" xr3:uid="{3DC79D37-A57D-45A6-B68B-28F91AE90D1B}" uniqueName="5" name="Litres" queryTableFieldId="5" dataDxfId="17"/>
    <tableColumn id="6" xr3:uid="{E20F9B47-933F-4695-AC5B-7BFCB43AA70B}" uniqueName="6" name="PrixL" queryTableFieldId="6" dataDxfId="16"/>
    <tableColumn id="8" xr3:uid="{1810D7F1-75C0-4692-B633-9344880F4391}" uniqueName="8" name="Station essence" queryTableFieldId="8" dataDxfId="15"/>
    <tableColumn id="9" xr3:uid="{B958E2B1-5DEB-4CEF-B30E-3537BD55A8E8}" uniqueName="9" name="Vehicule" queryTableFieldId="9" dataDxfId="14"/>
    <tableColumn id="10" xr3:uid="{7955E5A1-C834-43AD-B7C1-739EA1C9FB0B}" uniqueName="10" name="E85 station" queryTableFieldId="10" dataDxfId="13"/>
    <tableColumn id="11" xr3:uid="{168A26EB-A626-4924-B067-7D0EE30B248F}" uniqueName="11" name="SP98 station" queryTableFieldId="11" dataDxfId="12"/>
    <tableColumn id="12" xr3:uid="{18AADF40-972E-454B-9FD3-FD2D10CCF4B9}" uniqueName="12" name="SP95 station" queryTableFieldId="12" dataDxfId="11"/>
    <tableColumn id="13" xr3:uid="{A1195D38-1809-462B-9D20-AE18F43CBC4B}" uniqueName="13" name="E10 station" queryTableFieldId="13" dataDxfId="10"/>
    <tableColumn id="14" xr3:uid="{9F059A0B-5171-4FB9-8BF4-0CBD57021E52}" uniqueName="14" name="Gazole station" queryTableFieldId="14" dataDxfId="9"/>
    <tableColumn id="15" xr3:uid="{BE30AC6F-80E2-4B6C-B72A-506C9FC60853}" uniqueName="15" name="GPLc station" queryTableFieldId="15" dataDxfId="8"/>
    <tableColumn id="16" xr3:uid="{DD5EAF57-67B9-4006-88AF-5A82745A6E1D}" uniqueName="16" name="sync_id" queryTableFieldId="16" dataDxfId="7"/>
    <tableColumn id="7" xr3:uid="{4DA1ECAA-DB2B-4245-9BE2-5E5B774521AD}" uniqueName="7" name="Colonne1" queryTableFieldId="17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44BA43-BF70-42A6-ACB9-53586A9ED7A3}" name="DonneesExternes_1" displayName="DonneesExternes_1" ref="A1:Y11" totalsRowShown="0">
  <autoFilter ref="A1:Y11" xr:uid="{5F44BA43-BF70-42A6-ACB9-53586A9ED7A3}"/>
  <tableColumns count="25">
    <tableColumn id="1" xr3:uid="{FED1BA10-E951-410D-AB75-21CBE743D199}" name="Horodatage" dataDxfId="1"/>
    <tableColumn id="2" xr3:uid="{883AC21B-314C-4FFF-B1F6-51537DCFEE4D}" name="Date" dataDxfId="0"/>
    <tableColumn id="3" xr3:uid="{20D73B66-ECE6-4A9D-87BF-385CC970E14C}" name="Type"/>
    <tableColumn id="4" xr3:uid="{306EE244-961C-4D11-BFAB-D4B3F2F14432}" name="Km compteur"/>
    <tableColumn id="5" xr3:uid="{55810A16-EE5E-4B7E-8431-BF57C8F9EC5B}" name="Nb. Litres"/>
    <tableColumn id="6" xr3:uid="{121B1E6D-DCFC-442F-A344-B96381414474}" name="Prix €/L"/>
    <tableColumn id="7" xr3:uid="{1886F03B-7347-41E5-B832-B8EDF3956F03}" name="Station essence"/>
    <tableColumn id="8" xr3:uid="{691E6505-75AE-4A5C-BBE1-E0F7A2C8471C}" name="Véhicule"/>
    <tableColumn id="9" xr3:uid="{20BDBCD1-C14A-4A66-B32A-76CD0092F3D7}" name="E85 station (€/L)"/>
    <tableColumn id="10" xr3:uid="{E8512963-7376-43BE-A169-0C13D64E72BA}" name="SP98 station (€/L)"/>
    <tableColumn id="11" xr3:uid="{EBEC4FB7-6370-4310-8AD6-A8EFF0098767}" name="SP95 station (€/L)"/>
    <tableColumn id="12" xr3:uid="{42D5A68C-3034-4E7E-ABFD-F1D85DF72E1C}" name="E10 station (€/L)"/>
    <tableColumn id="13" xr3:uid="{6342AA53-27BA-475C-A7DA-D9C5A6D2DBC4}" name="Gazole station (€/L)"/>
    <tableColumn id="14" xr3:uid="{B731853D-0D63-4E67-8BA1-CEC059561E88}" name="GPLc station (€/L)"/>
    <tableColumn id="15" xr3:uid="{04D09071-40E7-4F4A-BAD0-DD5A0968C02D}" name="sync_id"/>
    <tableColumn id="16" xr3:uid="{BA794BC5-813E-4B85-A076-FD57573F01D1}" name="Colonne1"/>
    <tableColumn id="17" xr3:uid="{B0374372-8AFB-4E21-A955-4F361209FF77}" name="Colonne2"/>
    <tableColumn id="18" xr3:uid="{AF3D36F2-F809-4EB7-BD74-08B2882B9291}" name="Colonne3"/>
    <tableColumn id="19" xr3:uid="{97F53D9C-5390-49DA-98BC-EF2331DD6078}" name="Colonne4"/>
    <tableColumn id="20" xr3:uid="{07E9D1FF-58C2-4EC0-A96C-38B73789F6E6}" name="Colonne5"/>
    <tableColumn id="21" xr3:uid="{93758EA9-45C4-4C2B-8B02-9D522F3B3852}" name="Colonne6"/>
    <tableColumn id="22" xr3:uid="{A5B61A8D-0395-40AF-887A-58BEAA6FD6FE}" name="Colonne7"/>
    <tableColumn id="23" xr3:uid="{5210EBB2-B270-44BF-80E2-0FE8C963674B}" name="Colonne8"/>
    <tableColumn id="24" xr3:uid="{EF748B1F-F771-4D93-AB37-8DB73940623F}" name="Colonne9"/>
    <tableColumn id="25" xr3:uid="{F97406B0-EAC8-460C-9595-382C893B4C75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46" dataDxfId="44" headerRowBorderDxfId="45" tableBorderDxfId="43" totalsRowBorderDxfId="42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41">
      <calculatedColumnFormula>IF(B16="","",A15+1)</calculatedColumnFormula>
    </tableColumn>
    <tableColumn id="2" xr3:uid="{D9E9EBFF-BC9D-4E59-9822-91D7DEC1E7CE}" name="Date" dataDxfId="40"/>
    <tableColumn id="11" xr3:uid="{A77486BA-32D8-4661-BA23-1144AE2FD0EC}" name="Type" dataDxfId="39"/>
    <tableColumn id="3" xr3:uid="{6C87F133-7224-4AAB-ACB2-666E8B7315B5}" name="Km compteur" dataDxfId="38"/>
    <tableColumn id="15" xr3:uid="{E9E70181-907F-4D1A-BD9D-156B992A2880}" name="Nb. km" dataDxfId="37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6"/>
    <tableColumn id="5" xr3:uid="{A61BA34E-E60B-4F70-A1D9-62090C37C449}" name="Prix €/L" dataDxfId="35"/>
    <tableColumn id="13" xr3:uid="{C796B9E8-7AC6-4345-B44F-194876D2515D}" name="Coût c€/km" dataDxfId="34">
      <calculatedColumnFormula>IF(OR(D16="",D15="",I16="",ISTEXT(D15)),"",F16/(D16-D15)*100)</calculatedColumnFormula>
    </tableColumn>
    <tableColumn id="6" xr3:uid="{7A10B093-08A0-4955-A678-47B342940366}" name="Coût Plein (€)" dataDxfId="33">
      <calculatedColumnFormula>IF(F16="","",F16*G16)</calculatedColumnFormula>
    </tableColumn>
    <tableColumn id="7" xr3:uid="{0D4F331E-E5DE-4D78-8EE4-6B964BF0DB88}" name="Conso. (L/100km)" dataDxfId="32">
      <calculatedColumnFormula>IF(OR(D16="",D15="",F16="",ISTEXT(D15)),"",F16/(D16-D15)*100)</calculatedColumnFormula>
    </tableColumn>
    <tableColumn id="8" xr3:uid="{8C4BCB7E-42BC-494E-A304-19A9848326C2}" name="Prix S98 jour (€/L)" dataDxfId="31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0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9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6" dataDxfId="2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23" dataDxfId="22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zoomScale="70" zoomScaleNormal="70" workbookViewId="0">
      <selection activeCell="J19" sqref="J19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  <c r="P1" s="82" t="s">
        <v>342</v>
      </c>
    </row>
    <row r="2" spans="1:16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  <c r="P2" s="101" t="s">
        <v>366</v>
      </c>
    </row>
    <row r="3" spans="1:16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  <c r="P3" s="101" t="s">
        <v>367</v>
      </c>
    </row>
    <row r="4" spans="1:16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  <c r="P4" s="101" t="s">
        <v>368</v>
      </c>
    </row>
    <row r="5" spans="1:16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  <c r="P5" s="101" t="s">
        <v>369</v>
      </c>
    </row>
    <row r="6" spans="1:16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  <c r="P6" s="101" t="s">
        <v>370</v>
      </c>
    </row>
    <row r="7" spans="1:16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  <c r="P7" s="101" t="s">
        <v>371</v>
      </c>
    </row>
    <row r="8" spans="1:16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  <c r="P8" s="101" t="s">
        <v>372</v>
      </c>
    </row>
    <row r="9" spans="1:16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  <c r="P9" s="101" t="s">
        <v>373</v>
      </c>
    </row>
    <row r="10" spans="1:16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  <c r="P10" s="101" t="s">
        <v>374</v>
      </c>
    </row>
    <row r="11" spans="1:16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  <c r="P11" s="101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2026-05-25T00:00:06Z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