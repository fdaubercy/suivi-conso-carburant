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A15A43CA-699E-4C2B-868B-83D4C6020A74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<sst xmlns="http://schemas.openxmlformats.org/spreadsheetml/2006/main" count="416" uniqueCount="360">
  <si>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</si>
  <si>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</si>
  <si>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</si>
  <si>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</si>
  <si>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</si>
  <si>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</si>
  <si>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</si>
  <si>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</si>
  <si>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</si>
  <si>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</si>
  <si>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</si>
  <si>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</si>
  <si>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</si>
  <si>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</si>
  <si>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</si>
  <si>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</si>
  <si>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</si>
  <si>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</si>
  <si>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</si>
  <si>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</si>
  <si>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</si>
  <si>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</si>
  <si>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</si>
  <si>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</si>
  <si>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</si>
  <si>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</si>
  <si>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</si>
  <si>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</si>
  <si>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</si>
  <si>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</si>
  <si>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</si>
  <si>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</si>
  <si>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</si>
  <si>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</si>
  <si>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</si>
  <si>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</si>
  <si>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</si>
  <si>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</si>
  <si>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</si>
  <si>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</si>
  <si>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</si>
  <si>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</si>
  <si>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</si>
  <si>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</si>
  <si>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</si>
  <si>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</si>
  <si>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</si>
  <si>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</si>
  <si>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</si>
  <si>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</si>
  <si>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</si>
  <si>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</si>
  <si>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</si>
  <si>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</si>
  <si>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</si>
  <si>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</si>
  <si>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</si>
  <si>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</si>
  <si>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</si>
  <si>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</si>
  <si>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</si>
  <si>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</si>
  <si>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</si>
  <si>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</si>
  <si>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</si>
  <si>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</si>
  <si>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</si>
  <si>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</si>
  <si>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</si>
  <si>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</si>
  <si>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</si>
  <si>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</si>
  <si>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</si>
  <si>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</si>
  <si>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</si>
  <si>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</si>
  <si>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</si>
  <si>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</si>
  <si>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</si>
  <si>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</si>
  <si>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</si>
  <si>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</si>
  <si>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</si>
  <si>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</si>
  <si>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</si>
  <si>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</si>
  <si>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</si>
  <si>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</si>
  <si>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</si>
  <si>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</si>
  <si>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</si>
  <si>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</si>
  <si>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</si>
  <si>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</si>
  <si>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</si>
  <si>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</si>
  <si>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</si>
  <si>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</si>
  <si>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</si>
  <si>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</si>
  <si>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</si>
  <si>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</si>
  <si>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</si>
  <si>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</si>
  <si>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</si>
  <si>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</si>
  <si>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</si>
  <si>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</si>
  <si>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</si>
  <si>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</si>
  <si>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</si>
  <si>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</si>
  <si>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</si>
  <si>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</si>
  <si>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</si>
  <si>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</si>
  <si>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</si>
  <si>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</si>
  <si>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</si>
  <si>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</si>
  <si>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</si>
  <si>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</si>
  <si>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</si>
  <si>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</si>
  <si>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</si>
  <si>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</si>
  <si>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</si>
  <si>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</si>
  <si>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</si>
  <si>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</si>
  <si>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</si>
  <si>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</si>
  <si>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</si>
  <si>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</si>
  <si>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</si>
  <si>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</si>
  <si>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</si>
  <si>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</si>
  <si>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</si>
  <si>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</si>
  <si>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</si>
  <si>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</si>
  <si>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</si>
  <si>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</si>
  <si>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</si>
  <si>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</si>
  <si>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</si>
  <si>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</si>
  <si>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</si>
  <si>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</si>
  <si>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</si>
  <si>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</si>
  <si>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</si>
  <si>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</si>
  <si>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</si>
  <si>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</si>
  <si>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</si>
  <si>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</si>
  <si>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</si>
  <si>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</si>
  <si>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</si>
  <si>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</si>
  <si>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</si>
  <si>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</si>
  <si>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</si>
  <si>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</si>
  <si>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</si>
  <si>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</si>
  <si>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</si>
  <si>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</si>
  <si>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</si>
  <si>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</si>
  <si>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</si>
  <si>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</si>
  <si>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</si>
  <si>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</si>
  <si>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</si>
  <si>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</si>
  <si>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</si>
  <si>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</si>
  <si>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</si>
  <si>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</si>
  <si>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</si>
  <si>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</si>
  <si>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</si>
  <si>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</si>
  <si>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</si>
  <si>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</si>
  <si>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</si>
  <si>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</si>
  <si>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</si>
  <si>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</si>
  <si>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</si>
  <si>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</si>
  <si>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</si>
  <si>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</si>
  <si>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</si>
  <si>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</si>
  <si>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</si>
  <si>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</si>
  <si>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</si>
  <si>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</si>
  <si>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</si>
  <si>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</si>
  <si>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</si>
  <si>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</si>
  <si>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</si>
  <si>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</si>
  <si>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</si>
  <si>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</si>
  <si>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</si>
  <si>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</si>
  <si>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</si>
  <si>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</si>
  <si>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</si>
  <si>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</si>
  <si>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</si>
  <si>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</si>
  <si>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</si>
  <si>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</si>
  <si>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</si>
  <si>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</si>
  <si>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</si>
  <si>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</si>
  <si>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</si>
  <si>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</si>
  <si>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</si>
  <si>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</si>
  <si>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</si>
  <si>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</si>
  <si>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</si>
  <si>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</si>
  <si>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</si>
  <si>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</si>
  <si>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</si>
  <si>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</si>
  <si>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</si>
  <si>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</si>
  <si>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</si>
  <si>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</si>
  <si>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</si>
  <si>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</si>
  <si>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</si>
  <si>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</si>
  <si>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</si>
  <si>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</si>
  <si>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</si>
  <si>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</si>
  <si>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</si>
  <si>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</si>
  <si>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</si>
  <si>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</si>
  <si>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</si>
  <si>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</si>
  <si>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</si>
  <si>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</si>
  <si>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</si>
  <si>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</si>
  <si>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</si>
  <si>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</si>
  <si>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</si>
  <si>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</si>
  <si>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</si>
  <si>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</si>
  <si>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</si>
  <si>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</si>
  <si>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</si>
  <si>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</si>
  <si>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</si>
  <si>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</si>
  <si>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</si>
  <si>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</si>
  <si>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</si>
  <si>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</si>
  <si>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</si>
  <si>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</si>
  <si>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</si>
  <si>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</si>
  <si>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</si>
  <si>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</si>
  <si>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</si>
  <si>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</si>
  <si>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</si>
  <si>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</si>
  <si>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</si>
  <si>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</si>
  <si>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</si>
  <si>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</si>
  <si>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</si>
  <si>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</si>
  <si>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</si>
  <si>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</si>
  <si>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</si>
  <si>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</si>
  <si>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</si>
  <si>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</si>
  <si>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</si>
  <si>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</si>
  <si>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</si>
  <si>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</si>
  <si>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</si>
  <si>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</si>
  <si>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</si>
  <si>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</si>
  <si>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</si>
  <si>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</si>
  <si>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</si>
  <si>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</si>
  <si>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</si>
  <si>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</si>
  <si>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</si>
  <si>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</si>
  <si>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</si>
  <si>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</si>
  <si>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</si>
  <si>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</si>
  <si>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</si>
  <si>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</si>
  <si>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</si>
  <si>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</si>
  <si>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</si>
  <si>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</si>
  <si>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</si>
  <si>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</si>
  <si>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</si>
  <si>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</si>
  <si>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</si>
  <si>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</si>
  <si>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</si>
  <si>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</si>
  <si>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</si>
  <si>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</si>
  <si>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</si>
  <si>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</si>
  <si>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</si>
  <si>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</si>
  <si>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</si>
  <si>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</si>
  <si>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</si>
  <si>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</si>
  <si>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</si>
  <si>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</si>
  <si>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</si>
  <si>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</si>
  <si>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</si>
  <si>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</si>
  <si>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</si>
  <si>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</si>
  <si>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</si>
  <si>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</si>
  <si>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</si>
  <si>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</si>
  <si>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</si>
  <si>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</si>
  <si>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</si>
  <si>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</si>
  <si>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</si>
  <si>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</si>
  <si>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</si>
  <si>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sync_id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</si>
</sst>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4" tableType="queryTable" totalsRowShown="0" headerRowDxfId="45" dataDxfId="44">
  <autoFilter ref="A1:P4" xr:uid="{74CBBEF5-DAC6-4FFF-B9BF-F912C02B05A8}"/>
  <tableColumns count="16">
    <tableColumn id="1" xr3:uid="{D1245828-BB9F-457F-9D89-03E146E97A20}" uniqueName="1" name="Horodatage" queryTableFieldId="1" dataDxfId="43"/>
    <tableColumn id="2" xr3:uid="{6AFDA1AD-8B7E-4056-B820-4B105507BC22}" uniqueName="2" name="Date" queryTableFieldId="2" dataDxfId="42"/>
    <tableColumn id="3" xr3:uid="{0E3159AD-DEC3-4CB0-8263-673EE4364DE4}" uniqueName="3" name="Type" queryTableFieldId="3" dataDxfId="41"/>
    <tableColumn id="4" xr3:uid="{9CA1100B-4402-4A99-881C-A70EA8E0EBA0}" uniqueName="4" name="Km" queryTableFieldId="4" dataDxfId="40"/>
    <tableColumn id="5" xr3:uid="{3DC79D37-A57D-45A6-B68B-28F91AE90D1B}" uniqueName="5" name="Litres" queryTableFieldId="5" dataDxfId="39"/>
    <tableColumn id="6" xr3:uid="{E20F9B47-933F-4695-AC5B-7BFCB43AA70B}" uniqueName="6" name="PrixL" queryTableFieldId="6" dataDxfId="38"/>
    <tableColumn id="7" xr3:uid="{55FB565F-6DB2-4A5B-A401-A402FE60DCE5}" uniqueName="7" name="PrixS98" queryTableFieldId="7" dataDxfId="37"/>
    <tableColumn id="8" xr3:uid="{1810D7F1-75C0-4692-B633-9344880F4391}" uniqueName="8" name="Station essence" queryTableFieldId="8" dataDxfId="36"/>
    <tableColumn id="9" xr3:uid="{B958E2B1-5DEB-4CEF-B30E-3537BD55A8E8}" uniqueName="9" name="Vehicule" queryTableFieldId="9" dataDxfId="35"/>
    <tableColumn id="10" xr3:uid="{7955E5A1-C834-43AD-B7C1-739EA1C9FB0B}" uniqueName="10" name="E85 station" queryTableFieldId="10" dataDxfId="34"/>
    <tableColumn id="11" xr3:uid="{168A26EB-A626-4924-B067-7D0EE30B248F}" uniqueName="11" name="SP98 station" queryTableFieldId="11" dataDxfId="33"/>
    <tableColumn id="12" xr3:uid="{18AADF40-972E-454B-9FD3-FD2D10CCF4B9}" uniqueName="12" name="SP95 station" queryTableFieldId="12" dataDxfId="32"/>
    <tableColumn id="13" xr3:uid="{A1195D38-1809-462B-9D20-AE18F43CBC4B}" uniqueName="13" name="E10 station" queryTableFieldId="13" dataDxfId="31"/>
    <tableColumn id="14" xr3:uid="{9F059A0B-5171-4FB9-8BF4-0CBD57021E52}" uniqueName="14" name="Gazole station" queryTableFieldId="14" dataDxfId="30"/>
    <tableColumn id="15" xr3:uid="{BE30AC6F-80E2-4B6C-B72A-506C9FC60853}" uniqueName="15" name="GPLc station" queryTableFieldId="15" dataDxfId="29"/>
    <tableColumn id="16" xr3:uid="{DD5EAF57-67B9-4006-88AF-5A82745A6E1D}" uniqueName="16" name="sync_id" queryTableFieldId="16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4E92C6-A1BD-44E8-AF2E-85952D7EA3ED}" name="DonneesExternes_1" displayName="DonneesExternes_1" ref="A1:Z2" totalsRowShown="0">
  <autoFilter ref="A1:Z2" xr:uid="{CB4E92C6-A1BD-44E8-AF2E-85952D7EA3ED}"/>
  <tableColumns count="26">
    <tableColumn id="1" xr3:uid="{B7E31499-888A-4B39-B79C-A2711F76AB6B}" name="Horodatage" dataDxfId="1"/>
    <tableColumn id="2" xr3:uid="{13F108E4-9348-49CE-B32D-B2CEB43CB542}" name="Date"/>
    <tableColumn id="3" xr3:uid="{E2A7D2B1-B5D0-4DE3-92FA-F9A49E0A7B5B}" name="Type"/>
    <tableColumn id="4" xr3:uid="{FEB527DD-78FD-4543-B5D5-D6D0801545CD}" name="Km compteur"/>
    <tableColumn id="5" xr3:uid="{F7D0E681-E2CB-4143-A94D-6DE3A6F10B92}" name="Nb. Litres"/>
    <tableColumn id="6" xr3:uid="{3348DC47-EB53-463B-B7E3-DF1DF1D42FFC}" name="Prix €/L"/>
    <tableColumn id="7" xr3:uid="{0575739E-FA0A-4E7C-8180-DF49B4C8A73B}" name="Prix S98 jour (€/L)"/>
    <tableColumn id="8" xr3:uid="{9440D818-BF98-41AD-8E1D-F4985C431F2E}" name="Station essence"/>
    <tableColumn id="9" xr3:uid="{A68630DF-24EF-46E1-8784-03D1936B973B}" name="Véhicule"/>
    <tableColumn id="10" xr3:uid="{0218594E-CDB2-47A9-A67B-6B0F8CFF2DFC}" name="E85 station (€/L)"/>
    <tableColumn id="11" xr3:uid="{FAC1DC4B-DC59-458A-B275-7456105ADC9F}" name="SP98 station (€/L)"/>
    <tableColumn id="12" xr3:uid="{454E9487-3ECE-486E-9550-8D9608836B33}" name="SP95 station (€/L)"/>
    <tableColumn id="13" xr3:uid="{97BA9173-BEDE-4C5F-99E3-61B7251267FA}" name="E10 station (€/L)"/>
    <tableColumn id="14" xr3:uid="{FC0DD8E5-E7B5-4453-B624-D267B15D43A4}" name="Gazole station (€/L)"/>
    <tableColumn id="15" xr3:uid="{DEC5616A-41F8-40EF-8E48-3CBF2B95B0C7}" name="GPLc station (€/L)"/>
    <tableColumn id="16" xr3:uid="{1760856B-858F-4A5A-A513-1C151CE7BE29}" name="Colonne1"/>
    <tableColumn id="17" xr3:uid="{DCB48DB2-14AC-4BAE-A169-E4649B3F179D}" name="Colonne2"/>
    <tableColumn id="18" xr3:uid="{1E9B5DC7-01B7-47DA-9962-33393D1A6BAF}" name="Colonne3"/>
    <tableColumn id="19" xr3:uid="{775E4C6E-8E00-4BDD-94E5-BDB9E7F874A1}" name="Colonne4"/>
    <tableColumn id="20" xr3:uid="{5FA2AB28-8F9B-4E79-B206-8D7AD15093F4}" name="Colonne5"/>
    <tableColumn id="21" xr3:uid="{E45F6C0C-A7EA-4305-9EA9-663B68215D04}" name="Colonne6"/>
    <tableColumn id="22" xr3:uid="{93AB7FDD-3A18-49D5-8D83-CAF999F6075B}" name="Colonne7"/>
    <tableColumn id="23" xr3:uid="{E7802BFD-E74A-4501-ACB4-6C733F47AAD7}" name="Colonne8"/>
    <tableColumn id="24" xr3:uid="{2978A12C-BE49-4E48-9E65-590CCB19B830}" name="Colonne9"/>
    <tableColumn id="25" xr3:uid="{23DE8B32-60B1-48C7-A487-30DA194E047A}" name="Colonne10"/>
    <tableColumn id="26" xr3:uid="{92C0C03A-C029-4533-93FC-7EEA69891B9B}" name="Colonne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7" dataDxfId="25" headerRowBorderDxfId="26" tableBorderDxfId="24" totalsRowBorderDxfId="23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/>
    <tableColumn id="11" xr3:uid="{A77486BA-32D8-4661-BA23-1144AE2FD0EC}" name="Type" dataDxfId="20"/>
    <tableColumn id="3" xr3:uid="{6C87F133-7224-4AAB-ACB2-666E8B7315B5}" name="Km compteur" dataDxfId="19"/>
    <tableColumn id="15" xr3:uid="{E9E70181-907F-4D1A-BD9D-156B992A2880}" name="Nb. km" dataDxfId="18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7"/>
    <tableColumn id="5" xr3:uid="{A61BA34E-E60B-4F70-A1D9-62090C37C449}" name="Prix €/L" dataDxfId="16"/>
    <tableColumn id="13" xr3:uid="{C796B9E8-7AC6-4345-B44F-194876D2515D}" name="Coût c€/km" dataDxfId="15">
      <calculatedColumnFormula>IF(OR(D16="",D15="",I16="",ISTEXT(D15)),"",F16/(D16-D15)*100)</calculatedColumnFormula>
    </tableColumn>
    <tableColumn id="6" xr3:uid="{7A10B093-08A0-4955-A678-47B342940366}" name="Coût Plein (€)" dataDxfId="14">
      <calculatedColumnFormula>IF(F16="","",F16*G16)</calculatedColumnFormula>
    </tableColumn>
    <tableColumn id="7" xr3:uid="{0D4F331E-E5DE-4D78-8EE4-6B964BF0DB88}" name="Conso. (L/100km)" dataDxfId="13">
      <calculatedColumnFormula>IF(OR(D16="",D15="",F16="",ISTEXT(D15)),"",F16/(D16-D15)*100)</calculatedColumnFormula>
    </tableColumn>
    <tableColumn id="8" xr3:uid="{8C4BCB7E-42BC-494E-A304-19A9848326C2}" name="Prix S98 jour (€/L)" dataDxfId="12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7" dataDxfId="6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4" dataDxfId="3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4"/>
  <sheetViews>
    <sheetView tabSelected="1" topLeftCell="B1" zoomScale="70" zoomScaleNormal="70" workbookViewId="0">
      <selection activeCell="P14" sqref="P14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" width="14.625" style="101" customWidth="1"/>
    <col min="17" max="16384" width="11" style="101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  <c r="P1" s="82" t="s">
        <v>359</v>
      </c>
    </row>
    <row r="2" spans="1:16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  <c r="P2" s="102"/>
    </row>
    <row r="3" spans="1:16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  <c r="P3" s="102"/>
    </row>
    <row r="4" spans="1:16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  <c r="P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348</v>
      </c>
      <c r="Q1" t="s">
        <v>349</v>
      </c>
      <c r="R1" t="s">
        <v>350</v>
      </c>
      <c r="S1" t="s">
        <v>351</v>
      </c>
      <c r="T1" t="s">
        <v>352</v>
      </c>
      <c r="U1" t="s">
        <v>353</v>
      </c>
      <c r="V1" t="s">
        <v>354</v>
      </c>
      <c r="W1" t="s">
        <v>355</v>
      </c>
      <c r="X1" t="s">
        <v>356</v>
      </c>
      <c r="Y1" t="s">
        <v>357</v>
      </c>
      <c r="Z1" t="s">
        <v>358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8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2026-05-24T20:12:10Z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