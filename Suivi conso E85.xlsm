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4240" windowHeight="13020" tabRatio="600" firstSheet="2" activeTab="2" autoFilterDateGrouping="1"/>
  </bookViews>
  <sheets>
    <sheet name="Claude Log" sheetId="1" state="hidden" r:id="rId1"/>
    <sheet name="_ImportGS" sheetId="2" state="hidden" r:id="rId2"/>
    <sheet name="Suivi Carburant" sheetId="3" state="visible" r:id="rId3"/>
    <sheet name="Prix par Station" sheetId="4" state="visible" r:id="rId4"/>
    <sheet name="Graphiques" sheetId="5" state="visible" r:id="rId5"/>
    <sheet name="Notes" sheetId="6" state="hidden" r:id="rId6"/>
  </sheets>
  <externalReferences>
    <externalReference r:id="rId7"/>
  </externalReferences>
  <definedNames/>
  <calcPr calcId="191029" fullCalcOnLoad="1" iterateDelta="0.0001"/>
</workbook>
</file>

<file path=xl/styles.xml><?xml version="1.0" encoding="utf-8"?>
<styleSheet xmlns="http://schemas.openxmlformats.org/spreadsheetml/2006/main">
  <numFmts count="16">
    <numFmt numFmtId="164" formatCode="#,##0.00\ \€"/>
    <numFmt numFmtId="165" formatCode="0.000\ \€"/>
    <numFmt numFmtId="166" formatCode="0.0%"/>
    <numFmt numFmtId="167" formatCode="0.0000\ \€"/>
    <numFmt numFmtId="168" formatCode="#,##0&quot;km&quot;"/>
    <numFmt numFmtId="169" formatCode="0.0&quot;L/100km&quot;"/>
    <numFmt numFmtId="170" formatCode="0.000&quot; €/km&quot;"/>
    <numFmt numFmtId="171" formatCode="0.00&quot;L&quot;"/>
    <numFmt numFmtId="172" formatCode="0.000&quot;€/L&quot;"/>
    <numFmt numFmtId="173" formatCode="0.0&quot; c€/km&quot;"/>
    <numFmt numFmtId="174" formatCode="#,##0.00\ &quot;€&quot;"/>
    <numFmt numFmtId="175" formatCode="#,##0&quot; km&quot;"/>
    <numFmt numFmtId="176" formatCode="0.00&quot;€/100km&quot;"/>
    <numFmt numFmtId="177" formatCode="0.00&quot; km/L&quot;"/>
    <numFmt numFmtId="178" formatCode="dd/mm/yyyy\ hh:mm:ss"/>
    <numFmt numFmtId="179" formatCode="0.000\ &quot;€/L&quot;"/>
  </numFmts>
  <fonts count="25">
    <font>
      <name val="Calibri"/>
      <family val="2"/>
      <color theme="1"/>
      <sz val="12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FF"/>
      <sz val="12"/>
      <scheme val="minor"/>
    </font>
    <font>
      <name val="Calibri"/>
      <family val="2"/>
      <i val="1"/>
      <color rgb="FF808080"/>
      <sz val="12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FFFF"/>
      <sz val="18"/>
      <scheme val="minor"/>
    </font>
    <font>
      <name val="Agency FB"/>
      <family val="2"/>
      <b val="1"/>
      <color rgb="FFFFFFFF"/>
      <sz val="12"/>
    </font>
    <font>
      <name val="Calibri"/>
      <family val="2"/>
      <b val="1"/>
      <color rgb="FFFFFFFF"/>
      <sz val="8.4"/>
    </font>
    <font>
      <name val="Calibri"/>
      <family val="2"/>
      <color theme="1"/>
      <sz val="12"/>
      <scheme val="minor"/>
    </font>
    <font>
      <name val="Calibri"/>
      <family val="2"/>
      <b val="1"/>
      <i val="1"/>
      <color rgb="FF808080"/>
      <sz val="12"/>
      <scheme val="minor"/>
    </font>
    <font>
      <name val="Calibri"/>
      <family val="2"/>
      <b val="1"/>
      <color theme="3" tint="-0.249977111117893"/>
      <sz val="12"/>
      <scheme val="minor"/>
    </font>
    <font>
      <name val="Calibri"/>
      <family val="2"/>
      <color theme="3" tint="-0.249977111117893"/>
      <sz val="12"/>
      <scheme val="minor"/>
    </font>
    <font>
      <name val="Calibri"/>
      <family val="2"/>
      <b val="1"/>
      <color rgb="FF1B3A5C"/>
      <sz val="16"/>
      <scheme val="minor"/>
    </font>
    <font>
      <name val="Calibri"/>
      <family val="2"/>
      <color rgb="FF333F4F"/>
      <sz val="12"/>
      <scheme val="minor"/>
    </font>
    <font>
      <name val="Calibri"/>
      <family val="2"/>
      <sz val="8"/>
      <scheme val="minor"/>
    </font>
    <font>
      <name val="Calibri"/>
      <charset val="1"/>
      <family val="2"/>
      <color theme="1"/>
      <sz val="12"/>
    </font>
    <font>
      <name val="Arial"/>
      <family val="2"/>
      <b val="1"/>
      <color rgb="FFFFFFFF"/>
      <sz val="13"/>
    </font>
    <font>
      <name val="Arial"/>
      <family val="2"/>
      <i val="1"/>
      <color rgb="FF1B3A5C"/>
      <sz val="9"/>
    </font>
    <font>
      <name val="Arial"/>
      <family val="2"/>
      <b val="1"/>
      <color rgb="FFFFFFFF"/>
      <sz val="10"/>
    </font>
    <font>
      <name val="Arial"/>
      <family val="2"/>
      <b val="1"/>
      <color rgb="FF333F4F"/>
      <sz val="9"/>
    </font>
    <font>
      <name val="Arial"/>
      <family val="2"/>
      <color rgb="FF333F4F"/>
      <sz val="9"/>
    </font>
    <font>
      <name val="Arial"/>
      <family val="2"/>
      <b val="1"/>
      <color rgb="FFFFFFFF"/>
      <sz val="9"/>
    </font>
    <font>
      <name val="Arial"/>
      <family val="2"/>
      <b val="1"/>
      <color rgb="FF1B3A5C"/>
      <sz val="9"/>
    </font>
  </fonts>
  <fills count="20">
    <fill>
      <patternFill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4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B8CCE4"/>
      </top>
      <bottom/>
      <diagonal/>
    </border>
    <border>
      <left/>
      <right style="thin">
        <color rgb="FFB8CCE4"/>
      </right>
      <top style="thin">
        <color rgb="FFB8CCE4"/>
      </top>
      <bottom/>
      <diagonal/>
    </border>
    <border>
      <left/>
      <right/>
      <top style="thin">
        <color rgb="FFB8CCE4"/>
      </top>
      <bottom style="thin">
        <color rgb="FFB8CCE4"/>
      </bottom>
      <diagonal/>
    </border>
    <border>
      <left/>
      <right style="thin">
        <color rgb="FFB8CCE4"/>
      </right>
      <top style="thin">
        <color rgb="FFB8CCE4"/>
      </top>
      <bottom style="thin">
        <color rgb="FFB8CCE4"/>
      </bottom>
      <diagonal/>
    </border>
  </borders>
  <cellStyleXfs count="4">
    <xf numFmtId="0" fontId="10" fillId="0" borderId="0"/>
    <xf numFmtId="44" fontId="10" fillId="0" borderId="0"/>
    <xf numFmtId="9" fontId="10" fillId="0" borderId="0"/>
    <xf numFmtId="0" fontId="17" fillId="0" borderId="0"/>
  </cellStyleXfs>
  <cellXfs count="128">
    <xf numFmtId="0" fontId="0" fillId="0" borderId="0" pivotButton="0" quotePrefix="0" xfId="0"/>
    <xf numFmtId="0" fontId="1" fillId="2" borderId="0" pivotButton="0" quotePrefix="0" xfId="0"/>
    <xf numFmtId="14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" fillId="3" borderId="0" applyAlignment="1" pivotButton="0" quotePrefix="0" xfId="0">
      <alignment vertical="center"/>
    </xf>
    <xf numFmtId="0" fontId="0" fillId="3" borderId="0" applyAlignment="1" pivotButton="0" quotePrefix="0" xfId="0">
      <alignment vertical="center"/>
    </xf>
    <xf numFmtId="0" fontId="2" fillId="4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1" fontId="0" fillId="4" borderId="0" applyAlignment="1" pivotButton="0" quotePrefix="0" xfId="0">
      <alignment horizontal="left" vertical="center"/>
    </xf>
    <xf numFmtId="0" fontId="2" fillId="7" borderId="0" applyAlignment="1" pivotButton="0" quotePrefix="0" xfId="0">
      <alignment vertical="center"/>
    </xf>
    <xf numFmtId="3" fontId="0" fillId="7" borderId="0" applyAlignment="1" pivotButton="0" quotePrefix="0" xfId="0">
      <alignment horizontal="left" vertical="center"/>
    </xf>
    <xf numFmtId="2" fontId="0" fillId="4" borderId="0" applyAlignment="1" pivotButton="0" quotePrefix="0" xfId="0">
      <alignment horizontal="left" vertical="center"/>
    </xf>
    <xf numFmtId="164" fontId="0" fillId="7" borderId="0" applyAlignment="1" pivotButton="0" quotePrefix="0" xfId="0">
      <alignment horizontal="left" vertical="center"/>
    </xf>
    <xf numFmtId="165" fontId="0" fillId="7" borderId="0" applyAlignment="1" pivotButton="0" quotePrefix="0" xfId="0">
      <alignment horizontal="left" vertical="center"/>
    </xf>
    <xf numFmtId="165" fontId="0" fillId="4" borderId="0" applyAlignment="1" pivotButton="0" quotePrefix="0" xfId="0">
      <alignment horizontal="left" vertical="center"/>
    </xf>
    <xf numFmtId="0" fontId="5" fillId="8" borderId="0" applyAlignment="1" pivotButton="0" quotePrefix="0" xfId="0">
      <alignment vertical="center"/>
    </xf>
    <xf numFmtId="0" fontId="0" fillId="8" borderId="0" applyAlignment="1" pivotButton="0" quotePrefix="0" xfId="0">
      <alignment vertical="center"/>
    </xf>
    <xf numFmtId="0" fontId="2" fillId="9" borderId="0" applyAlignment="1" pivotButton="0" quotePrefix="0" xfId="0">
      <alignment vertical="center"/>
    </xf>
    <xf numFmtId="0" fontId="2" fillId="10" borderId="0" applyAlignment="1" pivotButton="0" quotePrefix="0" xfId="0">
      <alignment vertical="center"/>
    </xf>
    <xf numFmtId="0" fontId="6" fillId="9" borderId="0" applyAlignment="1" pivotButton="0" quotePrefix="0" xfId="0">
      <alignment vertical="center"/>
    </xf>
    <xf numFmtId="1" fontId="0" fillId="7" borderId="0" applyAlignment="1" pivotButton="0" quotePrefix="0" xfId="0">
      <alignment horizontal="left" vertical="center"/>
    </xf>
    <xf numFmtId="3" fontId="0" fillId="4" borderId="0" applyAlignment="1" pivotButton="0" quotePrefix="0" xfId="0">
      <alignment horizontal="left" vertical="center"/>
    </xf>
    <xf numFmtId="2" fontId="0" fillId="7" borderId="0" applyAlignment="1" pivotButton="0" quotePrefix="0" xfId="0">
      <alignment horizontal="left" vertical="center"/>
    </xf>
    <xf numFmtId="164" fontId="0" fillId="4" borderId="0" applyAlignment="1" pivotButton="0" quotePrefix="0" xfId="0">
      <alignment horizontal="left" vertical="center"/>
    </xf>
    <xf numFmtId="2" fontId="4" fillId="0" borderId="0" applyAlignment="1" pivotButton="0" quotePrefix="0" xfId="0">
      <alignment vertical="center"/>
    </xf>
    <xf numFmtId="0" fontId="0" fillId="12" borderId="7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3" borderId="0" applyAlignment="1" applyProtection="1" pivotButton="0" quotePrefix="0" xfId="0">
      <alignment vertical="center"/>
      <protection locked="0" hidden="0"/>
    </xf>
    <xf numFmtId="0" fontId="1" fillId="3" borderId="0" applyAlignment="1" pivotButton="0" quotePrefix="0" xfId="0">
      <alignment horizontal="center" vertical="center"/>
    </xf>
    <xf numFmtId="166" fontId="3" fillId="3" borderId="0" applyAlignment="1" pivotButton="0" quotePrefix="0" xfId="0">
      <alignment vertical="center"/>
    </xf>
    <xf numFmtId="0" fontId="4" fillId="3" borderId="0" applyAlignment="1" pivotButton="0" quotePrefix="0" xfId="0">
      <alignment vertical="center"/>
    </xf>
    <xf numFmtId="0" fontId="11" fillId="3" borderId="0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67" fontId="1" fillId="3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left" vertical="center"/>
    </xf>
    <xf numFmtId="0" fontId="11" fillId="0" borderId="0" applyAlignment="1" pivotButton="0" quotePrefix="0" xfId="0">
      <alignment vertical="center"/>
    </xf>
    <xf numFmtId="166" fontId="12" fillId="4" borderId="0" applyAlignment="1" pivotButton="0" quotePrefix="0" xfId="1">
      <alignment horizontal="right" vertical="center"/>
    </xf>
    <xf numFmtId="168" fontId="12" fillId="4" borderId="0" applyAlignment="1" pivotButton="0" quotePrefix="0" xfId="0">
      <alignment horizontal="right" vertical="center"/>
    </xf>
    <xf numFmtId="14" fontId="12" fillId="4" borderId="0" applyAlignment="1" pivotButton="0" quotePrefix="0" xfId="0">
      <alignment horizontal="right" vertical="center"/>
    </xf>
    <xf numFmtId="164" fontId="13" fillId="4" borderId="0" applyAlignment="1" pivotButton="0" quotePrefix="0" xfId="0">
      <alignment vertical="center"/>
    </xf>
    <xf numFmtId="166" fontId="13" fillId="4" borderId="0" applyAlignment="1" pivotButton="0" quotePrefix="0" xfId="0">
      <alignment vertical="center"/>
    </xf>
    <xf numFmtId="164" fontId="13" fillId="4" borderId="0" applyAlignment="1" pivotButton="0" quotePrefix="0" xfId="0">
      <alignment horizontal="right" vertical="center"/>
    </xf>
    <xf numFmtId="0" fontId="2" fillId="4" borderId="0" applyAlignment="1" pivotButton="0" quotePrefix="0" xfId="0">
      <alignment horizontal="left" vertical="center"/>
    </xf>
    <xf numFmtId="169" fontId="13" fillId="4" borderId="0" applyAlignment="1" pivotButton="0" quotePrefix="0" xfId="0">
      <alignment vertical="center"/>
    </xf>
    <xf numFmtId="170" fontId="13" fillId="4" borderId="0" applyAlignment="1" pivotButton="0" quotePrefix="0" xfId="1">
      <alignment horizontal="right" vertical="center"/>
    </xf>
    <xf numFmtId="0" fontId="1" fillId="2" borderId="0" applyAlignment="1" pivotButton="0" quotePrefix="0" xfId="0">
      <alignment vertical="center"/>
    </xf>
    <xf numFmtId="0" fontId="14" fillId="0" borderId="0" pivotButton="0" quotePrefix="0" xfId="0"/>
    <xf numFmtId="0" fontId="15" fillId="5" borderId="4" applyAlignment="1" pivotButton="0" quotePrefix="0" xfId="0">
      <alignment horizontal="center" vertical="center"/>
    </xf>
    <xf numFmtId="14" fontId="15" fillId="5" borderId="5" applyAlignment="1" applyProtection="1" pivotButton="0" quotePrefix="0" xfId="0">
      <alignment horizontal="center" vertical="center"/>
      <protection locked="0" hidden="0"/>
    </xf>
    <xf numFmtId="49" fontId="15" fillId="5" borderId="5" applyAlignment="1" applyProtection="1" pivotButton="0" quotePrefix="0" xfId="0">
      <alignment horizontal="center" vertical="center"/>
      <protection locked="0" hidden="0"/>
    </xf>
    <xf numFmtId="168" fontId="15" fillId="5" borderId="5" applyAlignment="1" applyProtection="1" pivotButton="0" quotePrefix="0" xfId="0">
      <alignment horizontal="center" vertical="center"/>
      <protection locked="0" hidden="0"/>
    </xf>
    <xf numFmtId="171" fontId="15" fillId="5" borderId="5" applyAlignment="1" applyProtection="1" pivotButton="0" quotePrefix="0" xfId="0">
      <alignment horizontal="center" vertical="center"/>
      <protection locked="0" hidden="0"/>
    </xf>
    <xf numFmtId="172" fontId="15" fillId="5" borderId="5" applyAlignment="1" applyProtection="1" pivotButton="0" quotePrefix="0" xfId="0">
      <alignment horizontal="center" vertical="center"/>
      <protection locked="0" hidden="0"/>
    </xf>
    <xf numFmtId="173" fontId="15" fillId="5" borderId="5" applyAlignment="1" pivotButton="0" quotePrefix="0" xfId="0">
      <alignment horizontal="center" vertical="center"/>
    </xf>
    <xf numFmtId="164" fontId="15" fillId="5" borderId="5" applyAlignment="1" pivotButton="0" quotePrefix="0" xfId="0">
      <alignment horizontal="center" vertical="center"/>
    </xf>
    <xf numFmtId="2" fontId="15" fillId="5" borderId="5" applyAlignment="1" pivotButton="0" quotePrefix="0" xfId="0">
      <alignment horizontal="center" vertical="center"/>
    </xf>
    <xf numFmtId="165" fontId="15" fillId="5" borderId="5" applyAlignment="1" applyProtection="1" pivotButton="0" quotePrefix="0" xfId="0">
      <alignment horizontal="center" vertical="center"/>
      <protection locked="0" hidden="0"/>
    </xf>
    <xf numFmtId="9" fontId="15" fillId="5" borderId="6" applyAlignment="1" pivotButton="0" quotePrefix="0" xfId="2">
      <alignment horizontal="center" vertical="center"/>
    </xf>
    <xf numFmtId="164" fontId="15" fillId="5" borderId="6" applyAlignment="1" pivotButton="0" quotePrefix="0" xfId="0">
      <alignment horizontal="center" vertical="center"/>
    </xf>
    <xf numFmtId="0" fontId="2" fillId="4" borderId="0" applyAlignment="1" pivotButton="0" quotePrefix="0" xfId="0">
      <alignment horizontal="left" vertical="center"/>
    </xf>
    <xf numFmtId="168" fontId="0" fillId="4" borderId="0" applyAlignment="1" pivotButton="0" quotePrefix="0" xfId="0">
      <alignment horizontal="left" vertical="center"/>
    </xf>
    <xf numFmtId="3" fontId="2" fillId="7" borderId="0" applyAlignment="1" pivotButton="0" quotePrefix="0" xfId="0">
      <alignment horizontal="left" vertical="center"/>
    </xf>
    <xf numFmtId="168" fontId="0" fillId="7" borderId="0" applyAlignment="1" pivotButton="0" quotePrefix="0" xfId="0">
      <alignment horizontal="left" vertical="center"/>
    </xf>
    <xf numFmtId="9" fontId="15" fillId="5" borderId="6" applyAlignment="1" pivotButton="0" quotePrefix="0" xfId="2">
      <alignment horizontal="center" vertical="center"/>
    </xf>
    <xf numFmtId="49" fontId="15" fillId="5" borderId="5" applyAlignment="1" pivotButton="0" quotePrefix="0" xfId="0">
      <alignment horizontal="center" vertical="center"/>
    </xf>
    <xf numFmtId="168" fontId="15" fillId="5" borderId="5" applyAlignment="1" pivotButton="0" quotePrefix="0" xfId="0">
      <alignment horizontal="center" vertical="center"/>
    </xf>
    <xf numFmtId="171" fontId="15" fillId="5" borderId="5" applyAlignment="1" pivotButton="0" quotePrefix="0" xfId="0">
      <alignment horizontal="center" vertical="center"/>
    </xf>
    <xf numFmtId="172" fontId="15" fillId="5" borderId="5" applyAlignment="1" pivotButton="0" quotePrefix="0" xfId="0">
      <alignment horizontal="center" vertical="center"/>
    </xf>
    <xf numFmtId="165" fontId="15" fillId="5" borderId="5" applyAlignment="1" pivotButton="0" quotePrefix="0" xfId="0">
      <alignment horizontal="center" vertical="center"/>
    </xf>
    <xf numFmtId="164" fontId="0" fillId="9" borderId="0" applyAlignment="1" pivotButton="0" quotePrefix="0" xfId="0">
      <alignment vertical="center"/>
    </xf>
    <xf numFmtId="174" fontId="10" fillId="10" borderId="0" applyAlignment="1" pivotButton="0" quotePrefix="0" xfId="1">
      <alignment vertical="center"/>
    </xf>
    <xf numFmtId="174" fontId="2" fillId="9" borderId="0" applyAlignment="1" pivotButton="0" quotePrefix="0" xfId="0">
      <alignment vertical="center"/>
    </xf>
    <xf numFmtId="166" fontId="10" fillId="10" borderId="0" applyAlignment="1" pivotButton="0" quotePrefix="0" xfId="2">
      <alignment vertical="center"/>
    </xf>
    <xf numFmtId="0" fontId="2" fillId="13" borderId="0" applyAlignment="1" pivotButton="0" quotePrefix="0" xfId="0">
      <alignment vertical="center"/>
    </xf>
    <xf numFmtId="175" fontId="0" fillId="10" borderId="0" applyAlignment="1" pivotButton="0" quotePrefix="0" xfId="0">
      <alignment vertical="center"/>
    </xf>
    <xf numFmtId="176" fontId="0" fillId="9" borderId="0" applyAlignment="1" pivotButton="0" quotePrefix="0" xfId="0">
      <alignment vertical="center"/>
    </xf>
    <xf numFmtId="177" fontId="15" fillId="4" borderId="0" applyAlignment="1" pivotButton="0" quotePrefix="0" xfId="0">
      <alignment vertical="center"/>
    </xf>
    <xf numFmtId="178" fontId="0" fillId="0" borderId="0" applyAlignment="1" pivotButton="0" quotePrefix="0" xfId="0">
      <alignment vertical="center"/>
    </xf>
    <xf numFmtId="173" fontId="15" fillId="5" borderId="0" applyAlignment="1" pivotButton="0" quotePrefix="0" xfId="0">
      <alignment horizontal="center" vertical="center"/>
    </xf>
    <xf numFmtId="0" fontId="15" fillId="5" borderId="4" applyAlignment="1" pivotButton="0" quotePrefix="0" xfId="0">
      <alignment horizontal="center" vertical="center"/>
    </xf>
    <xf numFmtId="49" fontId="15" fillId="5" borderId="6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7" fillId="14" borderId="0" pivotButton="0" quotePrefix="0" xfId="3"/>
    <xf numFmtId="0" fontId="17" fillId="0" borderId="0" pivotButton="0" quotePrefix="0" xfId="3"/>
    <xf numFmtId="0" fontId="17" fillId="15" borderId="0" pivotButton="0" quotePrefix="0" xfId="3"/>
    <xf numFmtId="0" fontId="20" fillId="14" borderId="8" applyAlignment="1" pivotButton="0" quotePrefix="0" xfId="3">
      <alignment horizontal="center" vertical="center" wrapText="1"/>
    </xf>
    <xf numFmtId="0" fontId="20" fillId="17" borderId="8" applyAlignment="1" pivotButton="0" quotePrefix="0" xfId="3">
      <alignment horizontal="center" vertical="center" wrapText="1"/>
    </xf>
    <xf numFmtId="0" fontId="21" fillId="18" borderId="8" applyAlignment="1" pivotButton="0" quotePrefix="0" xfId="3">
      <alignment horizontal="left" vertical="center" indent="1"/>
    </xf>
    <xf numFmtId="0" fontId="21" fillId="19" borderId="8" applyAlignment="1" pivotButton="0" quotePrefix="0" xfId="3">
      <alignment horizontal="left" vertical="center" indent="1"/>
    </xf>
    <xf numFmtId="179" fontId="22" fillId="19" borderId="8" applyAlignment="1" pivotButton="0" quotePrefix="0" xfId="3">
      <alignment horizontal="center" vertical="center"/>
    </xf>
    <xf numFmtId="0" fontId="21" fillId="19" borderId="8" applyAlignment="1" pivotButton="0" quotePrefix="0" xfId="3">
      <alignment horizontal="center" vertical="center"/>
    </xf>
    <xf numFmtId="0" fontId="23" fillId="14" borderId="8" applyAlignment="1" pivotButton="0" quotePrefix="0" xfId="3">
      <alignment horizontal="left" vertical="center" indent="1"/>
    </xf>
    <xf numFmtId="179" fontId="23" fillId="14" borderId="8" applyAlignment="1" pivotButton="0" quotePrefix="0" xfId="3">
      <alignment horizontal="center" vertical="center"/>
    </xf>
    <xf numFmtId="0" fontId="23" fillId="14" borderId="8" applyAlignment="1" pivotButton="0" quotePrefix="0" xfId="3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left" vertical="center"/>
    </xf>
    <xf numFmtId="0" fontId="7" fillId="11" borderId="0" applyAlignment="1" pivotButton="0" quotePrefix="0" xfId="0">
      <alignment horizontal="center" vertical="center"/>
    </xf>
    <xf numFmtId="0" fontId="17" fillId="0" borderId="0" pivotButton="0" quotePrefix="0" xfId="3"/>
    <xf numFmtId="0" fontId="18" fillId="14" borderId="0" applyAlignment="1" pivotButton="0" quotePrefix="0" xfId="3">
      <alignment horizontal="center" vertical="center"/>
    </xf>
    <xf numFmtId="0" fontId="19" fillId="16" borderId="8" applyAlignment="1" pivotButton="0" quotePrefix="0" xfId="3">
      <alignment horizontal="left" vertical="center" wrapText="1" indent="1"/>
    </xf>
    <xf numFmtId="0" fontId="1" fillId="2" borderId="1" applyAlignment="1" pivotButton="0" quotePrefix="0" xfId="0">
      <alignment horizontal="center" vertical="center" wrapText="1"/>
    </xf>
    <xf numFmtId="0" fontId="1" fillId="2" borderId="2" applyAlignment="1" applyProtection="1" pivotButton="0" quotePrefix="0" xfId="0">
      <alignment horizontal="center" vertical="center" wrapText="1"/>
      <protection locked="0" hidden="0"/>
    </xf>
    <xf numFmtId="0" fontId="1" fillId="2" borderId="2" applyAlignment="1" pivotButton="0" quotePrefix="0" xfId="0">
      <alignment horizontal="center" vertical="center" wrapText="1"/>
    </xf>
    <xf numFmtId="0" fontId="1" fillId="2" borderId="3" applyAlignment="1" pivotButton="0" quotePrefix="0" xfId="0">
      <alignment horizontal="center" vertical="center" wrapText="1"/>
    </xf>
    <xf numFmtId="22" fontId="0" fillId="0" borderId="0" applyAlignment="1" pivotButton="0" quotePrefix="0" xfId="0">
      <alignment horizontal="center" vertical="center"/>
    </xf>
    <xf numFmtId="0" fontId="24" fillId="16" borderId="9" applyAlignment="1" pivotButton="0" quotePrefix="0" xfId="3">
      <alignment horizontal="left" vertical="center" wrapText="1"/>
    </xf>
    <xf numFmtId="0" fontId="24" fillId="16" borderId="0" applyAlignment="1" pivotButton="0" quotePrefix="0" xfId="3">
      <alignment horizontal="left" vertical="center" wrapText="1"/>
    </xf>
    <xf numFmtId="169" fontId="13" fillId="4" borderId="0" applyAlignment="1" pivotButton="0" quotePrefix="0" xfId="0">
      <alignment vertical="center"/>
    </xf>
    <xf numFmtId="168" fontId="12" fillId="4" borderId="0" applyAlignment="1" pivotButton="0" quotePrefix="0" xfId="0">
      <alignment horizontal="right" vertical="center"/>
    </xf>
    <xf numFmtId="170" fontId="13" fillId="4" borderId="0" applyAlignment="1" pivotButton="0" quotePrefix="0" xfId="1">
      <alignment horizontal="right" vertical="center"/>
    </xf>
    <xf numFmtId="167" fontId="1" fillId="3" borderId="0" applyAlignment="1" pivotButton="0" quotePrefix="0" xfId="0">
      <alignment horizontal="center" vertical="center"/>
    </xf>
    <xf numFmtId="168" fontId="15" fillId="5" borderId="5" applyAlignment="1" applyProtection="1" pivotButton="0" quotePrefix="0" xfId="0">
      <alignment horizontal="center" vertical="center"/>
      <protection locked="0" hidden="0"/>
    </xf>
    <xf numFmtId="168" fontId="15" fillId="5" borderId="5" applyAlignment="1" pivotButton="0" quotePrefix="0" xfId="0">
      <alignment horizontal="center" vertical="center"/>
    </xf>
    <xf numFmtId="171" fontId="15" fillId="5" borderId="5" applyAlignment="1" applyProtection="1" pivotButton="0" quotePrefix="0" xfId="0">
      <alignment horizontal="center" vertical="center"/>
      <protection locked="0" hidden="0"/>
    </xf>
    <xf numFmtId="172" fontId="15" fillId="5" borderId="5" applyAlignment="1" applyProtection="1" pivotButton="0" quotePrefix="0" xfId="0">
      <alignment horizontal="center" vertical="center"/>
      <protection locked="0" hidden="0"/>
    </xf>
    <xf numFmtId="173" fontId="15" fillId="5" borderId="5" applyAlignment="1" pivotButton="0" quotePrefix="0" xfId="0">
      <alignment horizontal="center" vertical="center"/>
    </xf>
    <xf numFmtId="171" fontId="15" fillId="5" borderId="5" applyAlignment="1" pivotButton="0" quotePrefix="0" xfId="0">
      <alignment horizontal="center" vertical="center"/>
    </xf>
    <xf numFmtId="172" fontId="15" fillId="5" borderId="5" applyAlignment="1" pivotButton="0" quotePrefix="0" xfId="0">
      <alignment horizontal="center" vertical="center"/>
    </xf>
    <xf numFmtId="173" fontId="15" fillId="5" borderId="0" applyAlignment="1" pivotButton="0" quotePrefix="0" xfId="0">
      <alignment horizontal="center" vertical="center"/>
    </xf>
    <xf numFmtId="174" fontId="10" fillId="10" borderId="0" applyAlignment="1" pivotButton="0" quotePrefix="0" xfId="1">
      <alignment vertical="center"/>
    </xf>
    <xf numFmtId="174" fontId="2" fillId="9" borderId="0" applyAlignment="1" pivotButton="0" quotePrefix="0" xfId="0">
      <alignment vertical="center"/>
    </xf>
    <xf numFmtId="168" fontId="0" fillId="7" borderId="0" applyAlignment="1" pivotButton="0" quotePrefix="0" xfId="0">
      <alignment horizontal="left" vertical="center"/>
    </xf>
    <xf numFmtId="168" fontId="0" fillId="4" borderId="0" applyAlignment="1" pivotButton="0" quotePrefix="0" xfId="0">
      <alignment horizontal="left" vertical="center"/>
    </xf>
    <xf numFmtId="176" fontId="0" fillId="9" borderId="0" applyAlignment="1" pivotButton="0" quotePrefix="0" xfId="0">
      <alignment vertical="center"/>
    </xf>
    <xf numFmtId="0" fontId="0" fillId="0" borderId="12" pivotButton="0" quotePrefix="0" xfId="0"/>
    <xf numFmtId="0" fontId="0" fillId="0" borderId="13" pivotButton="0" quotePrefix="0" xfId="0"/>
    <xf numFmtId="0" fontId="0" fillId="0" borderId="9" pivotButton="0" quotePrefix="0" xfId="0"/>
  </cellXfs>
  <cellStyles count="4">
    <cellStyle name="Normal" xfId="0" builtinId="0"/>
    <cellStyle name="Monétaire" xfId="1" builtinId="4"/>
    <cellStyle name="Pourcentage" xfId="2" builtinId="5"/>
    <cellStyle name="Normal 2" xfId="3"/>
  </cellStyles>
  <dxfs count="43">
    <dxf>
      <font>
        <color rgb="FF9C5700"/>
      </font>
      <fill>
        <patternFill patternType="solid">
          <fgColor indexed="64"/>
          <bgColor rgb="FFFFE699"/>
        </patternFill>
      </fill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27" formatCode="dd/mm/yyyy\ hh:mm"/>
      <alignment horizontal="center" vertical="center"/>
    </dxf>
    <dxf>
      <alignment horizontal="center" vertical="center"/>
    </dxf>
    <dxf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2"/>
        <vertAlign val="baseline"/>
        <scheme val="minor"/>
      </font>
      <fill>
        <patternFill patternType="solid">
          <fgColor indexed="64"/>
          <bgColor rgb="FF4472C4"/>
        </patternFill>
      </fill>
      <alignment horizontal="center" vertical="center" wrapText="1"/>
      <border outline="0">
        <left style="thin">
          <color rgb="FFB4C6E7"/>
        </left>
        <right style="thin">
          <color rgb="FFB4C6E7"/>
        </right>
        <top/>
        <bottom/>
      </border>
      <protection locked="1" hidden="0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/>
      <border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lor rgb="FF333F4F"/>
        <sz val="12"/>
        <vertAlign val="baseline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/>
      <border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/>
      <protection locked="1" hidden="0"/>
    </dxf>
    <dxf>
      <border outline="0">
        <bottom style="thin">
          <color rgb="FFB4C6E7"/>
        </bottom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externalLink" Target="/xl/externalLinks/externalLink1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/>
      <lineChart>
        <grouping val="standard"/>
        <varyColors val="0"/>
        <ser>
          <idx val="1"/>
          <order val="0"/>
          <tx>
            <strRef>
              <f>Graphiques!$P$1</f>
              <strCache>
                <ptCount val="1"/>
                <pt idx="0">
                  <v>Économie cumulée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Graphiques!$O$2:$O$9</f>
              <numCache>
                <formatCode>General</formatCode>
                <ptCount val="8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</numCache>
            </numRef>
          </cat>
          <val>
            <numRef>
              <f>Graphiques!$P$2:$P$9</f>
              <numCache>
                <formatCode>General</formatCode>
                <ptCount val="8"/>
                <pt idx="0">
                  <v>0</v>
                </pt>
                <pt idx="1">
                  <v>10.43713422358006</v>
                </pt>
                <pt idx="2">
                  <v>22.00263492301602</v>
                </pt>
                <pt idx="3">
                  <v>36.94128246250206</v>
                </pt>
                <pt idx="4">
                  <v>49.4479679124136</v>
                </pt>
                <pt idx="5">
                  <v>63.02092091566448</v>
                </pt>
                <pt idx="6">
                  <v>76.89092066771809</v>
                </pt>
                <pt idx="7">
                  <v>92.36692805220494</v>
                </pt>
              </numCache>
            </numRef>
          </val>
          <smooth val="0"/>
        </ser>
        <ser>
          <idx val="2"/>
          <order val="1"/>
          <tx>
            <strRef>
              <f>Graphiques!$Q$1</f>
              <strCache>
                <ptCount val="1"/>
                <pt idx="0">
                  <v>Coût du kit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Graphiques!$O$2:$O$9</f>
              <numCache>
                <formatCode>General</formatCode>
                <ptCount val="8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</numCache>
            </numRef>
          </cat>
          <val>
            <numRef>
              <f>Graphiques!$Q$2:$Q$9</f>
              <numCache>
                <formatCode>General</formatCode>
                <ptCount val="8"/>
                <pt idx="0">
                  <v>514.54</v>
                </pt>
                <pt idx="1">
                  <v>514.54</v>
                </pt>
                <pt idx="2">
                  <v>514.54</v>
                </pt>
                <pt idx="3">
                  <v>514.54</v>
                </pt>
                <pt idx="4">
                  <v>514.54</v>
                </pt>
                <pt idx="5">
                  <v>514.54</v>
                </pt>
                <pt idx="6">
                  <v>514.54</v>
                </pt>
                <pt idx="7">
                  <v>514.54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88248256"/>
        <axId val="1088246816"/>
      </lineChart>
      <catAx>
        <axId val="1088248256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6816"/>
        <crosses val="autoZero"/>
        <auto val="1"/>
        <lblAlgn val="ctr"/>
        <lblOffset val="100"/>
        <noMultiLvlLbl val="0"/>
      </catAx>
      <valAx>
        <axId val="10882468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8256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3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Graphiques!$T$1</f>
              <strCache>
                <ptCount val="1"/>
                <pt idx="0">
                  <v>Conso S98 (L/100km)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numRef>
              <f>Graphiques!$S$2:$S$11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Graphiques!$T$2:$T$11</f>
              <numCache>
                <formatCode>General</formatCode>
                <ptCount val="10"/>
                <pt idx="0">
                  <v>#N/A</v>
                </pt>
                <pt idx="1">
                  <v>5.397163120567376</v>
                </pt>
                <pt idx="2">
                  <v>5.392156862745098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</numCache>
            </numRef>
          </val>
        </ser>
        <ser>
          <idx val="1"/>
          <order val="1"/>
          <tx>
            <strRef>
              <f>Graphiques!$U$1</f>
              <strCache>
                <ptCount val="1"/>
                <pt idx="0">
                  <v>Conso E85 (L/100km)</v>
                </pt>
              </strCache>
            </strRef>
          </tx>
          <spPr>
            <a:solidFill>
              <a:schemeClr val="accent2"/>
            </a:solidFill>
            <a:ln>
              <a:noFill/>
              <a:prstDash val="solid"/>
            </a:ln>
          </spPr>
          <invertIfNegative val="0"/>
          <cat>
            <numRef>
              <f>Graphiques!$S$2:$S$11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Graphiques!$U$2:$U$11</f>
              <numCache>
                <formatCode>General</formatCode>
                <ptCount val="10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5.622549019607844</v>
                </pt>
                <pt idx="4">
                  <v>5.974489795918368</v>
                </pt>
                <pt idx="5">
                  <v>6.761061946902655</v>
                </pt>
                <pt idx="6">
                  <v>7.04040404040404</v>
                </pt>
                <pt idx="7">
                  <v>6.586206896551723</v>
                </pt>
                <pt idx="8">
                  <v>6.772727272727273</v>
                </pt>
                <pt idx="9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06257904"/>
        <axId val="906258384"/>
      </barChart>
      <catAx>
        <axId val="906257904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906258384"/>
        <crosses val="autoZero"/>
        <auto val="1"/>
        <lblAlgn val="ctr"/>
        <lblOffset val="100"/>
        <noMultiLvlLbl val="0"/>
      </catAx>
      <valAx>
        <axId val="90625838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906257904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3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Graphiques!$X$1</f>
              <strCache>
                <ptCount val="1"/>
                <pt idx="0">
                  <v>Coût S98 (c€/km)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numRef>
              <f>Graphiques!$W$2:$W$11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Graphiques!$X$2:$X$11</f>
              <numCache>
                <formatCode>General</formatCode>
                <ptCount val="10"/>
                <pt idx="0">
                  <v>#N/A</v>
                </pt>
                <pt idx="1">
                  <v>5.397163120567376</v>
                </pt>
                <pt idx="2">
                  <v>5.392156862745098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</numCache>
            </numRef>
          </val>
        </ser>
        <ser>
          <idx val="1"/>
          <order val="1"/>
          <tx>
            <strRef>
              <f>Graphiques!$Y$1</f>
              <strCache>
                <ptCount val="1"/>
                <pt idx="0">
                  <v>Coût E85 (c€/km)</v>
                </pt>
              </strCache>
            </strRef>
          </tx>
          <spPr>
            <a:solidFill>
              <a:schemeClr val="accent2"/>
            </a:solidFill>
            <a:ln>
              <a:noFill/>
              <a:prstDash val="solid"/>
            </a:ln>
          </spPr>
          <invertIfNegative val="0"/>
          <cat>
            <numRef>
              <f>Graphiques!$W$2:$W$11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Graphiques!$Y$2:$Y$11</f>
              <numCache>
                <formatCode>General</formatCode>
                <ptCount val="10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5.622549019607844</v>
                </pt>
                <pt idx="4">
                  <v>5.974489795918368</v>
                </pt>
                <pt idx="5">
                  <v>6.761061946902655</v>
                </pt>
                <pt idx="6">
                  <v>7.04040404040404</v>
                </pt>
                <pt idx="7">
                  <v>6.586206896551723</v>
                </pt>
                <pt idx="8">
                  <v>6.772727272727273</v>
                </pt>
                <pt idx="9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12443504"/>
        <axId val="1212441584"/>
      </barChart>
      <catAx>
        <axId val="1212443504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212441584"/>
        <crosses val="autoZero"/>
        <auto val="1"/>
        <lblAlgn val="ctr"/>
        <lblOffset val="100"/>
        <noMultiLvlLbl val="0"/>
      </catAx>
      <valAx>
        <axId val="121244158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212443504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3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Graphiques!$AB$1</f>
              <strCache>
                <ptCount val="1"/>
                <pt idx="0">
                  <v>Prix payé (€/L)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numRef>
              <f>Graphiques!$AA$2:$AA$11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Graphiques!$AB$2:$AB$11</f>
              <numCache>
                <formatCode>General</formatCode>
                <ptCount val="10"/>
                <pt idx="0">
                  <v>1.973</v>
                </pt>
                <pt idx="1">
                  <v>1.926</v>
                </pt>
                <pt idx="2">
                  <v>2.031</v>
                </pt>
                <pt idx="3">
                  <v>0.8090000000000001</v>
                </pt>
                <pt idx="4">
                  <v>0.747</v>
                </pt>
                <pt idx="5">
                  <v>0.757</v>
                </pt>
                <pt idx="6">
                  <v>0.835</v>
                </pt>
                <pt idx="7">
                  <v>0.717</v>
                </pt>
                <pt idx="8">
                  <v>0.798</v>
                </pt>
                <pt idx="9">
                  <v>#N/A</v>
                </pt>
              </numCache>
            </numRef>
          </val>
          <smooth val="0"/>
        </ser>
        <ser>
          <idx val="1"/>
          <order val="1"/>
          <tx>
            <strRef>
              <f>Graphiques!$AC$1</f>
              <strCache>
                <ptCount val="1"/>
                <pt idx="0">
                  <v>Prix S98 du jour (€/L)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cat>
            <numRef>
              <f>Graphiques!$AA$2:$AA$11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Graphiques!$AC$2:$AC$11</f>
              <numCache>
                <formatCode>General</formatCode>
                <ptCount val="10"/>
                <pt idx="0">
                  <v>1.973</v>
                </pt>
                <pt idx="1">
                  <v>1.926</v>
                </pt>
                <pt idx="2">
                  <v>2.031</v>
                </pt>
                <pt idx="3">
                  <v>2.079</v>
                </pt>
                <pt idx="4">
                  <v>2.098</v>
                </pt>
                <pt idx="5">
                  <v>2.098</v>
                </pt>
                <pt idx="6">
                  <v>2.095</v>
                </pt>
                <pt idx="7">
                  <v>2.095</v>
                </pt>
                <pt idx="8">
                  <v>2.091</v>
                </pt>
                <pt idx="9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88246336"/>
        <axId val="1088245856"/>
      </lineChart>
      <catAx>
        <axId val="1088246336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5856"/>
        <crosses val="autoZero"/>
        <auto val="1"/>
        <lblAlgn val="ctr"/>
        <lblOffset val="100"/>
        <noMultiLvlLbl val="0"/>
      </catAx>
      <valAx>
        <axId val="1088245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6336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lineMarker"/>
        <varyColors val="0"/>
        <ser>
          <idx val="0"/>
          <order val="0"/>
          <tx>
            <strRef>
              <f>Graphiques!$AF$1</f>
              <strCache>
                <ptCount val="1"/>
                <pt idx="0">
                  <v>Économie cumulée (€)</v>
                </pt>
              </strCache>
            </strRef>
          </tx>
          <spPr>
            <a:ln w="28575" cap="rnd">
              <a:solidFill>
                <a:srgbClr val="2E75B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rgbClr val="2E75B6"/>
              </a:solidFill>
              <a:ln w="9525">
                <a:solidFill>
                  <a:srgbClr val="2E75B6"/>
                </a:solidFill>
                <a:prstDash val="solid"/>
              </a:ln>
            </spPr>
          </marker>
          <trendline name="Tendance economie">
            <spPr>
              <a:ln w="19050" cap="rnd">
                <a:solidFill>
                  <a:srgbClr val="2E75B6"/>
                </a:solidFill>
                <a:prstDash val="sysDot"/>
              </a:ln>
            </spPr>
            <trendlineType val="linear"/>
            <dispRSqr val="0"/>
            <dispEq val="0"/>
          </trendline>
          <xVal>
            <numRef>
              <f>Graphiques!$AE$2:$AE$12</f>
              <numCache>
                <formatCode>General</formatCod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numCache>
            </numRef>
          </xVal>
          <yVal>
            <numRef>
              <f>Graphiques!$AF$2:$AF$12</f>
              <numCache>
                <formatCode>General</formatCode>
                <ptCount val="11"/>
                <pt idx="0">
                  <v>0</v>
                </pt>
                <pt idx="1">
                  <v>10.43713422358006</v>
                </pt>
                <pt idx="2">
                  <v>22.00263492301602</v>
                </pt>
                <pt idx="3">
                  <v>36.94128246250206</v>
                </pt>
                <pt idx="4">
                  <v>49.4479679124136</v>
                </pt>
                <pt idx="5">
                  <v>63.02092091566448</v>
                </pt>
                <pt idx="6">
                  <v>76.89092066771809</v>
                </pt>
                <pt idx="7">
                  <v>92.36692805220494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</numCache>
            </numRef>
          </yVal>
          <smooth val="0"/>
        </ser>
        <ser>
          <idx val="1"/>
          <order val="1"/>
          <tx>
            <strRef>
              <f>Graphiques!$AG$1</f>
              <strCache>
                <ptCount val="1"/>
                <pt idx="0">
                  <v>Coût du kit (€)</v>
                </pt>
              </strCache>
            </strRef>
          </tx>
          <spPr>
            <a:ln w="28575" cap="rnd">
              <a:solidFill>
                <a:srgbClr val="F0A500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Graphiques!$AE$2:$AE$41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Graphiques!$AG$2:$AG$41</f>
              <numCache>
                <formatCode>General</formatCode>
                <ptCount val="40"/>
                <pt idx="0">
                  <v>514.54</v>
                </pt>
                <pt idx="1">
                  <v>514.54</v>
                </pt>
                <pt idx="2">
                  <v>514.54</v>
                </pt>
                <pt idx="3">
                  <v>514.54</v>
                </pt>
                <pt idx="4">
                  <v>514.54</v>
                </pt>
                <pt idx="5">
                  <v>514.54</v>
                </pt>
                <pt idx="6">
                  <v>514.54</v>
                </pt>
                <pt idx="7">
                  <v>514.54</v>
                </pt>
                <pt idx="8">
                  <v>514.54</v>
                </pt>
                <pt idx="9">
                  <v>514.54</v>
                </pt>
                <pt idx="10">
                  <v>514.54</v>
                </pt>
                <pt idx="11">
                  <v>514.54</v>
                </pt>
                <pt idx="12">
                  <v>514.54</v>
                </pt>
                <pt idx="13">
                  <v>514.54</v>
                </pt>
                <pt idx="14">
                  <v>514.54</v>
                </pt>
                <pt idx="15">
                  <v>514.54</v>
                </pt>
                <pt idx="16">
                  <v>514.54</v>
                </pt>
                <pt idx="17">
                  <v>514.54</v>
                </pt>
                <pt idx="18">
                  <v>514.54</v>
                </pt>
                <pt idx="19">
                  <v>514.54</v>
                </pt>
                <pt idx="20">
                  <v>514.54</v>
                </pt>
                <pt idx="21">
                  <v>514.54</v>
                </pt>
                <pt idx="22">
                  <v>514.54</v>
                </pt>
                <pt idx="23">
                  <v>514.54</v>
                </pt>
                <pt idx="24">
                  <v>514.54</v>
                </pt>
                <pt idx="25">
                  <v>514.54</v>
                </pt>
                <pt idx="26">
                  <v>514.54</v>
                </pt>
                <pt idx="27">
                  <v>514.54</v>
                </pt>
                <pt idx="28">
                  <v>514.54</v>
                </pt>
                <pt idx="29">
                  <v>514.54</v>
                </pt>
                <pt idx="30">
                  <v>514.54</v>
                </pt>
                <pt idx="31">
                  <v>514.54</v>
                </pt>
                <pt idx="32">
                  <v>514.54</v>
                </pt>
                <pt idx="33">
                  <v>514.54</v>
                </pt>
                <pt idx="34">
                  <v>514.54</v>
                </pt>
                <pt idx="35">
                  <v>514.54</v>
                </pt>
                <pt idx="36">
                  <v>514.54</v>
                </pt>
                <pt idx="37">
                  <v>514.54</v>
                </pt>
                <pt idx="38">
                  <v>514.54</v>
                </pt>
                <pt idx="39">
                  <v>514.54</v>
                </pt>
              </numCache>
            </numRef>
          </yVal>
          <smooth val="0"/>
        </ser>
        <ser>
          <idx val="2"/>
          <order val="2"/>
          <tx>
            <strRef>
              <f>Graphiques!$AI$1</f>
              <strCache>
                <ptCount val="1"/>
                <pt idx="0">
                  <v>Projection éco (€)</v>
                </pt>
              </strCache>
            </strRef>
          </tx>
          <spPr>
            <a:ln w="22225" cap="rnd">
              <a:solidFill>
                <a:srgbClr val="FF6B35"/>
              </a:solidFill>
              <a:prstDash val="sysDash"/>
              <a:round/>
            </a:ln>
          </spPr>
          <marker>
            <symbol val="diamond"/>
            <size val="6"/>
            <spPr>
              <a:solidFill>
                <a:srgbClr val="FF6B35"/>
              </a:solidFill>
              <a:ln w="9525">
                <a:solidFill>
                  <a:srgbClr val="FF6B35"/>
                </a:solidFill>
                <a:prstDash val="solid"/>
              </a:ln>
            </spPr>
          </marker>
          <xVal>
            <numRef>
              <f>Graphiques!$AH$2:$AH$3</f>
              <numCache>
                <formatCode>General</formatCode>
                <ptCount val="2"/>
                <pt idx="0">
                  <v>7</v>
                </pt>
                <pt idx="1">
                  <v>39</v>
                </pt>
              </numCache>
            </numRef>
          </xVal>
          <yVal>
            <numRef>
              <f>Graphiques!$AI$2:$AI$3</f>
              <numCache>
                <formatCode>General</formatCode>
                <ptCount val="2"/>
                <pt idx="0">
                  <v>92.36692805220494</v>
                </pt>
                <pt idx="1">
                  <v>514.54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175985520"/>
        <axId val="1175986000"/>
      </scatterChart>
      <valAx>
        <axId val="1175985520"/>
        <scaling>
          <orientation val="minMax"/>
          <max val="39"/>
        </scaling>
        <delete val="0"/>
        <axPos val="b"/>
        <title>
          <tx>
            <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rich>
          </tx>
          <overlay val="0"/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/>
          <a:lstStyle/>
          <a:p>
            <a:pPr>
              <a:defRPr sz="900"/>
            </a:pPr>
            <a:r>
              <a:t/>
            </a:r>
            <a:endParaRPr lang="fr-FR"/>
          </a:p>
        </txPr>
        <crossAx val="1175986000"/>
        <crosses val="autoZero"/>
        <crossBetween val="midCat"/>
      </valAx>
      <valAx>
        <axId val="1175986000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rich>
          </tx>
          <overlay val="0"/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5400000"/>
          <a:lstStyle/>
          <a:p>
            <a:pPr>
              <a:defRPr sz="900"/>
            </a:pPr>
            <a:r>
              <a:t/>
            </a:r>
            <a:endParaRPr lang="fr-FR"/>
          </a:p>
        </txPr>
        <crossAx val="1175985520"/>
        <crosses val="autoZero"/>
        <crossBetween val="midCat"/>
        <majorUnit val="100"/>
      </valAx>
    </plotArea>
    <legend>
      <legendPos val="b"/>
      <overlay val="0"/>
      <spPr>
        <a:noFill/>
        <a:ln>
          <a:noFill/>
          <a:prstDash val="solid"/>
        </a:ln>
      </spPr>
      <txPr>
        <a:bodyPr/>
        <a:lstStyle/>
        <a:p>
          <a:pPr>
            <a:defRPr sz="900"/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0</colOff>
      <row>1</row>
      <rowOff>0</rowOff>
    </from>
    <to>
      <col>7</col>
      <colOff>0</colOff>
      <row>18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7</col>
      <colOff>85725</colOff>
      <row>1</row>
      <rowOff>1</rowOff>
    </from>
    <to>
      <col>13</col>
      <colOff>85725</colOff>
      <row>18</row>
      <rowOff>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</col>
      <colOff>9525</colOff>
      <row>18</row>
      <rowOff>104776</rowOff>
    </from>
    <to>
      <col>7</col>
      <colOff>9525</colOff>
      <row>35</row>
      <rowOff>104776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7</col>
      <colOff>114300</colOff>
      <row>18</row>
      <rowOff>104776</rowOff>
    </from>
    <to>
      <col>13</col>
      <colOff>114300</colOff>
      <row>35</row>
      <rowOff>104776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</col>
      <colOff>19050</colOff>
      <row>35</row>
      <rowOff>171450</rowOff>
    </from>
    <to>
      <col>13</col>
      <colOff>123825</colOff>
      <row>52</row>
      <rowOff>171450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fdaub\AppData\Roaming\Microsoft\Excel\XLSTART\samradapps_datepicker_221114.xla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DonneesExternes" displayName="DonneesExternes" ref="A1:N6" headerRowCount="1" totalsRowShown="0" headerRowDxfId="16" dataDxfId="15">
  <autoFilter ref="A1:N6"/>
  <tableColumns count="14">
    <tableColumn id="1" name="Horodatage" dataDxfId="14"/>
    <tableColumn id="2" name="Date" dataDxfId="13"/>
    <tableColumn id="3" name="Type" dataDxfId="12"/>
    <tableColumn id="4" name="Km compteur" dataDxfId="11"/>
    <tableColumn id="5" name="Nb. Litres" dataDxfId="10"/>
    <tableColumn id="6" name="Prix €/L" dataDxfId="9"/>
    <tableColumn id="7" name="Prix S98 jour (€/L)" dataDxfId="8"/>
    <tableColumn id="8" name="Station essence" dataDxfId="7"/>
    <tableColumn id="9" name="E85 station (€/L)" dataDxfId="6"/>
    <tableColumn id="10" name="SP98 station (€/L)" dataDxfId="5"/>
    <tableColumn id="11" name="SP95 station (€/L)" dataDxfId="4"/>
    <tableColumn id="12" name="E10 station (€/L)" dataDxfId="3"/>
    <tableColumn id="13" name="Gazole station (€/L)" dataDxfId="2"/>
    <tableColumn id="14" name="GPLc station (€/L)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15:O25" headerRowCount="1" totalsRowShown="0" headerRowDxfId="17" dataDxfId="41" headerRowBorderDxfId="42" tableBorderDxfId="40" totalsRowBorderDxfId="39">
  <autoFilter ref="A15:O2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</autoFilter>
  <tableColumns count="15">
    <tableColumn id="1" name="N°" dataDxfId="38">
      <calculatedColumnFormula>IF(B16="","",A15+1)</calculatedColumnFormula>
    </tableColumn>
    <tableColumn id="2" name="Date" dataDxfId="37"/>
    <tableColumn id="11" name="Type" dataDxfId="36"/>
    <tableColumn id="3" name="Km compteur" dataDxfId="35"/>
    <tableColumn id="15" name="Nb. km" dataDxfId="34">
      <calculatedColumnFormula>IF(AND(ISNUMBER(D15),Tableau2[[#This Row],[Km compteur]]&lt;&gt;""),Tableau2[[#This Row],[Km compteur]]-D15,"")</calculatedColumnFormula>
    </tableColumn>
    <tableColumn id="4" name="Nb. Litres" dataDxfId="33"/>
    <tableColumn id="5" name="Prix €/L" dataDxfId="32"/>
    <tableColumn id="13" name="Coût c€/km" dataDxfId="31">
      <calculatedColumnFormula>IF(OR(D16="",D15="",I16="",ISTEXT(D15)),"",F16/(D16-D15)*100)</calculatedColumnFormula>
    </tableColumn>
    <tableColumn id="6" name="Coût Plein (€)" dataDxfId="30">
      <calculatedColumnFormula>IF(F16="","",F16*G16)</calculatedColumnFormula>
    </tableColumn>
    <tableColumn id="7" name="Conso. (L/100km)" dataDxfId="29">
      <calculatedColumnFormula>IF(OR(D16="",D15="",F16="",ISTEXT(D15)),"",F16/(D16-D15)*100)</calculatedColumnFormula>
    </tableColumn>
    <tableColumn id="8" name="Prix S98 jour (€/L)" dataDxfId="28">
      <calculatedColumnFormula>IF(Tableau2[[#This Row],[Type]]="Super 98",Tableau2[[#This Row],[Prix €/L]],"")</calculatedColumnFormula>
    </tableColumn>
    <tableColumn id="9" name="Coût Plein équiv. S98 (€)" dataDxfId="2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name="Economie sur le plein" dataDxfId="2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name="Économie cumulée (€)" dataDxfId="2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name="Station essen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carburant" displayName="tbl_carburant" ref="B2:B8" headerRowCount="1" totalsRowShown="0" headerRowDxfId="23" dataDxfId="22">
  <autoFilter ref="B2:B8">
    <filterColumn colId="0" hiddenButton="0" showButton="1">
      <customFilters>
        <customFilter val=" " operator="notEqual"/>
      </customFilters>
    </filterColumn>
  </autoFilter>
  <sortState ref="B3:B6">
    <sortCondition ref="B2:B8"/>
  </sortState>
  <tableColumns count="1">
    <tableColumn id="1" name="Type carburant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stationEssence" displayName="tbl_stationEssence" ref="D2:D24" headerRowCount="1" totalsRowShown="0" headerRowDxfId="20" dataDxfId="19">
  <autoFilter ref="D2:D24"/>
  <sortState ref="D3:D10">
    <sortCondition ref="D2:D24"/>
  </sortState>
  <tableColumns count="1">
    <tableColumn id="1" name="Station essence utilisée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table" Target="/xl/tables/table4.xml" Id="rId2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F56"/>
  <sheetViews>
    <sheetView workbookViewId="0">
      <selection activeCell="A1" sqref="A1"/>
    </sheetView>
  </sheetViews>
  <sheetFormatPr baseColWidth="10" defaultRowHeight="15.75"/>
  <sheetData>
    <row r="1">
      <c r="A1" s="1" t="inlineStr">
        <is>
          <t>Turn #</t>
        </is>
      </c>
      <c r="B1" s="1" t="inlineStr">
        <is>
          <t>Date</t>
        </is>
      </c>
      <c r="C1" s="1" t="inlineStr">
        <is>
          <t>User Request</t>
        </is>
      </c>
      <c r="D1" s="1" t="inlineStr">
        <is>
          <t>Action Taken</t>
        </is>
      </c>
      <c r="E1" s="1" t="inlineStr">
        <is>
          <t>Details</t>
        </is>
      </c>
      <c r="F1" s="1" t="inlineStr">
        <is>
          <t>Outcome</t>
        </is>
      </c>
    </row>
    <row r="2">
      <c r="A2" t="n">
        <v>1</v>
      </c>
      <c r="B2" s="2" t="n">
        <v>46126</v>
      </c>
      <c r="C2" t="inlineStr">
        <is>
          <t>Créer un tableau de suivi consommation carburant éthanol E85 vs Super 98 pour calculer la rentabilité d'un kit éthanol moto</t>
        </is>
      </c>
      <c r="D2" t="inlineStr">
        <is>
          <t>Créé la feuille 'Suivi Carburant' avec 3 sections : Paramètres, Suivi des pleins (30 lignes), Analyse &amp; Rentabilité</t>
        </is>
      </c>
      <c r="E2" t="inlineStr">
        <is>
          <t>Formules : Coût E85 = Litres × Prix E85, Coût équiv. S98 = Litres/(1+surconso) × Prix S98, Économie nette = Éco brute - Coût kit. Indicateur de rentabilité automatique. Alternance de couleurs, cellules de saisie en bleu.</t>
        </is>
      </c>
      <c r="F2" t="inlineStr">
        <is>
          <t>Tableau prêt dans l'onglet 'Suivi Carburant'. L'utilisateur doit remplir les paramètres (B4:B7) puis saisir ses pleins ligne par ligne.</t>
        </is>
      </c>
    </row>
    <row r="3">
      <c r="A3" t="n">
        <v>2</v>
      </c>
      <c r="B3" s="2" t="n">
        <v>46126</v>
      </c>
      <c r="C3" t="inlineStr">
        <is>
          <t>Les prix E85 et Super 98 doivent être saisis à chaque plein au lieu d'un prix fixe dans les paramètres</t>
        </is>
      </c>
      <c r="D3" t="inlineStr">
        <is>
          <t>Restructuré le tableau : ajouté colonnes E (Prix E85) et F (Prix S98) par plein, supprimé les prix fixes des paramètres, mis à jour toutes les formules</t>
        </is>
      </c>
      <c r="E3" t="inlineStr">
        <is>
          <t>Nouvelles formules : Coût E85 = D×E (litres×prix saisi), Coût équiv S98 = D/(1+surconso)×F. Ajouté prix moyens E85/S98 dans l'analyse. Tableau élargi de H à J colonnes.</t>
        </is>
      </c>
      <c r="F3" t="inlineStr">
        <is>
          <t>Tableau restructuré avec 10 colonnes (A-J). Prix saisis par plein permettent un suivi plus précis des économies réelles.</t>
        </is>
      </c>
    </row>
    <row r="4">
      <c r="A4" t="n">
        <v>3</v>
      </c>
      <c r="B4" s="2" t="n">
        <v>46126</v>
      </c>
      <c r="C4" t="inlineStr">
        <is>
          <t>Remplacer 'Économie par plein' par 'Économie/100km' et 'Pleins restants' par 'Nb kms restants pour rentabilité'. Recalculer les formules.</t>
        </is>
      </c>
      <c r="D4" t="inlineStr">
        <is>
          <t>Modifié les libellés A56 et A57, réécrit les formules B56 et B57 avec une logique km au lieu de pleins</t>
        </is>
      </c>
      <c r="E4" t="inlineStr">
        <is>
          <t>B56: =IF(OR(B51="",B42="",B42=0),"",B51/B42*100) → Éco brute / distance × 100. B57: =IF(...,ROUNDUP(ABS(B52)/B56*100,0)) → Montant restant / éco par 100km × 100 = kms restants</t>
        </is>
      </c>
      <c r="F4" t="inlineStr">
        <is>
          <t>Formules opérationnelles dans B56:B57. Affichent l'économie au 100km et les km restants avant rentabilité du kit.</t>
        </is>
      </c>
    </row>
    <row r="5">
      <c r="A5" t="n">
        <v>4</v>
      </c>
      <c r="B5" s="2" t="n">
        <v>46126</v>
      </c>
      <c r="C5" t="inlineStr">
        <is>
          <t>Adapter la surconsommation moyenne automatiquement en fonction des pleins réalisés</t>
        </is>
      </c>
      <c r="D5" t="inlineStr">
        <is>
          <t>Ajouté paramètre 'Conso. S98 référence' en B5, transformé B6 (surconsommation) en formule auto-calculée. Corrigé les refs $B$5→$B$6 dans les formules I10:I39.</t>
        </is>
      </c>
      <c r="E5" t="inlineStr">
        <is>
          <t>B6: =IF(OR(B5=…,B46=…),0.2,B46/B5-1). Défaut 20% si pas de données, sinon calcul = conso moyenne E85 / conso S98 réf - 1. Détecté que col J (eco cumulée) n'est plus cumulative — signalé à l'utilisateur.</t>
        </is>
      </c>
      <c r="F5" t="inlineStr">
        <is>
          <t>Surconsommation auto-calculée en B6 dès qu'il y a des pleins + conso S98 de réf saisie en B5. Question posée sur la col J non cumulative.</t>
        </is>
      </c>
    </row>
    <row r="6">
      <c r="A6" t="n">
        <v>5</v>
      </c>
      <c r="B6" s="2" t="n">
        <v>46126</v>
      </c>
      <c r="C6" t="inlineStr">
        <is>
          <t>Corriger l'économie cumulée col J et protéger les cellules avec formules contre la modification</t>
        </is>
      </c>
      <c r="D6" t="inlineStr">
        <is>
          <t>Corrigé J10 (non cumulatif, 1er plein) et J11:J39 (cumulatif =J préc + éco plein). Protégé la feuille en déverrouillant uniquement les cellules de saisie.</t>
        </is>
      </c>
      <c r="E6" t="inlineStr">
        <is>
          <t>Cellules déverrouillées : B4 (coût kit), B5 (conso S98), B10:B39 (dates), C10:C39 (km), D10:D39 (litres), E10:E39 (prix E85), H10:H39 (prix S98). Tout le reste verrouillé.</t>
        </is>
      </c>
      <c r="F6" t="inlineStr">
        <is>
          <t>Feuille protégée. L'utilisateur ne peut modifier que les cellules de saisie (en bleu). Les formules et en-têtes sont protégés.</t>
        </is>
      </c>
    </row>
    <row r="7">
      <c r="A7" t="n">
        <v>6</v>
      </c>
      <c r="B7" s="2" t="n">
        <v>46126</v>
      </c>
      <c r="C7" t="inlineStr">
        <is>
          <t>Formules col J non modifiées au tour précédent (protection bloquait l'écriture)</t>
        </is>
      </c>
      <c r="D7" t="inlineStr">
        <is>
          <t>Retiré protection, réécrit les 30 formules J10:J39 via execute_office_js (formulas array), vérifié, remis la protection</t>
        </is>
      </c>
      <c r="E7" t="inlineStr">
        <is>
          <t>J10=IF(F10="","",I10-F10), J11:J39=IF(Fn="","",J(n-1)+(In-Fn)). set_cell_range+copyToRange ne persistait pas → écrit directement via Office.js range.formulas array.</t>
        </is>
      </c>
      <c r="F7" t="inlineStr">
        <is>
          <t>Formules cumulatives J10:J39 confirmées. Feuille re-protégée.</t>
        </is>
      </c>
    </row>
    <row r="8">
      <c r="A8" t="n">
        <v>7</v>
      </c>
      <c r="B8" s="2" t="n">
        <v>46126</v>
      </c>
      <c r="C8" t="inlineStr">
        <is>
          <t>Permettre les pleins S98 en plus de E85 et calculer automatiquement la conso S98 de référence (B5) à partir des pleins S98 réalisés</t>
        </is>
      </c>
      <c r="D8" t="inlineStr">
        <is>
          <t>Inséré col C (Type) avec dropdown E85/S98, adapté toutes les formules G/H/J/K selon le type, B5=AVERAGEIFS conso S98, B6=surconso auto E85 vs S98, section Analyse filtrée par type</t>
        </is>
      </c>
      <c r="E8" t="inlineStr">
        <is>
          <t>Col C: dropdown E85/S98. B5=AVERAGEIFS(H,C,"S98"). B6=AVERAGEIFS(H,C,"E85")/B5-1 (déf 20%). J/K: actifs seulement si type=E85. Analyse: COUNTIF/SUMIF/AVERAGEIFS par type. B5 n'est plus saisissable.</t>
        </is>
      </c>
      <c r="F8" t="inlineStr">
        <is>
          <t>Tableau élargi A-K. L'utilisateur choisit E85 ou S98 dans la dropdown col C. La conso S98 et surconsommation se calculent auto. Protection remise avec col C déverrouillée.</t>
        </is>
      </c>
    </row>
    <row r="9">
      <c r="A9" t="n">
        <v>8</v>
      </c>
      <c r="B9" s="2" t="n">
        <v>46126</v>
      </c>
      <c r="C9" t="inlineStr">
        <is>
          <t>Audit complet de l'onglet + correction des 4 incohérences trouvées</t>
        </is>
      </c>
      <c r="D9" t="inlineStr">
        <is>
          <t>Corrigé : K10:K39 "E85"→"SuperEthanol E85", B6 idem, B48 "S98"→"Super 98", B57 B43→B44 (distance au lieu de nb pleins)</t>
        </is>
      </c>
      <c r="E9" t="inlineStr">
        <is>
          <t>4 corrections appliquées via Office.js (K) et set_cell_range (B6/B48/B57). Toutes vérifiées. Protection remise avec mêmes cellules déverrouillées qu'avant.</t>
        </is>
      </c>
      <c r="F9" t="inlineStr">
        <is>
          <t>Toutes les formules sont maintenant cohérentes avec les noms de la dropdown ("SuperEthanol E85" / "Super 98"). Feuille re-protégée.</t>
        </is>
      </c>
    </row>
    <row r="10">
      <c r="A10" t="n">
        <v>9</v>
      </c>
      <c r="B10" s="2" t="n">
        <v>46126</v>
      </c>
      <c r="C10" t="inlineStr">
        <is>
          <t>Améliorer le titre + créer un onglet Graphiques avec graphiques de progression rentabilité, prix, consommation et coût</t>
        </is>
      </c>
      <c r="D10" t="inlineStr">
        <is>
          <t>Titre amélioré (bandeau bleu foncé + accent doré). Créé onglet 'Graphiques' avec 4 graphiques : rentabilité, prix carburants, consommation, coût E85 vs S98. Données sources liées par formules, groupées et réduites.</t>
        </is>
      </c>
      <c r="E10" t="inlineStr">
        <is>
          <t>4 blocs de données (lignes 40-176) avec formules vers 'Suivi Carburant'. Graphiques : lineMarkers (rentabilité + prix), columnClustered (conso + coût). Lignes groupées et réduites. Style : fond #FAFBFC, couleurs cohérentes.</t>
        </is>
      </c>
      <c r="F10" t="inlineStr">
        <is>
          <t>Onglet 'Graphiques' prêt avec 4 graphiques. Les données se mettront à jour automatiquement. Protection Suivi Carburant remise.</t>
        </is>
      </c>
    </row>
    <row r="11">
      <c r="A11" t="n">
        <v>10</v>
      </c>
      <c r="B11" s="2" t="n">
        <v>46126</v>
      </c>
      <c r="C11" t="inlineStr">
        <is>
          <t>Pourquoi les graphiques sont vides ?</t>
        </is>
      </c>
      <c r="D11" t="inlineStr">
        <is>
          <t>Expliqué que c'est normal : pas encore de données saisies. Les formules sources renvoient #N/A pour éviter les points à zéro. Proposé d'insérer des données d'exemple.</t>
        </is>
      </c>
      <c r="E11" t="inlineStr">
        <is>
          <t>Les blocs de données (lignes 42-71, 77-106, etc.) utilisent =IF(...="",NA(),...) qui retourne #N/A quand aucune donnée n'est saisie, empêchant les graphiques d'afficher des zéros parasites.</t>
        </is>
      </c>
      <c r="F11" t="inlineStr">
        <is>
          <t>En attente : l'utilisateur peut saisir ses vrais pleins ou demander des données d'exemple pour tester.</t>
        </is>
      </c>
    </row>
    <row r="12">
      <c r="A12" t="n">
        <v>11</v>
      </c>
      <c r="B12" s="2" t="n">
        <v>46126</v>
      </c>
      <c r="C12" t="inlineStr">
        <is>
          <t>Les graphiques sont toujours vides après saisie de données</t>
        </is>
      </c>
      <c r="D12" t="inlineStr">
        <is>
          <t>Identifié 2 problèmes : (1) le tableau a été décalé d'une ligne (en-têtes ligne 10, données 11-40) ; (2) les graphiques avaient 0 séries détectées. Mis à jour les formules sources et reconstruit les 4 graphiques avec séries explicites.</t>
        </is>
      </c>
      <c r="E12" t="inlineStr">
        <is>
          <t>Formules sources pointées vers lignes 11-40 (au lieu de 10-39). Graphiques recréés avec setXAxisValues + setValues explicite par série pour éviter qu'Excel détecte mal les catégories vs séries.</t>
        </is>
      </c>
      <c r="F12" t="inlineStr">
        <is>
          <t>Les 2 pleins S98 saisis par l'utilisateur s'affichent maintenant dans les graphiques 2 et 3.</t>
        </is>
      </c>
    </row>
    <row r="13">
      <c r="A13" t="n">
        <v>12</v>
      </c>
      <c r="B13" s="2" t="n">
        <v>46126</v>
      </c>
      <c r="C13" t="inlineStr">
        <is>
          <t>Données vues pendant le rebuild puis disparues</t>
        </is>
      </c>
      <c r="D13" t="inlineStr">
        <is>
          <t>Cause : masquage des lignes groupées après création des graphiques effaçait les séries. Solution : reconstruction sans masquage final, suppression de la 1re série auto-détectée (Index/Date) et réaffectation explicite via setXAxisValues.</t>
        </is>
      </c>
      <c r="E13" t="inlineStr">
        <is>
          <t>Lignes de données 40-176 laissées visibles (groupées uniquement). Chaque graphique a maintenant 1-2 séries Y avec axe X explicite.</t>
        </is>
      </c>
      <c r="F13" t="inlineStr">
        <is>
          <t>Les 4 graphiques affichent maintenant correctement les données saisies. Lignes sources visibles mais groupées (l'utilisateur peut les replier manuellement).</t>
        </is>
      </c>
    </row>
    <row r="14">
      <c r="A14" t="n">
        <v>13</v>
      </c>
      <c r="B14" s="2" t="n">
        <v>46126</v>
      </c>
      <c r="C14" t="inlineStr">
        <is>
          <t>Filtrer les graphiques pour n'afficher que les données complétées (hors #N/A)</t>
        </is>
      </c>
      <c r="D14" t="inlineStr">
        <is>
          <t>Modifié les formules sources pour retourner #N/A sur les CATÉGORIES X (pas seulement les valeurs Y) quand les données sont incomplètes. Activé displayBlanksAs=NotPlotted sur les 4 graphiques.</t>
        </is>
      </c>
      <c r="E14" t="inlineStr">
        <is>
          <t>Clé : col A des blocs retourne NA() si la ligne source est vide. Excel ignore alors les points entiers, supprimant les trous sur l'axe X des graphiques en barres.</t>
        </is>
      </c>
      <c r="F14" t="inlineStr">
        <is>
          <t>Les 4 graphiques affichent maintenant uniquement les pleins réellement saisis, sans catégories vides parasites.</t>
        </is>
      </c>
    </row>
    <row r="15">
      <c r="A15" t="n">
        <v>22</v>
      </c>
      <c r="B15" s="2" t="n">
        <v>46153</v>
      </c>
      <c r="C15" t="inlineStr">
        <is>
          <t>Demande d'avis général sur des améliorations possibles du fichier.</t>
        </is>
      </c>
      <c r="D15" t="inlineStr">
        <is>
          <t>Audit du classeur (Suivi Carburant) : revue des formules, formatage et structure. Identification des points faibles.</t>
        </is>
      </c>
      <c r="E15" t="inlineStr">
        <is>
      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      </is>
      </c>
      <c r="F15" t="inlineStr">
        <is>
          <t>12 améliorations proposées à l'utilisateur, classées par priorité. En attente de validation pour exécuter le sous-ensemble choisi.</t>
        </is>
      </c>
    </row>
    <row r="16">
      <c r="A16" t="n">
        <v>23</v>
      </c>
      <c r="B16" s="2" t="n">
        <v>46153</v>
      </c>
      <c r="C16" t="inlineStr">
        <is>
          <t>Appliquer les améliorations : bugs 1–3 + graphique (6) + validation données (9)</t>
        </is>
      </c>
      <c r="D16" t="inlineStr">
        <is>
          <t>Corrigé I18 (formule harmonisée), format B11 €/km, MFC sur J15:J44 pour signaler prix S98 manquant E85, dropdown col C, créé graphique économie cumulée vs coût du kit</t>
        </is>
      </c>
      <c r="E16" t="inlineStr">
        <is>
      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      </is>
      </c>
      <c r="F16" t="inlineStr">
        <is>
          <t>Tous les bugs corrigés, validation active, graphique affiche les 3 pleins E85 (11,74→24,65→41,35 €) avec ligne de référence à 514,54 €. Se met à jour auto.</t>
        </is>
      </c>
    </row>
    <row r="17">
      <c r="A17" t="n">
        <v>24</v>
      </c>
      <c r="B17" s="2" t="n">
        <v>46153</v>
      </c>
      <c r="C17" t="inlineStr">
        <is>
          <t>Question : où sont les graphiques ?</t>
        </is>
      </c>
      <c r="D17" t="inlineStr">
        <is>
          <t>Localisé ChartRentabilite (left=1436px) hors zone visible. Repositionné en N2:V20.</t>
        </is>
      </c>
      <c r="E17" t="inlineStr">
        <is>
          <t>chart.setPosition('N2','V20'). Proposé alternatives : sous le tableau (A48) ou onglet dédié.</t>
        </is>
      </c>
      <c r="F17" t="inlineStr">
        <is>
          <t>Graphique désormais visible à droite du tableau. En attente du choix de l'utilisateur sur le positionnement final.</t>
        </is>
      </c>
    </row>
    <row r="18">
      <c r="A18" t="n">
        <v>17</v>
      </c>
      <c r="B18" s="2" t="n">
        <v>46138</v>
      </c>
      <c r="C18" t="inlineStr">
        <is>
          <t>Graph 2/3 doivent montrer le N° de plein en abscisses, graph 1/4 (vides) montrent encore #N/A en abscisses</t>
        </is>
      </c>
      <c r="D18" t="inlineStr">
        <is>
          <t>Graph 2 (prix) : col A change date → N° de plein. Graph 1/4 vides : formules INDEX/SMALL renvoient "" au lieu de NA(), séries pointées sur 1 cellule vide quand 0 plein</t>
        </is>
      </c>
      <c r="E18" t="inlineStr">
        <is>
          <t>Bloc 2 col A réécrit avec INDEX('Suivi'!A11:A40) au lieu de B11:B40 (date). Bloc 1/4 IFERROR(...,"") au lieu de IFERROR(...,NA()). Charts vides : setValues sur $B$42 / $B$147 seul.</t>
        </is>
      </c>
      <c r="F18" t="inlineStr">
        <is>
          <t>Abscisses graphiques 2/3 affichent le N° de plein. Graphiques 1/4 vides ne montrent plus #N/A.</t>
        </is>
      </c>
    </row>
    <row r="19">
      <c r="A19" t="n">
        <v>18</v>
      </c>
      <c r="B19" s="2" t="n">
        <v>46146</v>
      </c>
      <c r="C19" t="inlineStr">
        <is>
          <t>Ajouter sous la ligne 7 un calcul progressif de la date approximative et du kilométrage de rentabilité du kit éthanol selon la fréquence des pleins</t>
        </is>
      </c>
      <c r="D19" t="inlineStr">
        <is>
          <t>Inséré 6 lignes après la ligne 7 (le tableau s'est décalé en A16:M46). Créé un bloc 'RENTABILITÉ DU KIT ÉTHANOL' en A8:C13 avec 5 indicateurs auto-calculés.</t>
        </is>
      </c>
      <c r="E19" t="inlineStr">
        <is>
      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      </is>
      </c>
      <c r="F19" t="inlineStr">
        <is>
          <t>Bloc rentabilité visible en A8:C13. Avec les données actuelles : 13,60 € économisés, 500,94 € restants, rentabilité estimée à ~18 067 km le 25/09/2026 (au rythme actuel). Se met à jour automatiquement à chaque nouveau plein E85.</t>
        </is>
      </c>
    </row>
    <row r="20">
      <c r="A20" t="n">
        <v>19</v>
      </c>
      <c r="B20" s="2" t="n">
        <v>46146</v>
      </c>
      <c r="C20" t="inlineStr">
        <is>
          <t>Le titre de la ligne B11 était ambigu (km au compteur vs km restants)</t>
        </is>
      </c>
      <c r="D20" t="inlineStr">
        <is>
          <t>Renommé A11 'Km de rentabilité (estimé)' en 'Km au compteur à la rentabilité (estimé)'</t>
        </is>
      </c>
      <c r="E20" t="inlineStr">
        <is>
          <t>Précise que la valeur est le km affiché au compteur lors de l'amortissement, pas la distance restante à parcourir</t>
        </is>
      </c>
      <c r="F20" t="inlineStr">
        <is>
          <t>Libellé plus explicite en A11</t>
        </is>
      </c>
    </row>
    <row r="21">
      <c r="A21" t="n">
        <v>20</v>
      </c>
      <c r="B21" s="2" t="n">
        <v>46146</v>
      </c>
      <c r="C21" t="inlineStr">
        <is>
          <t>Ajouter le % de progression de la rentabilisation du kit</t>
        </is>
      </c>
      <c r="D21" t="inlineStr">
        <is>
          <t>Inséré ligne 14 dans le bloc rentabilité avec formule =MIN(B9/B5,1) format %</t>
        </is>
      </c>
      <c r="E21" t="inlineStr">
        <is>
          <t>B14 = économie cumulée / coût du kit, plafonné à 100%. Mise en gras + couleur foncée pour l'accent.</t>
        </is>
      </c>
      <c r="F21" t="inlineStr">
        <is>
          <t>Progression actuelle : ~2,6% (13,60 € / 514,54 €)</t>
        </is>
      </c>
    </row>
    <row r="22">
      <c r="A22" t="n">
        <v>21</v>
      </c>
      <c r="B22" s="2" t="n">
        <v>46148</v>
      </c>
      <c r="C22" t="inlineStr">
        <is>
          <t>Tenir compte de la surconsommation E85 dans la rentabilité (J9, J10, J11, B10)</t>
        </is>
      </c>
      <c r="D22" t="inlineStr">
        <is>
          <t>Audit puis réécriture des formules B10/B11/J9/J10/J11 — méthode 'empirique améliorée' choisie par l'utilisateur</t>
        </is>
      </c>
      <c r="E22" t="inlineStr">
        <is>
      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      </is>
      </c>
      <c r="F22" t="inlineStr">
        <is>
          <t>Formules opérationnelles. Valeurs : B10=487,52€, B11=0,068€/km, J9≈04/09/2026, J10≈17 968 km, J11=5,3%. Expliqué à l'utilisateur que J6 (surconso 7,5%) impacte déjà J10 via B11.</t>
        </is>
      </c>
    </row>
    <row r="23">
      <c r="A23" t="n">
        <v>25</v>
      </c>
      <c r="B23" s="2" t="n">
        <v>46153</v>
      </c>
      <c r="C23" t="inlineStr">
        <is>
          <t>Créer un onglet dédié aux graphiques</t>
        </is>
      </c>
      <c r="D23" t="inlineStr">
        <is>
          <t>Créé onglet 'Graphiques' (position 2). Déplacé ChartRentabilite depuis Suivi Carburant vers ce nouvel onglet en grand format B2:L25.</t>
        </is>
      </c>
      <c r="E23" t="inlineStr">
        <is>
          <t>Source du chart = 'Suivi Carburant'!O14:Q44 (inchangée). Titre 'GRAPHIQUES DE SUIVI' en B1. Ligne éco cumulée bleue (#2E75B6, 2.5pt), ligne coût kit orange (#F0A500, 2pt). displayBlanksAs=notPlotted.</t>
        </is>
      </c>
      <c r="F23" t="inlineStr">
        <is>
          <t>Onglet Graphiques prêt avec le graphique de rentabilité. Se met à jour auto à chaque plein.</t>
        </is>
      </c>
    </row>
    <row r="24">
      <c r="A24" t="n">
        <v>26</v>
      </c>
      <c r="B24" s="2" t="n">
        <v>46153</v>
      </c>
      <c r="C24" t="inlineStr">
        <is>
          <t>Graphique inexploitable (vide).</t>
        </is>
      </c>
      <c r="D24" t="inlineStr">
        <is>
          <t>Refondu zone source : compacté à pleins E85 uniquement + point zéro. Déplacé dans Graphiques. Recréé chart avec axe X explicite.</t>
        </is>
      </c>
      <c r="E24" t="inlineStr">
        <is>
          <t>Plage N1:P32 dans Graphiques, formules INDEX/SMALL. Excel détectait col N comme série → supprimé 1re série + setCategoryNames. line.weight non supporté → retiré.</t>
        </is>
      </c>
      <c r="F24" t="inlineStr">
        <is>
          <t>Graphique fonctionnel : bleu (0→41,35€) + orange plat (514,54€). Axe X N° plein E85 (0–3).</t>
        </is>
      </c>
    </row>
    <row r="25">
      <c r="A25" t="n">
        <v>27</v>
      </c>
      <c r="B25" s="2" t="n">
        <v>46153</v>
      </c>
      <c r="C25" t="inlineStr">
        <is>
          <t>Autres graphiques utiles → 4 choisis.</t>
        </is>
      </c>
      <c r="D25" t="inlineStr">
        <is>
          <t>Ajouté 4 graphiques : conso L/100km, coût c€/km, prix, projection avec trendline. Grille 2x3 B-M.</t>
        </is>
      </c>
      <c r="E25" t="inlineStr">
        <is>
          <t>Zones données R-AF (avant insertion col N par utilisateur, maintenant S-AG). columnClustered + lineMarkers. Trendline linéaire sur projection.</t>
        </is>
      </c>
      <c r="F25" t="inlineStr">
        <is>
          <t>5 graphiques opérationnels.</t>
        </is>
      </c>
    </row>
    <row r="26">
      <c r="A26" t="n">
        <v>28</v>
      </c>
      <c r="B26" s="2" t="n">
        <v>46153</v>
      </c>
      <c r="C26" t="inlineStr">
        <is>
          <t>Quand l'utilisateur groupe/masque les sources, les graphiques s'effacent.</t>
        </is>
      </c>
      <c r="D26" t="inlineStr">
        <is>
          <t>Activé plotVisibleOnly=false sur les 5 graphiques.</t>
        </is>
      </c>
      <c r="E26" t="inlineStr">
        <is>
          <t>Office.js Chart.plotVisibleOnly=false. Note : col N insérée par utilisateur a décalé toutes les zones de données vers la droite, mais les références ont été propagées.</t>
        </is>
      </c>
      <c r="F26" t="inlineStr">
        <is>
          <t>Groupement des colonnes ne casse plus l'affichage.</t>
        </is>
      </c>
    </row>
    <row r="27">
      <c r="A27" t="n">
        <v>29</v>
      </c>
      <c r="B27" s="2" t="n">
        <v>46153</v>
      </c>
      <c r="C27" t="inlineStr">
        <is>
          <t>Uniformiser couleur du tableau + ajouter bouton pour saisir un plein via chat.</t>
        </is>
      </c>
      <c r="D27" t="inlineStr">
        <is>
          <t>Appliqué fond #F2F7FB sur A15:M44. Créé zone bouton fusionnée J2:M3 (fond #1B3A5C, bordure dorée #F0A500).</t>
        </is>
      </c>
      <c r="E27" t="inlineStr">
        <is>
          <t>MFC orange sur col J E85 sans prix S98 reste active (par-dessus le fond uniforme). Bouton purement visuel : invite l'utilisateur à dire 'ajouter un plein' dans le chat — macros impossibles via Office.js. Workflow conversationnel pour saisir un plein.</t>
        </is>
      </c>
      <c r="F27" t="inlineStr">
        <is>
          <t>Tableau uniforme. Bouton visible en haut. Prochaine étape : implementer le workflow 'ajouter un plein' quand l'utilisateur le déclenche.</t>
        </is>
      </c>
    </row>
    <row r="28">
      <c r="A28" t="n">
        <v>30</v>
      </c>
      <c r="B28" s="2" t="n">
        <v>46153</v>
      </c>
      <c r="C28" t="inlineStr">
        <is>
          <t>Bouton doit être un contrôle de formulaire, pas une cellule.</t>
        </is>
      </c>
      <c r="D28" t="inlineStr">
        <is>
          <t>Expliqué limitation : pas d'accès VBA/macros depuis Office.js. Créé à la place une Shape rectangle arrondi 'BtnAjouterPlein' flottante.</t>
        </is>
      </c>
      <c r="E28" t="inlineStr">
        <is>
          <t>Supprimé zone J2:M3 (unmerge + clear all). Créé GeometricShape roundRectangle 240x50px en (700,10). Texte bold 14pt blanc centré, fond #1B3A5C, bordure #F0A500 2pt. Pas d'événement onClick possible — déclenchement reste via le chat.</t>
        </is>
      </c>
      <c r="F28" t="inlineStr">
        <is>
          <t>Bouton flottant visible, look 'contrôle de formulaire', déplaçable par l'utilisateur.</t>
        </is>
      </c>
    </row>
    <row r="29">
      <c r="A29" t="n">
        <v>31</v>
      </c>
      <c r="B29" s="2" t="n">
        <v>46153</v>
      </c>
      <c r="C29" t="inlineStr">
        <is>
          <t>Uniformiser la couleur de police du tableau sur celle de B15.</t>
        </is>
      </c>
      <c r="D29" t="inlineStr">
        <is>
          <t>Appliqué font.color #333F4F sur A15:M44.</t>
        </is>
      </c>
      <c r="E29" t="inlineStr">
        <is>
          <t>B15 avait color #333F4F (gris bleuté foncé). Avant, mélange : inputs #0000FF, formules #000000, en-têtes blancs. Maintenant tout en #333F4F sur le corps du tableau.</t>
        </is>
      </c>
      <c r="F29" t="inlineStr">
        <is>
          <t>Police uniforme dans tout le tableau.</t>
        </is>
      </c>
    </row>
    <row r="30">
      <c r="A30" t="n">
        <v>32</v>
      </c>
      <c r="B30" s="2" t="n">
        <v>46153</v>
      </c>
      <c r="C30" t="inlineStr">
        <is>
          <t>Demande d'un vrai formulaire VBA.</t>
        </is>
      </c>
      <c r="D30" t="inlineStr">
        <is>
      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      </is>
      </c>
      <c r="E30" t="inlineStr">
        <is>
      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      </is>
      </c>
      <c r="F30" t="inlineStr">
        <is>
          <t>Code VBA prêt à coller. L'utilisateur doit l'implémenter manuellement dans l'IDE VBA.</t>
        </is>
      </c>
    </row>
    <row r="31">
      <c r="A31" t="n">
        <v>33</v>
      </c>
      <c r="B31" s="2" t="n">
        <v>46157</v>
      </c>
      <c r="C31" t="inlineStr">
        <is>
          <t>Calculer le nombre de km parcourus par semaine et par mois</t>
        </is>
      </c>
      <c r="D31" t="inlineStr">
        <is>
          <t>Ajouté 2 KPI dans 'Suivi Carburant' : Km/semaine en L9:M9 et Km/mois en L11:M11</t>
        </is>
      </c>
      <c r="E31" t="inlineStr">
        <is>
      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      </is>
      </c>
      <c r="F31" t="inlineStr">
        <is>
          <t>Km/semaine ≈ 421 km, Km/mois ≈ 1 831 km. Dynamique, se met à jour à chaque nouveau plein.</t>
        </is>
      </c>
    </row>
    <row r="32">
      <c r="A32" t="n">
        <v>34</v>
      </c>
      <c r="B32" s="2" t="n">
        <v>46158</v>
      </c>
      <c r="C32" t="inlineStr">
        <is>
          <t>Calculer en B7 la moyenne de la distance parcourue par litre (km/L) lors des pleins</t>
        </is>
      </c>
      <c r="D32" t="inlineStr">
        <is>
          <t>Écrit en B7 une formule de moyenne des km/L sur les pleins Super 98</t>
        </is>
      </c>
      <c r="E32" t="inlineStr">
        <is>
          <t>B7 = AVERAGE(IF((Type="Super 98")*(Nb. km&lt;&gt;"")*(Nb. Litres&lt;&gt;""), [Nb. km]/[Nb. Litres])). Format 0.00 "km/L". Cohérent avec le libellé A7 'Conso. S98 référence (km/L)'.</t>
        </is>
      </c>
      <c r="F32" t="inlineStr">
        <is>
          <t>B7 = 18,54 km/L (moyenne sur les 3 pleins Super 98 enregistrés).</t>
        </is>
      </c>
    </row>
    <row r="33">
      <c r="A33" t="n">
        <v>35</v>
      </c>
      <c r="B33" s="2" t="n">
        <v>46158</v>
      </c>
      <c r="C33" t="inlineStr">
        <is>
          <t>Calculer en J6 la moyenne km/L pour le SuperEthanol E85 (même logique que B7)</t>
        </is>
      </c>
      <c r="D33" t="inlineStr">
        <is>
          <t>Écrit en J6 la moyenne des km/L sur les pleins SuperEthanol E85</t>
        </is>
      </c>
      <c r="E33" t="inlineStr">
        <is>
          <t>J6 = AVERAGE(IF((Type="SuperEthanol E85")*(Nb.km&lt;&gt;"")*(Nb.Litres&lt;&gt;""), [Nb.km]/[Nb.Litres])). Format 0.00 "km/L". Attention : J6 contenait la surconso E85 (%) utilisée par la colonne L — à replacer ailleurs.</t>
        </is>
      </c>
      <c r="F33" t="inlineStr">
        <is>
          <t>J6 = 15,74 km/L. Surconso E85 (%) en attente de relogement.</t>
        </is>
      </c>
    </row>
    <row r="34">
      <c r="A34" t="n">
        <v>36</v>
      </c>
      <c r="B34" s="2" t="n">
        <v>46158</v>
      </c>
      <c r="C34" t="inlineStr">
        <is>
          <t>Demande de création de macros VBA</t>
        </is>
      </c>
      <c r="D34" t="inlineStr">
        <is>
          <t>Expliqué que je ne peux pas créer de macros VBA depuis l'add-in (pas d'accès au projet VBA)</t>
        </is>
      </c>
      <c r="E34" t="inlineStr">
        <is>
          <t>Proposé alternatives : automatisation via formules/MFC/validation, ou fournir le code VBA en texte à coller manuellement (Alt+F11). Rappelé qu'un code VBA avait déjà été fourni au tour 30 (UserForm frmNouveauPlein).</t>
        </is>
      </c>
      <c r="F34" t="inlineStr">
        <is>
          <t>En attente de précision sur l'automatisation souhaitée</t>
        </is>
      </c>
    </row>
    <row r="35">
      <c r="A35" t="n">
        <v>37</v>
      </c>
      <c r="B35" s="2" t="n">
        <v>46158</v>
      </c>
      <c r="C35" t="inlineStr">
        <is>
          <t>Créer un bouton pour ajouter une ligne au tableau</t>
        </is>
      </c>
      <c r="D35" t="inlineStr">
        <is>
          <t>Expliqué impossibilité de créer un bouton cliquable depuis l'add-in. Proposé 2 options.</t>
        </is>
      </c>
      <c r="E35" t="inlineStr">
        <is>
          <t>Option 1 : j'ajoute la ligne directement à Tableau2 sur demande. Option 2 : code VBA AjouterLignePlein (ListObjects.ListRows.Add) à coller dans Alt+F11 après conversion en .xlsm, puis affecter à un bouton contrôle de formulaire.</t>
        </is>
      </c>
      <c r="F35" t="inlineStr">
        <is>
          <t>En attente du choix de l'utilisateur</t>
        </is>
      </c>
    </row>
    <row r="36">
      <c r="A36" t="n">
        <v>38</v>
      </c>
      <c r="B36" s="2" t="n">
        <v>46158</v>
      </c>
      <c r="C36" t="inlineStr">
        <is>
          <t>Comment modifier l'aspect du bouton</t>
        </is>
      </c>
      <c r="D36" t="inlineStr">
        <is>
          <t>Demandé à l'utilisateur de préciser de quel bouton il s'agit (Shape flottant, contrôle de formulaire, ou ActiveX)</t>
        </is>
      </c>
      <c r="E36" t="inlineStr">
        <is>
          <t>Rappelé les options : Shape modifiable directement par moi (couleur/taille/texte/bordure), contrôle de formulaire limité (clic droit → Format de contrôle), ActiveX customisable via Propriétés (.xlsm requis).</t>
        </is>
      </c>
      <c r="F36" t="inlineStr">
        <is>
          <t>En attente de précision</t>
        </is>
      </c>
    </row>
    <row r="37">
      <c r="A37" t="n">
        <v>39</v>
      </c>
      <c r="B37" s="2" t="n">
        <v>46158</v>
      </c>
      <c r="C37" t="inlineStr">
        <is>
          <t>Peut-on affecter une fonction VBA à la Shape</t>
        </is>
      </c>
      <c r="D37" t="inlineStr">
        <is>
          <t>Confirmé oui. Fourni la procédure complète : conversion .xlsm, Alt+F11 → Insertion Module → coller macro AjouterLignePlein, puis clic droit Shape → Affecter une macro.</t>
        </is>
      </c>
      <c r="E37" t="inlineStr">
        <is>
          <t>Macro proposée : ListObjects(Tableau2).ListRows.Add + sélection col Date. Souligné avantages d'une Shape vs contrôle de formulaire (style libre). Conseillé 'Ne pas déplacer ni dimensionner avec les cellules' dans Taille et propriétés.</t>
        </is>
      </c>
      <c r="F37" t="inlineStr">
        <is>
          <t>En attente : utilisateur va affecter la macro ou demander une variante (pré-remplissage, formulaire)</t>
        </is>
      </c>
    </row>
    <row r="38">
      <c r="A38" t="n">
        <v>40</v>
      </c>
      <c r="B38" s="2" t="n">
        <v>46158</v>
      </c>
      <c r="C38" t="inlineStr">
        <is>
          <t>Comment lancer un formulaire pour compléter le tableau</t>
        </is>
      </c>
      <c r="D38" t="inlineStr">
        <is>
          <t>Fourni le code VBA complet pour UserForm frmNouveauPlein adapté à la structure actuelle de Tableau2 (14 col)</t>
        </is>
      </c>
      <c r="E38" t="inlineStr">
        <is>
      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      </is>
      </c>
      <c r="F38" t="inlineStr">
        <is>
          <t>Code prêt à coller. En attente d'implémentation utilisateur.</t>
        </is>
      </c>
    </row>
    <row r="39">
      <c r="A39" t="n">
        <v>41</v>
      </c>
      <c r="B39" s="2" t="n">
        <v>46158</v>
      </c>
      <c r="C39" t="inlineStr">
        <is>
          <t>Peux-tu créer le formulaire pour moi</t>
        </is>
      </c>
      <c r="D39" t="inlineStr">
        <is>
          <t>Refusé (impossibilité technique) et proposé 3 alternatives</t>
        </is>
      </c>
      <c r="E39" t="inlineStr">
        <is>
          <t>Office.js ne peut pas écrire dans le projet VBA (UserForm/modules) ni convertir en .xlsm. Alternatives : (1) guide pas-à-pas dans VBE, (2) bloc de saisie sur feuille + macro Sub simple, (3) workflow conversationnel via chat.</t>
        </is>
      </c>
      <c r="F39" t="inlineStr">
        <is>
          <t>En attente du choix de l'utilisateur</t>
        </is>
      </c>
    </row>
    <row r="40">
      <c r="A40" t="n">
        <v>42</v>
      </c>
      <c r="B40" s="2" t="n">
        <v>46158</v>
      </c>
      <c r="C40" t="inlineStr">
        <is>
          <t>Peux-tu le faire avec Claude Code ou autre skill</t>
        </is>
      </c>
      <c r="D40" t="inlineStr">
        <is>
          <t>Confirmé non : limitation Excel, pas Claude. Aucun outil externe ne peut créer un UserForm.</t>
        </is>
      </c>
      <c r="E40" t="inlineStr">
        <is>
      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      </is>
      </c>
      <c r="F40" t="inlineStr">
        <is>
          <t>En attente : utilisateur va probablement choisir alternative bloc sur feuille</t>
        </is>
      </c>
    </row>
    <row r="41">
      <c r="A41" t="n">
        <v>43</v>
      </c>
      <c r="B41" s="2" t="n">
        <v>46158</v>
      </c>
      <c r="C41" t="inlineStr">
        <is>
          <t>Quelles améliorations sont possibles sur les onglets</t>
        </is>
      </c>
      <c r="D41" t="inlineStr">
        <is>
          <t>Audit des 2 onglets. Identifié 3 bugs + 6 améliorations fonctionnelles + 2 sur graphiques + 3 de confort.</t>
        </is>
      </c>
      <c r="E41" t="inlineStr">
        <is>
          <t>Bugs : A24 #REF!, KPI Km/sem-mois disparus, col H dupliquée avec col J (même formule). Amélios : volets figés, MFC col M, stats E85/S98, coût total, alerte km décroissant, col Notes. Graphiques : onglet vide, sparkline. Confort : format dates, ligne totaux.</t>
        </is>
      </c>
      <c r="F41" t="inlineStr">
        <is>
          <t>12 propositions classées. En attente du choix de l'utilisateur.</t>
        </is>
      </c>
    </row>
    <row r="42">
      <c r="A42" t="n">
        <v>44</v>
      </c>
      <c r="B42" s="2" t="n">
        <v>46158</v>
      </c>
      <c r="C42" t="inlineStr">
        <is>
          <t>Erreur au lancement du formulaire VBA</t>
        </is>
      </c>
      <c r="D42" t="inlineStr">
        <is>
          <t>Demandé numéro d'erreur, message et ligne surlignée en mode Débogage</t>
        </is>
      </c>
      <c r="E42" t="inlineStr">
        <is>
          <t>Fourni tableau des causes probables : err 9 (Tableau2 introuvable), 381 (ComboBox mal nommé), 13 (virgule décimale), 424 (nom feuille). Demandé à vérifier nom Tableau2 dans onglet Création et nom feuille 'Suivi Carburant'.</t>
        </is>
      </c>
      <c r="F42" t="inlineStr">
        <is>
          <t>En attente du numéro d'erreur et de la ligne fautive</t>
        </is>
      </c>
    </row>
    <row r="43">
      <c r="A43" t="n">
        <v>45</v>
      </c>
      <c r="B43" s="2" t="n">
        <v>46158</v>
      </c>
      <c r="C43" t="inlineStr">
        <is>
          <t>Erreur 424 Objet requis au lancement du formulaire</t>
        </is>
      </c>
      <c r="D43" t="inlineStr">
        <is>
          <t>Demandé à l'utilisateur la ligne surlignée en mode Débogage</t>
        </is>
      </c>
      <c r="E43" t="inlineStr">
        <is>
      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      </is>
      </c>
      <c r="F43" t="inlineStr">
        <is>
          <t>En attente : ligne fautive surlignée par débogueur</t>
        </is>
      </c>
    </row>
    <row r="44">
      <c r="A44" t="n">
        <v>46</v>
      </c>
      <c r="B44" s="2" t="n">
        <v>46158</v>
      </c>
      <c r="C44" t="inlineStr">
        <is>
          <t>Insertion auto des / dans txtDate + date du jour par défaut</t>
        </is>
      </c>
      <c r="D44" t="inlineStr">
        <is>
          <t>Fourni le code VBA : UserForm_Initialize (date du jour, MaxLength 10) + txtDate_Change (auto-format jj/mm/aaaa)</t>
        </is>
      </c>
      <c r="E44" t="inlineStr">
        <is>
          <t>Variable bSkipChange pour éviter récursion. Logique : extraire chiffres uniquement, limiter à 8, réinsérer / aux positions 2 et 4, repositionner curseur en fin. Accepte aussi le collage de formats avec / ou -.</t>
        </is>
      </c>
      <c r="F44" t="inlineStr">
        <is>
          <t>Code prêt à coller dans frmNouveauPlein</t>
        </is>
      </c>
    </row>
    <row r="45">
      <c r="A45" t="n">
        <v>47</v>
      </c>
      <c r="B45" s="2" t="n">
        <v>46158</v>
      </c>
      <c r="C45" t="inlineStr">
        <is>
          <t>Effacer txtDate au clic</t>
        </is>
      </c>
      <c r="D45" t="inlineStr">
        <is>
          <t>Fourni 2 variantes d'événement txtDate_Enter</t>
        </is>
      </c>
      <c r="E45" t="inlineStr">
        <is>
          <t>Variante 1 (par défaut) : vide le champ dès l'arrivée du focus (txtDate.Value=""). Variante 2 : sélectionne tout le texte (SelStart/SelLength) pour qu'il s'efface à la 1ère frappe. bSkipChange utilisé pour éviter déclenchement Change.</t>
        </is>
      </c>
      <c r="F45" t="inlineStr">
        <is>
          <t>Code prêt à ajouter dans frmNouveauPlein</t>
        </is>
      </c>
    </row>
    <row r="46">
      <c r="A46" t="n">
        <v>48</v>
      </c>
      <c r="B46" s="2" t="n">
        <v>46158</v>
      </c>
      <c r="C46" t="inlineStr">
        <is>
          <t>Effacer txtDate au clic sauf à l'initialisation</t>
        </is>
      </c>
      <c r="D46" t="inlineStr">
        <is>
          <t>Ajouté flag bDateTouched pour distinguer 1er focus après init des suivants</t>
        </is>
      </c>
      <c r="E46" t="inlineStr">
        <is>
          <t>Variable Private bDateTouched As Boolean. UserForm_Initialize la met à False. txtDate_Enter teste : si True vide le champ, puis passe à True. Résultat : date du jour visible à l'ouverture, effacée seulement aux clics suivants.</t>
        </is>
      </c>
      <c r="F46" t="inlineStr">
        <is>
          <t>Code prêt à coller</t>
        </is>
      </c>
    </row>
    <row r="47">
      <c r="A47" t="n">
        <v>49</v>
      </c>
      <c r="B47" s="2" t="n">
        <v>46158</v>
      </c>
      <c r="C47" t="inlineStr">
        <is>
          <t>Exécuter AjouterLignePlein() en début de btnEnregistrer_Click</t>
        </is>
      </c>
      <c r="D47" t="inlineStr">
        <is>
          <t>Fourni l'appel Call AjouterLignePlein + averti du risque de doublon</t>
        </is>
      </c>
      <c r="E47" t="inlineStr">
        <is>
          <t>Option A recommandée : AjouterLignePlein ajoute la ligne, btnEnregistrer_Click récupère tbl.ListRows(tbl.ListRows.Count) pour remplir au lieu de faire un nouveau .Add. Option B : laisser ça et accepter une ligne vide en plus. En attente du choix utilisateur.</t>
        </is>
      </c>
      <c r="F47" t="inlineStr">
        <is>
          <t>Code fourni, en attente confirmation Option A ou B</t>
        </is>
      </c>
    </row>
    <row r="48">
      <c r="A48" t="n">
        <v>50</v>
      </c>
      <c r="B48" s="2" t="n">
        <v>46158</v>
      </c>
      <c r="C48" t="inlineStr">
        <is>
          <t>Erreur quand prix saisi avec point décimal (13.1)</t>
        </is>
      </c>
      <c r="D48" t="inlineStr">
        <is>
          <t>Diagnostic : CDbl utilise séparateur locale Windows. FR=virgule, donc CDbl("13.1") plante en erreur 13.</t>
        </is>
      </c>
      <c r="E48" t="inlineStr">
        <is>
          <t>Solution : inverser Replace : '.', ',' au lieu de ',', '.'. Proposé fonction ToDouble robuste pour tous champs numériques (Km/Litres/Prix/PrixS98). Recommandé ajout IsNumeric préventif.</t>
        </is>
      </c>
      <c r="F48" t="inlineStr">
        <is>
          <t>Correctif fourni, à appliquer dans btnEnregistrer_Click</t>
        </is>
      </c>
    </row>
    <row r="49">
      <c r="A49" t="n">
        <v>51</v>
      </c>
      <c r="B49" s="2" t="n">
        <v>46158</v>
      </c>
      <c r="C49" t="inlineStr">
        <is>
          <t>Coût total du plein en calcul auto dans le formulaire</t>
        </is>
      </c>
      <c r="D49" t="inlineStr">
        <is>
          <t>Fourni code pour Label lblCoutTotal calculé en temps réel</t>
        </is>
      </c>
      <c r="E49" t="inlineStr">
        <is>
          <t>Ajouter Label lblCoutTotal. 3 procs : MajCoutTotal (IsNumeric + CDbl avec gestion ., calcule Litres*Prix format 0.00 €), txtLitres_Change et txtPrix_Change appelant MajCoutTotal. UserForm_Initialize initialise à '-- €'. Format gras suggéré pour visibilité.</t>
        </is>
      </c>
      <c r="F49" t="inlineStr">
        <is>
          <t>Code prêt à coller. À noter : K22 sélectionné, peut-être prochaine demande sur Prix S98 jour.</t>
        </is>
      </c>
    </row>
    <row r="50">
      <c r="A50" t="n">
        <v>52</v>
      </c>
      <c r="B50" s="2" t="n">
        <v>46158</v>
      </c>
      <c r="C50" t="inlineStr">
        <is>
          <t>Erreur sur txtCoutTotal.Text = '-- €'</t>
        </is>
      </c>
      <c r="D50" t="inlineStr">
        <is>
          <t>Diagnostic : confusion TextBox vs Label. Utilisateur a créé une TextBox mais le code utilisait Label.Caption.</t>
        </is>
      </c>
      <c r="E50" t="inlineStr">
        <is>
          <t>Option 1 (garder TextBox) : remplacer .Caption par .Text dans tout le code. Ajout suggéré Locked=True + BackColor gris pour signaler non-modifiable. Option 2 : remplacer par vrai Label lblCoutTotal.</t>
        </is>
      </c>
      <c r="F50" t="inlineStr">
        <is>
          <t>2 options fournies. En attente du choix.</t>
        </is>
      </c>
    </row>
    <row r="51">
      <c r="A51" t="n">
        <v>53</v>
      </c>
      <c r="B51" s="2" t="n">
        <v>46158</v>
      </c>
      <c r="C51" t="inlineStr">
        <is>
          <t>Peut-on transformer ce fichier en application</t>
        </is>
      </c>
      <c r="D51" t="inlineStr">
        <is>
          <t>Proposé 4 catégories d'options : app mobile prête, web app low-code, desktop autonome, Excel mobile</t>
        </is>
      </c>
      <c r="E51" t="inlineStr">
        <is>
      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      </is>
      </c>
      <c r="F51" t="inlineStr">
        <is>
          <t>En attente du choix de l'utilisateur</t>
        </is>
      </c>
    </row>
    <row r="52">
      <c r="A52" t="n">
        <v>54</v>
      </c>
      <c r="B52" s="2" t="n">
        <v>46158</v>
      </c>
      <c r="C52" t="inlineStr">
        <is>
          <t>Boutons du formulaire VBA avec icônes</t>
        </is>
      </c>
      <c r="D52" t="inlineStr">
        <is>
          <t>Présenté 3 options pour ajouter des icônes aux CommandButton</t>
        </is>
      </c>
      <c r="E52" t="inlineStr">
        <is>
      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      </is>
      </c>
      <c r="F52" t="inlineStr">
        <is>
          <t>3 options fournies, reco 2A. En attente du choix.</t>
        </is>
      </c>
    </row>
    <row r="53">
      <c r="A53" t="n">
        <v>1</v>
      </c>
      <c r="B53" s="2" t="n">
        <v>46163</v>
      </c>
      <c r="C53" t="inlineStr">
        <is>
          <t>Appliquer des bords arrondis sur tous les graphiques</t>
        </is>
      </c>
      <c r="D53" t="inlineStr">
        <is>
          <t>Activé roundedCorners=true sur tous les graphiques de la feuille Graphiques</t>
        </is>
      </c>
      <c r="E53" t="inlineStr">
        <is>
          <t>Via Office.js: chart.format.roundedCorners = true sur les 5 graphiques (ChartRentabilite, ChartConso, ChartCoutKm, ChartPrix, ChartProjection)</t>
        </is>
      </c>
      <c r="F53" t="inlineStr">
        <is>
          <t>Les 5 graphiques ont maintenant des coins arrondis.</t>
        </is>
      </c>
    </row>
    <row r="54">
      <c r="A54" t="n">
        <v>55</v>
      </c>
      <c r="B54" s="2" t="n">
        <v>46163</v>
      </c>
      <c r="C54" t="inlineStr">
        <is>
          <t>Modifier le quadrillage horizontal du graphique sélectionné tous les 100.</t>
        </is>
      </c>
      <c r="D54" t="inlineStr">
        <is>
          <t>Réglage de l'unité principale de l'axe des valeurs du graphique 'Projection de rentabilité du kit (avec tendance)' (ChartProjection) sur la feuille Graphiques.</t>
        </is>
      </c>
      <c r="E54" t="inlineStr">
        <is>
          <t>valueAxis.majorUnit passé de 200 à 100. Min=-200, Max=600 inchangés.</t>
        </is>
      </c>
      <c r="F54" t="inlineStr">
        <is>
          <t>Quadrillage horizontal affiché tous les 100 sur le graphique sélectionné.</t>
        </is>
      </c>
    </row>
    <row r="55">
      <c r="A55" t="n">
        <v>56</v>
      </c>
      <c r="B55" s="2" t="n">
        <v>46163</v>
      </c>
      <c r="C55" t="inlineStr">
        <is>
          <t>Fournir du code VBA pour modifier le maximum de l'axe vertical du graphique de projection.</t>
        </is>
      </c>
      <c r="D55" t="inlineStr">
        <is>
          <t>Rédaction de deux macros VBA (mode automatique + mode dynamique calculé sur les données).</t>
        </is>
      </c>
      <c r="E55" t="inlineStr">
        <is>
          <t>Macro 1 : MaximumScaleIsAuto=True + MajorUnit=100. Macro 2 : balayage de SeriesCollection, max arrondi à la centaine sup. via Ceiling. Cible ChartObjects("ChartProjection") sur la feuille Graphiques.</t>
        </is>
      </c>
      <c r="F55" t="inlineStr">
        <is>
          <t>Code fourni dans le chat (à coller dans un module VBA du classeur .xlsm).</t>
        </is>
      </c>
    </row>
    <row r="56">
      <c r="A56" t="n">
        <v>57</v>
      </c>
      <c r="B56" s="2" t="n">
        <v>46163</v>
      </c>
      <c r="C56" t="inlineStr">
        <is>
          <t>Même demande que précédemment mais pour l'axe des X.</t>
        </is>
      </c>
      <c r="D56" t="inlineStr">
        <is>
          <t>Rédaction de deux macros VBA pour ajuster le max de l'axe horizontal (xlCategory) du graphique ChartProjection.</t>
        </is>
      </c>
      <c r="E56" t="inlineStr">
        <is>
          <t>Macro 1 : MaximumScaleIsAuto=True sur xlCategory. Macro 2 : balayage XValues des séries, max arrondi via Ceiling à 100. Note : MaximumScale sans effet si axe en catégorie textuelle.</t>
        </is>
      </c>
      <c r="F56" t="inlineStr">
        <is>
          <t>Code fourni dans le chat.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Feuil4">
    <outlinePr summaryBelow="1" summaryRight="1"/>
    <pageSetUpPr/>
  </sheetPr>
  <dimension ref="A1:N6"/>
  <sheetViews>
    <sheetView zoomScale="70" zoomScaleNormal="70" workbookViewId="0">
      <selection activeCell="H29" sqref="H29"/>
    </sheetView>
  </sheetViews>
  <sheetFormatPr baseColWidth="10" defaultRowHeight="15.75"/>
  <cols>
    <col width="18.5" customWidth="1" style="82" min="1" max="1"/>
    <col width="17" customWidth="1" style="82" min="2" max="2"/>
    <col width="23.625" customWidth="1" style="82" min="3" max="3"/>
    <col width="23" bestFit="1" customWidth="1" style="82" min="4" max="4"/>
    <col width="17.125" customWidth="1" style="82" min="5" max="5"/>
    <col width="21.75" customWidth="1" style="82" min="6" max="6"/>
    <col width="23.625" customWidth="1" style="82" min="7" max="7"/>
    <col width="45.375" customWidth="1" style="82" min="8" max="8"/>
    <col width="18.875" bestFit="1" customWidth="1" style="82" min="9" max="9"/>
    <col width="20.125" bestFit="1" customWidth="1" style="82" min="10" max="11"/>
    <col width="18.875" bestFit="1" customWidth="1" style="82" min="12" max="12"/>
    <col width="21.625" bestFit="1" customWidth="1" style="82" min="13" max="13"/>
    <col width="20.125" bestFit="1" customWidth="1" style="82" min="14" max="14"/>
    <col width="11.375" bestFit="1" customWidth="1" style="82" min="15" max="23"/>
    <col width="24.25" bestFit="1" customWidth="1" style="82" min="24" max="24"/>
    <col width="13.375" bestFit="1" customWidth="1" style="82" min="25" max="27"/>
    <col width="11.375" bestFit="1" customWidth="1" style="82" min="28" max="28"/>
    <col width="81" bestFit="1" customWidth="1" style="82" min="29" max="29"/>
    <col width="26.875" bestFit="1" customWidth="1" style="82" min="30" max="30"/>
    <col width="11.375" bestFit="1" customWidth="1" style="82" min="31" max="32"/>
    <col width="12.125" bestFit="1" customWidth="1" style="82" min="33" max="33"/>
    <col width="20.25" bestFit="1" customWidth="1" style="82" min="34" max="34"/>
    <col width="11.375" bestFit="1" customWidth="1" style="82" min="35" max="36"/>
    <col width="27" bestFit="1" customWidth="1" style="82" min="37" max="37"/>
    <col width="11.375" bestFit="1" customWidth="1" style="82" min="38" max="55"/>
    <col width="28.125" bestFit="1" customWidth="1" style="82" min="56" max="56"/>
    <col width="13.375" bestFit="1" customWidth="1" style="82" min="57" max="59"/>
    <col width="11.375" bestFit="1" customWidth="1" style="82" min="60" max="60"/>
    <col width="81" bestFit="1" customWidth="1" style="82" min="61" max="61"/>
    <col width="27" bestFit="1" customWidth="1" style="82" min="62" max="62"/>
    <col width="11.375" bestFit="1" customWidth="1" style="82" min="63" max="65"/>
    <col width="25.375" bestFit="1" customWidth="1" style="82" min="66" max="66"/>
    <col width="11.375" bestFit="1" customWidth="1" style="82" min="67" max="70"/>
    <col width="23.75" bestFit="1" customWidth="1" style="82" min="71" max="71"/>
    <col width="11.375" bestFit="1" customWidth="1" style="82" min="72" max="75"/>
    <col width="29.375" bestFit="1" customWidth="1" style="82" min="76" max="76"/>
    <col width="11.375" bestFit="1" customWidth="1" style="82" min="77" max="80"/>
    <col width="23.875" bestFit="1" customWidth="1" style="82" min="81" max="81"/>
    <col width="11.375" bestFit="1" customWidth="1" style="82" min="82" max="85"/>
    <col width="12.5" bestFit="1" customWidth="1" style="82" min="86" max="86"/>
    <col width="11.375" bestFit="1" customWidth="1" style="82" min="87" max="98"/>
    <col width="12.375" bestFit="1" customWidth="1" style="82" min="99" max="106"/>
    <col width="28.25" bestFit="1" customWidth="1" style="82" min="107" max="107"/>
    <col width="14.375" bestFit="1" customWidth="1" style="82" min="108" max="110"/>
    <col width="12.375" bestFit="1" customWidth="1" style="82" min="111" max="111"/>
    <col width="81" bestFit="1" customWidth="1" style="82" min="112" max="112"/>
    <col width="25.25" bestFit="1" customWidth="1" style="82" min="113" max="113"/>
    <col width="44.25" bestFit="1" customWidth="1" style="82" min="114" max="114"/>
    <col width="12.375" bestFit="1" customWidth="1" style="82" min="115" max="121"/>
    <col width="20.125" bestFit="1" customWidth="1" style="82" min="122" max="122"/>
    <col width="38.125" bestFit="1" customWidth="1" style="82" min="123" max="123"/>
    <col width="12.375" bestFit="1" customWidth="1" style="82" min="124" max="136"/>
    <col width="25.875" bestFit="1" customWidth="1" style="82" min="137" max="137"/>
    <col width="12.375" bestFit="1" customWidth="1" style="82" min="138" max="138"/>
    <col width="45.5" bestFit="1" customWidth="1" style="82" min="139" max="139"/>
    <col width="14.375" bestFit="1" customWidth="1" style="82" min="140" max="142"/>
    <col width="12.375" bestFit="1" customWidth="1" style="82" min="143" max="143"/>
    <col width="81" bestFit="1" customWidth="1" style="82" min="144" max="144"/>
    <col width="25.625" bestFit="1" customWidth="1" style="82" min="145" max="145"/>
    <col width="16.875" bestFit="1" customWidth="1" style="82" min="146" max="146"/>
    <col width="12.375" bestFit="1" customWidth="1" style="82" min="147" max="154"/>
    <col width="14.625" bestFit="1" customWidth="1" style="82" min="155" max="155"/>
    <col width="15" bestFit="1" customWidth="1" style="82" min="156" max="156"/>
    <col width="25.375" bestFit="1" customWidth="1" style="82" min="157" max="157"/>
    <col width="17.25" bestFit="1" customWidth="1" style="82" min="158" max="158"/>
    <col width="12.375" bestFit="1" customWidth="1" style="82" min="159" max="171"/>
    <col width="26.375" bestFit="1" customWidth="1" style="82" min="172" max="172"/>
    <col width="12.375" bestFit="1" customWidth="1" style="82" min="173" max="173"/>
    <col width="16.875" bestFit="1" customWidth="1" style="82" min="174" max="174"/>
    <col width="12.375" bestFit="1" customWidth="1" style="82" min="175" max="175"/>
    <col width="14.375" bestFit="1" customWidth="1" style="82" min="176" max="178"/>
    <col width="12.375" bestFit="1" customWidth="1" style="82" min="179" max="179"/>
    <col width="81" bestFit="1" customWidth="1" style="82" min="180" max="181"/>
    <col width="30.25" bestFit="1" customWidth="1" style="82" min="182" max="182"/>
    <col width="15.75" bestFit="1" customWidth="1" style="82" min="183" max="183"/>
    <col width="15.5" bestFit="1" customWidth="1" style="82" min="184" max="184"/>
    <col width="20.125" bestFit="1" customWidth="1" style="82" min="185" max="185"/>
    <col width="12.375" bestFit="1" customWidth="1" style="82" min="186" max="192"/>
    <col width="14.625" bestFit="1" customWidth="1" style="82" min="193" max="193"/>
    <col width="15" bestFit="1" customWidth="1" style="82" min="194" max="194"/>
    <col width="25.375" bestFit="1" customWidth="1" style="82" min="195" max="195"/>
    <col width="17.25" bestFit="1" customWidth="1" style="82" min="196" max="196"/>
    <col width="12.375" bestFit="1" customWidth="1" style="82" min="197" max="209"/>
    <col width="30.875" bestFit="1" customWidth="1" style="82" min="210" max="210"/>
    <col width="12.375" bestFit="1" customWidth="1" style="82" min="211" max="211"/>
    <col width="15.75" bestFit="1" customWidth="1" style="82" min="212" max="212"/>
    <col width="15.5" bestFit="1" customWidth="1" style="82" min="213" max="213"/>
    <col width="21.5" bestFit="1" customWidth="1" style="82" min="214" max="214"/>
    <col width="14.375" bestFit="1" customWidth="1" style="82" min="215" max="217"/>
    <col width="12.375" bestFit="1" customWidth="1" style="82" min="218" max="218"/>
    <col width="81" bestFit="1" customWidth="1" style="82" min="219" max="219"/>
    <col width="15.5" bestFit="1" customWidth="1" style="82" min="220" max="220"/>
    <col width="81" bestFit="1" customWidth="1" style="82" min="221" max="221"/>
    <col width="14.25" bestFit="1" customWidth="1" style="82" min="222" max="222"/>
    <col width="14.875" bestFit="1" customWidth="1" style="82" min="223" max="223"/>
    <col width="14.625" bestFit="1" customWidth="1" style="82" min="224" max="224"/>
    <col width="81" bestFit="1" customWidth="1" style="82" min="225" max="225"/>
    <col width="12.375" bestFit="1" customWidth="1" style="82" min="226" max="226"/>
    <col width="81" bestFit="1" customWidth="1" style="82" min="227" max="229"/>
    <col width="12.375" bestFit="1" customWidth="1" style="82" min="230" max="248"/>
    <col width="13" bestFit="1" customWidth="1" style="82" min="249" max="249"/>
    <col width="12.375" bestFit="1" customWidth="1" style="82" min="250" max="250"/>
    <col width="15.5" bestFit="1" customWidth="1" style="82" min="251" max="251"/>
    <col width="12.375" bestFit="1" customWidth="1" style="82" min="252" max="257"/>
    <col width="17.25" bestFit="1" customWidth="1" style="82" min="258" max="258"/>
    <col width="12.375" bestFit="1" customWidth="1" style="82" min="259" max="268"/>
    <col width="16.875" bestFit="1" customWidth="1" style="82" min="269" max="269"/>
    <col width="12.375" bestFit="1" customWidth="1" style="82" min="270" max="270"/>
    <col width="15.625" bestFit="1" customWidth="1" style="82" min="271" max="271"/>
    <col width="12.375" bestFit="1" customWidth="1" style="82" min="272" max="274"/>
    <col width="15.625" bestFit="1" customWidth="1" style="82" min="275" max="275"/>
    <col width="12.375" bestFit="1" customWidth="1" style="82" min="276" max="279"/>
    <col width="14" bestFit="1" customWidth="1" style="82" min="280" max="280"/>
    <col width="12.375" bestFit="1" customWidth="1" style="82" min="281" max="284"/>
    <col width="19.625" bestFit="1" customWidth="1" style="82" min="285" max="285"/>
    <col width="12.375" bestFit="1" customWidth="1" style="82" min="286" max="289"/>
    <col width="14.125" bestFit="1" customWidth="1" style="82" min="290" max="290"/>
    <col width="12.375" bestFit="1" customWidth="1" style="82" min="291" max="313"/>
    <col width="17" bestFit="1" customWidth="1" style="82" min="314" max="314"/>
    <col width="12.375" bestFit="1" customWidth="1" style="82" min="315" max="315"/>
    <col width="14" bestFit="1" customWidth="1" style="82" min="316" max="316"/>
    <col width="33" bestFit="1" customWidth="1" style="82" min="317" max="317"/>
    <col width="12.375" bestFit="1" customWidth="1" style="82" min="318" max="325"/>
    <col width="28.125" bestFit="1" customWidth="1" style="82" min="326" max="326"/>
    <col width="12.375" bestFit="1" customWidth="1" style="82" min="327" max="333"/>
    <col width="14.625" bestFit="1" customWidth="1" style="82" min="334" max="334"/>
    <col width="12.375" bestFit="1" customWidth="1" style="82" min="335" max="335"/>
    <col width="34.25" bestFit="1" customWidth="1" style="82" min="336" max="336"/>
    <col width="12.375" bestFit="1" customWidth="1" style="82" min="337" max="337"/>
    <col width="14.375" bestFit="1" customWidth="1" style="82" min="338" max="338"/>
    <col width="13.75" bestFit="1" customWidth="1" style="82" min="339" max="339"/>
    <col width="12.375" bestFit="1" customWidth="1" style="82" min="340" max="348"/>
    <col width="32.625" bestFit="1" customWidth="1" style="82" min="349" max="349"/>
    <col width="12.375" bestFit="1" customWidth="1" style="82" min="350" max="356"/>
    <col width="15" bestFit="1" customWidth="1" style="82" min="357" max="357"/>
    <col width="12.375" bestFit="1" customWidth="1" style="82" min="358" max="358"/>
    <col width="15" bestFit="1" customWidth="1" style="82" min="359" max="359"/>
    <col width="12.375" bestFit="1" customWidth="1" style="82" min="360" max="360"/>
    <col width="19" bestFit="1" customWidth="1" style="82" min="361" max="361"/>
    <col width="40.125" bestFit="1" customWidth="1" style="82" min="362" max="362"/>
    <col width="12.375" bestFit="1" customWidth="1" style="82" min="363" max="371"/>
    <col width="32.625" bestFit="1" customWidth="1" style="82" min="372" max="372"/>
    <col width="12.375" bestFit="1" customWidth="1" style="82" min="373" max="379"/>
    <col width="19.625" bestFit="1" customWidth="1" style="82" min="380" max="380"/>
    <col width="12.375" bestFit="1" customWidth="1" style="82" min="381" max="381"/>
    <col width="41.375" bestFit="1" customWidth="1" style="82" min="382" max="382"/>
    <col width="12.375" bestFit="1" customWidth="1" style="82" min="383" max="383"/>
    <col width="24.125" bestFit="1" customWidth="1" style="82" min="384" max="384"/>
    <col width="48.25" bestFit="1" customWidth="1" style="82" min="385" max="385"/>
    <col width="12.375" bestFit="1" customWidth="1" style="82" min="386" max="394"/>
    <col width="24.75" bestFit="1" customWidth="1" style="82" min="395" max="395"/>
    <col width="12.375" bestFit="1" customWidth="1" style="82" min="396" max="396"/>
    <col width="58.5" bestFit="1" customWidth="1" style="82" min="397" max="397"/>
    <col width="12.375" bestFit="1" customWidth="1" style="82" min="398" max="398"/>
    <col width="33" bestFit="1" customWidth="1" style="82" min="399" max="399"/>
    <col width="51.625" bestFit="1" customWidth="1" style="82" min="400" max="400"/>
    <col width="12.375" bestFit="1" customWidth="1" style="82" min="401" max="409"/>
    <col width="32.625" bestFit="1" customWidth="1" style="82" min="410" max="410"/>
    <col width="12.375" bestFit="1" customWidth="1" style="82" min="411" max="417"/>
    <col width="33.625" bestFit="1" customWidth="1" style="82" min="418" max="418"/>
    <col width="12.375" bestFit="1" customWidth="1" style="82" min="419" max="419"/>
    <col width="53.625" bestFit="1" customWidth="1" style="82" min="420" max="420"/>
    <col width="18.375" bestFit="1" customWidth="1" style="82" min="421" max="421"/>
    <col width="12.375" bestFit="1" customWidth="1" style="82" min="422" max="451"/>
    <col width="81" bestFit="1" customWidth="1" style="82" min="452" max="452"/>
    <col width="12.375" bestFit="1" customWidth="1" style="82" min="453" max="453"/>
    <col width="26" bestFit="1" customWidth="1" style="82" min="454" max="454"/>
    <col width="12.375" bestFit="1" customWidth="1" style="82" min="455" max="464"/>
    <col width="59.375" bestFit="1" customWidth="1" style="82" min="465" max="465"/>
    <col width="12.375" bestFit="1" customWidth="1" style="82" min="466" max="469"/>
    <col width="81" bestFit="1" customWidth="1" style="82" min="470" max="470"/>
    <col width="12.375" bestFit="1" customWidth="1" style="82" min="471" max="998"/>
    <col width="13.375" bestFit="1" customWidth="1" style="82" min="999" max="4783"/>
    <col width="13.375" customWidth="1" style="82" min="4784" max="4833"/>
    <col width="13.375" bestFit="1" customWidth="1" style="82" min="4834" max="4841"/>
    <col width="11" customWidth="1" style="82" min="4842" max="16384"/>
  </cols>
  <sheetData>
    <row r="1">
      <c r="A1" s="82" t="inlineStr">
        <is>
          <t>Horodatage</t>
        </is>
      </c>
      <c r="B1" s="82" t="inlineStr">
        <is>
          <t>Date</t>
        </is>
      </c>
      <c r="C1" s="82" t="inlineStr">
        <is>
          <t>Type</t>
        </is>
      </c>
      <c r="D1" s="82" t="inlineStr">
        <is>
          <t>Km compteur</t>
        </is>
      </c>
      <c r="E1" s="82" t="inlineStr">
        <is>
          <t>Nb. Litres</t>
        </is>
      </c>
      <c r="F1" s="82" t="inlineStr">
        <is>
          <t>Prix €/L</t>
        </is>
      </c>
      <c r="G1" s="82" t="inlineStr">
        <is>
          <t>Prix S98 jour (€/L)</t>
        </is>
      </c>
      <c r="H1" s="82" t="inlineStr">
        <is>
          <t>Station essence</t>
        </is>
      </c>
      <c r="I1" s="82" t="inlineStr">
        <is>
          <t>E85 station (€/L)</t>
        </is>
      </c>
      <c r="J1" s="82" t="inlineStr">
        <is>
          <t>SP98 station (€/L)</t>
        </is>
      </c>
      <c r="K1" s="82" t="inlineStr">
        <is>
          <t>SP95 station (€/L)</t>
        </is>
      </c>
      <c r="L1" s="82" t="inlineStr">
        <is>
          <t>E10 station (€/L)</t>
        </is>
      </c>
      <c r="M1" s="82" t="inlineStr">
        <is>
          <t>Gazole station (€/L)</t>
        </is>
      </c>
      <c r="N1" s="82" t="inlineStr">
        <is>
          <t>GPLc station (€/L)</t>
        </is>
      </c>
    </row>
    <row r="2">
      <c r="A2" s="105" t="n">
        <v>46164.25133101852</v>
      </c>
      <c r="B2" s="82" t="inlineStr">
        <is>
          <t>22/05/2026</t>
        </is>
      </c>
      <c r="C2" s="82" t="inlineStr">
        <is>
          <t>SuperEthanol E85</t>
        </is>
      </c>
      <c r="D2" s="82" t="n">
        <v>15000</v>
      </c>
      <c r="E2" s="82" t="n">
        <v>22</v>
      </c>
      <c r="F2" s="82" t="n">
        <v>0.6</v>
      </c>
      <c r="H2" s="82" t="inlineStr">
        <is>
          <t>Intermarché</t>
        </is>
      </c>
    </row>
    <row r="3">
      <c r="A3" s="105" t="n">
        <v>46164.26167824074</v>
      </c>
      <c r="B3" s="82" t="inlineStr">
        <is>
          <t>22/05/2026</t>
        </is>
      </c>
      <c r="C3" s="82" t="inlineStr">
        <is>
          <t>SuperEthanol E85</t>
        </is>
      </c>
      <c r="D3" s="82" t="n">
        <v>15000</v>
      </c>
      <c r="E3" s="82" t="n">
        <v>15</v>
      </c>
      <c r="F3" s="82" t="n">
        <v>0.6</v>
      </c>
      <c r="G3" s="82" t="n">
        <v>2.091</v>
      </c>
      <c r="H3" s="82" t="inlineStr">
        <is>
          <t>Total Access</t>
        </is>
      </c>
      <c r="J3" s="82" t="n">
        <v>2.091</v>
      </c>
    </row>
    <row r="4">
      <c r="A4" s="105" t="n">
        <v>46164.80640046296</v>
      </c>
      <c r="B4" s="82" t="inlineStr">
        <is>
          <t>22/05/2026</t>
        </is>
      </c>
      <c r="C4" s="82" t="inlineStr">
        <is>
          <t>SuperEthanol E85</t>
        </is>
      </c>
      <c r="D4" s="82" t="n">
        <v>11831</v>
      </c>
      <c r="E4" s="82" t="n">
        <v>15</v>
      </c>
      <c r="F4" s="82" t="n">
        <v>0.798</v>
      </c>
      <c r="G4" s="82" t="n">
        <v>2.117</v>
      </c>
      <c r="H4" s="82" t="inlineStr">
        <is>
          <t>ZONE DU MOULIN RUE ARTHUR LAMENDIN — Beuvry</t>
        </is>
      </c>
      <c r="I4" s="82" t="n">
        <v>0.798</v>
      </c>
      <c r="J4" s="82" t="n">
        <v>2.117</v>
      </c>
    </row>
    <row r="5">
      <c r="A5" s="105" t="n">
        <v>46164.82019675926</v>
      </c>
      <c r="B5" s="82" t="inlineStr">
        <is>
          <t>22/05/2026</t>
        </is>
      </c>
      <c r="C5" s="82" t="inlineStr">
        <is>
          <t>SuperEthanol E85</t>
        </is>
      </c>
      <c r="D5" s="82" t="n">
        <v>11831</v>
      </c>
      <c r="E5" s="82" t="n">
        <v>16.25</v>
      </c>
      <c r="F5" s="82" t="n">
        <v>0.798</v>
      </c>
      <c r="G5" s="82" t="n">
        <v>2.117</v>
      </c>
      <c r="H5" s="82" t="inlineStr">
        <is>
          <t>ZONE DU MOULIN RUE ARTHUR LAMENDIN — Beuvry</t>
        </is>
      </c>
      <c r="I5" s="82" t="n">
        <v>0.798</v>
      </c>
      <c r="J5" s="82" t="n">
        <v>2.117</v>
      </c>
    </row>
    <row r="6">
      <c r="A6" s="105" t="n">
        <v>46164.83774305556</v>
      </c>
      <c r="B6" s="82" t="inlineStr">
        <is>
          <t>22/05/2026</t>
        </is>
      </c>
      <c r="C6" s="82" t="inlineStr">
        <is>
          <t>SuperEthanol E85</t>
        </is>
      </c>
      <c r="D6" s="82" t="n">
        <v>11831</v>
      </c>
      <c r="E6" s="82" t="n">
        <v>16.25</v>
      </c>
      <c r="F6" s="82" t="n">
        <v>0.798</v>
      </c>
      <c r="G6" s="82" t="n">
        <v>2.117</v>
      </c>
      <c r="H6" s="82" t="inlineStr">
        <is>
          <t>ZONE DU MOULIN RUE ARTHUR LAMENDIN — Beuvry</t>
        </is>
      </c>
      <c r="I6" s="82" t="n">
        <v>0.798</v>
      </c>
      <c r="J6" s="82" t="n">
        <v>2.117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Feuil2">
    <outlinePr summaryBelow="1" summaryRight="1"/>
    <pageSetUpPr/>
  </sheetPr>
  <dimension ref="A1:AA39"/>
  <sheetViews>
    <sheetView tabSelected="1" zoomScale="70" zoomScaleNormal="70"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N8" sqref="N8"/>
    </sheetView>
  </sheetViews>
  <sheetFormatPr baseColWidth="10" defaultRowHeight="15.75"/>
  <cols>
    <col width="32" customWidth="1" style="27" min="1" max="1"/>
    <col width="18.375" customWidth="1" style="27" min="2" max="2"/>
    <col width="18.5" customWidth="1" style="27" min="3" max="3"/>
    <col width="14.25" customWidth="1" style="27" min="4" max="4"/>
    <col width="10.875" customWidth="1" style="27" min="5" max="5"/>
    <col width="12.125" customWidth="1" style="27" min="6" max="6"/>
    <col width="12.75" customWidth="1" style="27" min="7" max="7"/>
    <col width="14.5" customWidth="1" style="27" min="8" max="8"/>
    <col width="14.375" customWidth="1" style="27" min="9" max="9"/>
    <col width="16.875" customWidth="1" style="27" min="10" max="10"/>
    <col width="18.75" customWidth="1" style="27" min="11" max="11"/>
    <col width="21.5" customWidth="1" style="27" min="12" max="12"/>
    <col width="20" customWidth="1" style="27" min="13" max="13"/>
    <col width="20.25" customWidth="1" style="27" min="14" max="14"/>
    <col width="53.375" customWidth="1" style="27" min="15" max="15"/>
    <col hidden="1" width="1.625" customWidth="1" style="27" min="16" max="16"/>
    <col hidden="1" outlineLevel="1" width="11.125" customWidth="1" style="27" min="17" max="17"/>
    <col hidden="1" outlineLevel="1" width="20.125" customWidth="1" style="27" min="18" max="18"/>
    <col hidden="1" outlineLevel="1" width="13.25" customWidth="1" style="27" min="19" max="19"/>
    <col collapsed="1" width="11" customWidth="1" style="27" min="20" max="20"/>
    <col width="11" customWidth="1" style="27" min="21" max="25"/>
    <col width="19.25" bestFit="1" customWidth="1" style="27" min="26" max="26"/>
    <col width="19.5" bestFit="1" customWidth="1" style="27" min="27" max="27"/>
    <col width="11" customWidth="1" style="27" min="28" max="16384"/>
  </cols>
  <sheetData>
    <row r="1" ht="50.1" customHeight="1">
      <c r="A1" s="97" t="inlineStr">
        <is>
          <t>🏍️  SUIVI CONSOMMATION CARBURANT  —  KIT ÉTHANOL</t>
        </is>
      </c>
      <c r="Z1" s="78" t="n">
        <v>46164.83774305556</v>
      </c>
      <c r="AA1" s="78" t="n">
        <v>2</v>
      </c>
    </row>
    <row r="2" ht="3.95" customHeight="1">
      <c r="A2" s="26" t="n"/>
      <c r="B2" s="26" t="n"/>
      <c r="C2" s="26" t="n"/>
      <c r="D2" s="26" t="n"/>
      <c r="E2" s="26" t="n"/>
      <c r="F2" s="26" t="n"/>
      <c r="G2" s="26" t="n"/>
      <c r="H2" s="26" t="n"/>
      <c r="I2" s="26" t="n"/>
      <c r="J2" s="26" t="n"/>
      <c r="K2" s="26" t="n"/>
      <c r="L2" s="26" t="n"/>
      <c r="M2" s="26" t="n"/>
      <c r="N2" s="26" t="n"/>
      <c r="O2" s="26" t="n"/>
    </row>
    <row r="3" ht="14.25" customHeight="1">
      <c r="A3" s="27" t="n"/>
      <c r="B3" s="27" t="n"/>
      <c r="C3" s="27" t="n"/>
      <c r="D3" s="27" t="n"/>
      <c r="E3" s="27" t="n"/>
      <c r="F3" s="27" t="n"/>
      <c r="G3" s="27" t="n"/>
      <c r="H3" s="27" t="n"/>
      <c r="I3" s="27" t="n"/>
    </row>
    <row r="4">
      <c r="A4" s="5" t="inlineStr">
        <is>
          <t>PARAMÈTRES</t>
        </is>
      </c>
      <c r="B4" s="28" t="n"/>
      <c r="C4" s="6" t="n"/>
      <c r="D4" s="6" t="n"/>
      <c r="E4" s="6" t="n"/>
      <c r="F4" s="6" t="n"/>
      <c r="G4" s="6" t="n"/>
      <c r="H4" s="6" t="n"/>
      <c r="I4" s="6" t="n"/>
      <c r="J4" s="6" t="n"/>
      <c r="K4" s="6" t="n"/>
      <c r="L4" s="6" t="n"/>
      <c r="M4" s="6" t="n"/>
      <c r="N4" s="6" t="n"/>
      <c r="O4" s="6" t="n"/>
    </row>
    <row r="5">
      <c r="A5" s="7" t="inlineStr">
        <is>
          <t>Coût du kit éthanol (€)</t>
        </is>
      </c>
      <c r="B5" s="40" t="n">
        <v>514.54</v>
      </c>
      <c r="C5" s="8" t="inlineStr">
        <is>
          <t>← Saisir le prix du kit</t>
        </is>
      </c>
      <c r="D5" s="27" t="n"/>
      <c r="E5" s="27" t="n"/>
      <c r="F5" s="27" t="n"/>
      <c r="G5" s="7" t="inlineStr">
        <is>
          <t>Conso. SuperEthanol référence (L/100km)</t>
        </is>
      </c>
      <c r="H5" s="7" t="n"/>
      <c r="I5" s="7" t="n"/>
      <c r="J5" s="108">
        <f>IFERROR(AVERAGEIFS(Tableau2[Conso. (L/100km)],Tableau2[Type],"SuperEthanol E85"),"")</f>
        <v/>
      </c>
      <c r="K5" s="25" t="inlineStr">
        <is>
          <t>← Calculée auto depuis vos pleins SuperEthanol</t>
        </is>
      </c>
      <c r="L5" s="27" t="n"/>
      <c r="M5" s="27" t="n"/>
    </row>
    <row r="6">
      <c r="A6" s="7" t="inlineStr">
        <is>
          <t>Conso. S98 référence (L/100km)</t>
        </is>
      </c>
      <c r="B6" s="108">
        <f>IFERROR(AVERAGEIFS(Tableau2[Conso. (L/100km)],Tableau2[Type],"Super 98"),"")</f>
        <v/>
      </c>
      <c r="C6" s="25" t="inlineStr">
        <is>
          <t>← Calculée auto depuis vos pleins S98</t>
        </is>
      </c>
      <c r="D6" s="27" t="n"/>
      <c r="E6" s="27" t="n"/>
      <c r="F6" s="27" t="n"/>
      <c r="G6" s="7" t="inlineStr">
        <is>
          <t>Conso. SuperEthanol référence (km/L)</t>
        </is>
      </c>
      <c r="H6" s="7" t="n"/>
      <c r="I6" s="7" t="n"/>
      <c r="J6" s="77">
        <f t="array" ref="J6">IFERROR(AVERAGE(IF((Tableau2[Type]="SuperEthanol E85")*(Tableau2[Nb. km]&lt;&gt;"")*(Tableau2[Nb. Litres]&lt;&gt;""),Tableau2[Nb. km]/Tableau2[Nb. Litres])),"")</f>
        <v/>
      </c>
      <c r="K6" s="25" t="inlineStr">
        <is>
          <t>← Calculée auto depuis vos pleins SuperEthanol</t>
        </is>
      </c>
      <c r="L6" s="27" t="n"/>
      <c r="M6" s="27" t="n"/>
    </row>
    <row r="7">
      <c r="A7" s="7" t="inlineStr">
        <is>
          <t>Conso. S98 référence (km/L)</t>
        </is>
      </c>
      <c r="B7" s="77">
        <f t="array" ref="B7">IFERROR(AVERAGE(IF((Tableau2[Type]="Super 98")*(Tableau2[Nb. km]&lt;&gt;"")*(Tableau2[Nb. Litres]&lt;&gt;""),Tableau2[Nb. km]/Tableau2[Nb. Litres])),"")</f>
        <v/>
      </c>
      <c r="C7" s="25" t="inlineStr">
        <is>
          <t>← Calculée auto depuis vos pleins S98</t>
        </is>
      </c>
      <c r="D7" s="27" t="n"/>
      <c r="E7" s="27" t="n"/>
      <c r="F7" s="27" t="n"/>
      <c r="G7" s="96" t="inlineStr">
        <is>
          <t>Surconsommation E85 (%)</t>
        </is>
      </c>
      <c r="H7" s="96" t="n"/>
      <c r="I7" s="96" t="n"/>
      <c r="J7" s="41">
        <f>IF(OR(B6="",B6=0,COUNTIF(Tableau2[Type],"SuperEthanol E85")=0),0.2,AVERAGEIFS(Tableau2[Conso. (L/100km)],Tableau2[Type],"SuperEthanol E85")/B6-1)</f>
        <v/>
      </c>
      <c r="K7" s="8" t="inlineStr">
        <is>
          <t>← Calculée auto (20% par défaut si pas de données)</t>
        </is>
      </c>
      <c r="L7" s="27" t="n"/>
      <c r="M7" s="27" t="n"/>
    </row>
    <row r="8" ht="7.5" customHeight="1">
      <c r="A8" s="33" t="n"/>
      <c r="B8" s="33" t="n"/>
      <c r="C8" s="33" t="n"/>
      <c r="D8" s="33" t="n"/>
      <c r="E8" s="33" t="n"/>
      <c r="F8" s="33" t="n"/>
      <c r="G8" s="33" t="n"/>
      <c r="H8" s="33" t="n"/>
      <c r="I8" s="33" t="n"/>
      <c r="J8" s="33" t="n"/>
      <c r="K8" s="33" t="n"/>
      <c r="L8" s="33" t="n"/>
      <c r="M8" s="33" t="n"/>
      <c r="N8" s="33" t="n"/>
    </row>
    <row r="9">
      <c r="A9" s="35" t="inlineStr">
        <is>
          <t>RENTABILITÉ DU KIT ÉTHANOL</t>
        </is>
      </c>
      <c r="B9" s="30" t="n"/>
      <c r="C9" s="31" t="n"/>
      <c r="D9" s="6" t="n"/>
      <c r="E9" s="6" t="n"/>
      <c r="F9" s="6" t="n"/>
      <c r="G9" s="6" t="n"/>
      <c r="H9" s="6" t="n"/>
      <c r="I9" s="6" t="n"/>
      <c r="J9" s="6" t="n"/>
      <c r="K9" s="6" t="n"/>
      <c r="L9" s="6" t="n"/>
      <c r="M9" s="6" t="n"/>
      <c r="N9" s="6" t="n"/>
      <c r="O9" s="6" t="n"/>
    </row>
    <row r="10">
      <c r="A10" s="7" t="inlineStr">
        <is>
          <t>Économie cumulée actuelle (€)</t>
        </is>
      </c>
      <c r="B10" s="42">
        <f>IFERROR(LOOKUP(9.99999999999999E+307,Tableau2[Économie cumulée (€)]),0)</f>
        <v/>
      </c>
      <c r="C10" s="8" t="inlineStr">
        <is>
          <t>← Dernière valeur de la colonne M</t>
        </is>
      </c>
      <c r="D10" s="27" t="n"/>
      <c r="E10" s="27" t="n"/>
      <c r="F10" s="27" t="n"/>
      <c r="G10" s="96" t="inlineStr">
        <is>
          <t>Date de rentabilité (estimée)</t>
        </is>
      </c>
      <c r="I10" s="96" t="n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/>
      </c>
      <c r="K10" s="36" t="inlineStr">
        <is>
          <t>← Date prévue selon le rythme moyen</t>
        </is>
      </c>
      <c r="L10" s="36" t="n"/>
      <c r="M10" s="36" t="n"/>
      <c r="N10" s="27" t="n"/>
    </row>
    <row r="11">
      <c r="A11" s="7" t="inlineStr">
        <is>
          <t>Reste à amortir (€)</t>
        </is>
      </c>
      <c r="B11" s="42">
        <f>MAX(0,B5-B10)</f>
        <v/>
      </c>
      <c r="C11" s="8" t="inlineStr">
        <is>
          <t>← Coût kit − économie cumulée</t>
        </is>
      </c>
      <c r="D11" s="27" t="n"/>
      <c r="E11" s="27" t="n"/>
      <c r="F11" s="27" t="n"/>
      <c r="G11" s="7" t="inlineStr">
        <is>
          <t>Km au compteur à la rentabilité (estimé)</t>
        </is>
      </c>
      <c r="H11" s="7" t="n"/>
      <c r="I11" s="7" t="n"/>
      <c r="J11" s="109">
        <f>IFERROR(IF(B11=0,LOOKUP(9.99999999999999E+307,Tableau2[Km compteur]),IF(OR(B12="-",B12=0),"En attente d'un plein E85",LOOKUP(9.99999999999999E+307,Tableau2[Km compteur])+B11/B12)),"En attente d'un plein E85")</f>
        <v/>
      </c>
      <c r="K11" s="36" t="inlineStr">
        <is>
          <t>← Affichage compteur prévu selon le rythme moyen</t>
        </is>
      </c>
      <c r="L11" s="36" t="n"/>
      <c r="M11" s="36" t="n"/>
      <c r="N11" s="27" t="n"/>
      <c r="O11" s="27" t="n"/>
      <c r="P11" s="27" t="n"/>
    </row>
    <row r="12">
      <c r="A12" s="7" t="inlineStr">
        <is>
          <t>Économie moyenne (€/km)</t>
        </is>
      </c>
      <c r="B12" s="110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/>
      </c>
      <c r="C12" s="33" t="n"/>
      <c r="D12" s="33" t="n"/>
      <c r="E12" s="27" t="n"/>
      <c r="F12" s="27" t="n"/>
      <c r="G12" s="7" t="inlineStr">
        <is>
          <t>Progression de la rentabilisation</t>
        </is>
      </c>
      <c r="H12" s="7" t="n"/>
      <c r="I12" s="7" t="n"/>
      <c r="J12" s="37">
        <f>IFERROR(MIN(B10/B5,1),0)</f>
        <v/>
      </c>
      <c r="K12" s="36" t="inlineStr">
        <is>
          <t>← Économie cumulée / coût du kit</t>
        </is>
      </c>
      <c r="L12" s="36" t="n"/>
      <c r="M12" s="36" t="n"/>
      <c r="N12" s="27" t="n"/>
      <c r="O12" s="27" t="n"/>
      <c r="P12" s="27" t="n"/>
    </row>
    <row r="13" ht="11.25" customHeight="1">
      <c r="A13" s="33" t="n"/>
      <c r="B13" s="33" t="n"/>
      <c r="C13" s="33" t="n"/>
      <c r="D13" s="33" t="n"/>
      <c r="E13" s="33" t="n"/>
      <c r="F13" s="33" t="n"/>
      <c r="G13" s="33" t="n"/>
      <c r="H13" s="33" t="n"/>
      <c r="I13" s="33" t="n"/>
      <c r="J13" s="33" t="n"/>
      <c r="K13" s="33" t="n"/>
      <c r="L13" s="33" t="n"/>
      <c r="M13" s="33" t="n"/>
      <c r="N13" s="33" t="n"/>
    </row>
    <row r="14">
      <c r="A14" s="29" t="inlineStr">
        <is>
          <t>SUIVI DES PLEINS</t>
        </is>
      </c>
      <c r="B14" s="111" t="n"/>
      <c r="C14" s="32" t="n"/>
      <c r="D14" s="29" t="n"/>
      <c r="E14" s="29" t="n"/>
      <c r="F14" s="29" t="n"/>
      <c r="G14" s="29" t="n"/>
      <c r="H14" s="29" t="n"/>
      <c r="I14" s="29" t="n"/>
      <c r="J14" s="29" t="n"/>
      <c r="K14" s="29" t="n"/>
      <c r="L14" s="29" t="n"/>
      <c r="M14" s="29" t="n"/>
      <c r="N14" s="29" t="n"/>
      <c r="O14" s="29" t="n"/>
    </row>
    <row r="15" ht="37.5" customHeight="1">
      <c r="A15" s="101" t="inlineStr">
        <is>
          <t>N°</t>
        </is>
      </c>
      <c r="B15" s="102" t="inlineStr">
        <is>
          <t>Date</t>
        </is>
      </c>
      <c r="C15" s="102" t="inlineStr">
        <is>
          <t>Type</t>
        </is>
      </c>
      <c r="D15" s="102" t="inlineStr">
        <is>
          <t>Km compteur</t>
        </is>
      </c>
      <c r="E15" s="102" t="inlineStr">
        <is>
          <t>Nb. km</t>
        </is>
      </c>
      <c r="F15" s="102" t="inlineStr">
        <is>
          <t>Nb. Litres</t>
        </is>
      </c>
      <c r="G15" s="102" t="inlineStr">
        <is>
          <t>Prix €/L</t>
        </is>
      </c>
      <c r="H15" s="102" t="inlineStr">
        <is>
          <t>Coût c€/km</t>
        </is>
      </c>
      <c r="I15" s="103" t="inlineStr">
        <is>
          <t>Coût Plein (€)</t>
        </is>
      </c>
      <c r="J15" s="103" t="inlineStr">
        <is>
          <t>Conso. (L/100km)</t>
        </is>
      </c>
      <c r="K15" s="102" t="inlineStr">
        <is>
          <t>Prix S98 jour (€/L)</t>
        </is>
      </c>
      <c r="L15" s="103" t="inlineStr">
        <is>
          <t>Coût Plein équiv. S98 (€)</t>
        </is>
      </c>
      <c r="M15" s="104" t="inlineStr">
        <is>
          <t>Economie sur le plein</t>
        </is>
      </c>
      <c r="N15" s="104" t="inlineStr">
        <is>
          <t>Économie cumulée (€)</t>
        </is>
      </c>
      <c r="O15" s="103" t="inlineStr">
        <is>
          <t>Station essence</t>
        </is>
      </c>
      <c r="Q15" s="46" t="inlineStr">
        <is>
          <t>Plein E85 n°</t>
        </is>
      </c>
      <c r="R15" s="46" t="inlineStr">
        <is>
          <t>Économie cumulée (€)</t>
        </is>
      </c>
      <c r="S15" s="46" t="inlineStr">
        <is>
          <t>Coût du kit (€)</t>
        </is>
      </c>
    </row>
    <row r="16">
      <c r="A16" s="80" t="n">
        <v>1</v>
      </c>
      <c r="B16" s="49" t="n">
        <v>46131</v>
      </c>
      <c r="C16" s="50" t="inlineStr">
        <is>
          <t>Super 98</t>
        </is>
      </c>
      <c r="D16" s="112" t="n">
        <v>9812</v>
      </c>
      <c r="E16" s="113">
        <f>IF(AND(ISNUMBER(D15),Tableau2[[#This Row],[Km compteur]]&lt;&gt;""),Tableau2[[#This Row],[Km compteur]]-D15,"")</f>
        <v/>
      </c>
      <c r="F16" s="114" t="n">
        <v>11.4</v>
      </c>
      <c r="G16" s="115" t="n">
        <v>1.973</v>
      </c>
      <c r="H16" s="116">
        <f>IF(OR(D16="",D15="",I16="",ISTEXT(D15)),"",F16/(D16-D15)*100)</f>
        <v/>
      </c>
      <c r="I16" s="55">
        <f>IF(F16="","",F16*G16)</f>
        <v/>
      </c>
      <c r="J16" s="56">
        <f>IF(OR(D16="",D15="",F16="",ISTEXT(D15)),"",F16/(D16-D15)*100)</f>
        <v/>
      </c>
      <c r="K16" s="57">
        <f>IF(Tableau2[[#This Row],[Type]]="Super 98",Tableau2[[#This Row],[Prix €/L]],"")</f>
        <v/>
      </c>
      <c r="L16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64" t="n"/>
      <c r="N16" s="59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inlineStr">
        <is>
          <t>Carrefour Flers</t>
        </is>
      </c>
      <c r="Q16" s="27" t="n">
        <v>0</v>
      </c>
      <c r="R16" s="27" t="n">
        <v>0</v>
      </c>
      <c r="S16" s="27">
        <f>$B$5</f>
        <v/>
      </c>
    </row>
    <row r="17">
      <c r="A17" s="80">
        <f>IF(B17="","",A16+1)</f>
        <v/>
      </c>
      <c r="B17" s="49" t="n">
        <v>46135</v>
      </c>
      <c r="C17" s="50" t="inlineStr">
        <is>
          <t>Super 98</t>
        </is>
      </c>
      <c r="D17" s="112" t="n">
        <v>10094</v>
      </c>
      <c r="E17" s="113">
        <f>IF(AND(ISNUMBER(D16),Tableau2[[#This Row],[Km compteur]]&lt;&gt;""),Tableau2[[#This Row],[Km compteur]]-D16,"")</f>
        <v/>
      </c>
      <c r="F17" s="114" t="n">
        <v>15.22</v>
      </c>
      <c r="G17" s="115" t="n">
        <v>1.926</v>
      </c>
      <c r="H17" s="116">
        <f>IF(OR(D17="",D16="",I17="",ISTEXT(D16)),"",F17/(D17-D16)*100)</f>
        <v/>
      </c>
      <c r="I17" s="55">
        <f>IF(F17="","",F17*G17)</f>
        <v/>
      </c>
      <c r="J17" s="56">
        <f>IF(OR(D17="",D16="",F17="",ISTEXT(D16)),"",F17/(D17-D16)*100)</f>
        <v/>
      </c>
      <c r="K17" s="57">
        <f>IF(Tableau2[[#This Row],[Type]]="Super 98",Tableau2[[#This Row],[Prix €/L]],"")</f>
        <v/>
      </c>
      <c r="L17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inlineStr">
        <is>
          <t>Carrefour Flers</t>
        </is>
      </c>
      <c r="Q17" s="27">
        <f t="array" ref="Q17">IFERROR(IF(SMALL(IF((Tableau2[Type]="SuperEthanol E85")*(Tableau2[Économie cumulée (€)]&lt;&gt;""),ROW(Tableau2[Type])),1)&gt;0,1,NA()),NA())</f>
        <v/>
      </c>
      <c r="R17" s="27">
        <f t="array" ref="R17">IFERROR(INDEX(Tableau2[Économie cumulée (€)],SMALL(IF((Tableau2[Type]="SuperEthanol E85")*(Tableau2[Économie cumulée (€)]&lt;&gt;""),ROW(Tableau2[Type])-ROW(Tableau2[#Headers])),1)),NA())</f>
        <v/>
      </c>
      <c r="S17" s="27">
        <f>IF(ISNA(Q17),NA(),$B$5)</f>
        <v/>
      </c>
    </row>
    <row r="18">
      <c r="A18" s="80">
        <f>IF(B18="","",A17+1)</f>
        <v/>
      </c>
      <c r="B18" s="49" t="n">
        <v>46140</v>
      </c>
      <c r="C18" s="50" t="inlineStr">
        <is>
          <t>Super 98</t>
        </is>
      </c>
      <c r="D18" s="112" t="n">
        <v>10349</v>
      </c>
      <c r="E18" s="113">
        <f>IF(AND(ISNUMBER(D17),Tableau2[[#This Row],[Km compteur]]&lt;&gt;""),Tableau2[[#This Row],[Km compteur]]-D17,"")</f>
        <v/>
      </c>
      <c r="F18" s="114" t="n">
        <v>13.75</v>
      </c>
      <c r="G18" s="115" t="n">
        <v>2.031</v>
      </c>
      <c r="H18" s="116">
        <f>IF(OR(D18="",D17="",I18="",ISTEXT(D17)),"",F18/(D18-D17)*100)</f>
        <v/>
      </c>
      <c r="I18" s="55">
        <f>IF(F18="","",F18*G18)</f>
        <v/>
      </c>
      <c r="J18" s="56">
        <f>IF(OR(D18="",D17="",F18="",ISTEXT(D17)),"",F18/(D18-D17)*100)</f>
        <v/>
      </c>
      <c r="K18" s="57">
        <f>IF(Tableau2[[#This Row],[Type]]="Super 98",Tableau2[[#This Row],[Prix €/L]],"")</f>
        <v/>
      </c>
      <c r="L18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inlineStr">
        <is>
          <t>Leclerc Douai</t>
        </is>
      </c>
      <c r="Q18" s="27">
        <f t="array" ref="Q18">IFERROR(IF(SMALL(IF((Tableau2[Type]="SuperEthanol E85")*(Tableau2[Économie cumulée (€)]&lt;&gt;""),ROW(Tableau2[Type])),2)&gt;0,2,NA()),NA())</f>
        <v/>
      </c>
      <c r="R18" s="27">
        <f t="array" ref="R18">IFERROR(INDEX(Tableau2[Économie cumulée (€)],SMALL(IF((Tableau2[Type]="SuperEthanol E85")*(Tableau2[Économie cumulée (€)]&lt;&gt;""),ROW(Tableau2[Type])-ROW(Tableau2[#Headers])),2)),NA())</f>
        <v/>
      </c>
      <c r="S18" s="27">
        <f>IF(ISNA(Q18),NA(),$B$5)</f>
        <v/>
      </c>
    </row>
    <row r="19">
      <c r="A19" s="80">
        <f>IF(B19="","",A18+1)</f>
        <v/>
      </c>
      <c r="B19" s="49" t="n">
        <v>46146</v>
      </c>
      <c r="C19" s="50" t="inlineStr">
        <is>
          <t>SuperEthanol E85</t>
        </is>
      </c>
      <c r="D19" s="112" t="n">
        <v>10553</v>
      </c>
      <c r="E19" s="113">
        <f>IF(AND(ISNUMBER(D18),Tableau2[[#This Row],[Km compteur]]&lt;&gt;""),Tableau2[[#This Row],[Km compteur]]-D18,"")</f>
        <v/>
      </c>
      <c r="F19" s="114" t="n">
        <v>11.47</v>
      </c>
      <c r="G19" s="115" t="n">
        <v>0.8090000000000001</v>
      </c>
      <c r="H19" s="116">
        <f>IF(OR(D19="",D18="",I19="",ISTEXT(D18)),"",F19/(D19-D18)*100)</f>
        <v/>
      </c>
      <c r="I19" s="55">
        <f>IF(F19="","",F19*G19)</f>
        <v/>
      </c>
      <c r="J19" s="56">
        <f>IF(OR(D19="",D18="",F19="",ISTEXT(D18)),"",F19/(D19-D18)*100)</f>
        <v/>
      </c>
      <c r="K19" s="57" t="n">
        <v>2.079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9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/>
      </c>
      <c r="O19" s="81" t="inlineStr">
        <is>
          <t>ZONE DU MOULIN RUE ARTHUR LAMENDIN — Beuvry</t>
        </is>
      </c>
      <c r="Q19" s="27">
        <f t="array" ref="Q19">IFERROR(IF(SMALL(IF((Tableau2[Type]="SuperEthanol E85")*(Tableau2[Économie cumulée (€)]&lt;&gt;""),ROW(Tableau2[Type])),3)&gt;0,3,NA()),NA())</f>
        <v/>
      </c>
      <c r="R19" s="27">
        <f t="array" ref="R19">IFERROR(INDEX(Tableau2[Économie cumulée (€)],SMALL(IF((Tableau2[Type]="SuperEthanol E85")*(Tableau2[Économie cumulée (€)]&lt;&gt;""),ROW(Tableau2[Type])-ROW(Tableau2[#Headers])),3)),NA())</f>
        <v/>
      </c>
      <c r="S19" s="27">
        <f>IF(ISNA(Q19),NA(),$B$5)</f>
        <v/>
      </c>
    </row>
    <row r="20">
      <c r="A20" s="80">
        <f>IF(B20="","",A19+1)</f>
        <v/>
      </c>
      <c r="B20" s="49" t="n">
        <v>46148</v>
      </c>
      <c r="C20" s="50" t="inlineStr">
        <is>
          <t>SuperEthanol E85</t>
        </is>
      </c>
      <c r="D20" s="112" t="n">
        <v>10749</v>
      </c>
      <c r="E20" s="113">
        <f>IF(AND(ISNUMBER(D19),Tableau2[[#This Row],[Km compteur]]&lt;&gt;""),Tableau2[[#This Row],[Km compteur]]-D19,"")</f>
        <v/>
      </c>
      <c r="F20" s="114" t="n">
        <v>11.71</v>
      </c>
      <c r="G20" s="115" t="n">
        <v>0.747</v>
      </c>
      <c r="H20" s="116">
        <f>IF(OR(D20="",D19="",I20="",ISTEXT(D19)),"",F20/(D20-D19)*100)</f>
        <v/>
      </c>
      <c r="I20" s="55">
        <f>IF(F20="","",F20*G20)</f>
        <v/>
      </c>
      <c r="J20" s="56">
        <f>IF(OR(D20="",D19="",F20="",ISTEXT(D19)),"",F20/(D20-D19)*100)</f>
        <v/>
      </c>
      <c r="K20" s="57" t="n">
        <v>2.098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0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/>
      </c>
      <c r="O20" s="81" t="inlineStr">
        <is>
          <t>ZONE DU MOULIN RUE ARTHUR LAMENDIN — Beuvry</t>
        </is>
      </c>
      <c r="Q20" s="27">
        <f t="array" ref="Q20">IFERROR(IF(SMALL(IF((Tableau2[Type]="SuperEthanol E85")*(Tableau2[Économie cumulée (€)]&lt;&gt;""),ROW(Tableau2[Type])),4)&gt;0,4,NA()),NA())</f>
        <v/>
      </c>
      <c r="R20" s="27">
        <f t="array" ref="R20">IFERROR(INDEX(Tableau2[Économie cumulée (€)],SMALL(IF((Tableau2[Type]="SuperEthanol E85")*(Tableau2[Économie cumulée (€)]&lt;&gt;""),ROW(Tableau2[Type])-ROW(Tableau2[#Headers])),4)),NA())</f>
        <v/>
      </c>
      <c r="S20" s="27">
        <f>IF(ISNA(Q20),NA(),$B$5)</f>
        <v/>
      </c>
    </row>
    <row r="21">
      <c r="A21" s="80">
        <f>IF(B21="","",A20+1)</f>
        <v/>
      </c>
      <c r="B21" s="49" t="n">
        <v>46151</v>
      </c>
      <c r="C21" s="50" t="inlineStr">
        <is>
          <t>SuperEthanol E85</t>
        </is>
      </c>
      <c r="D21" s="112" t="n">
        <v>10975</v>
      </c>
      <c r="E21" s="113">
        <f>IF(AND(ISNUMBER(D20),Tableau2[[#This Row],[Km compteur]]&lt;&gt;""),Tableau2[[#This Row],[Km compteur]]-D20,"")</f>
        <v/>
      </c>
      <c r="F21" s="114" t="n">
        <v>15.28</v>
      </c>
      <c r="G21" s="115" t="n">
        <v>0.757</v>
      </c>
      <c r="H21" s="116">
        <f>IF(OR(D21="",D20="",I21="",ISTEXT(D20)),"",F21/(D21-D20)*100)</f>
        <v/>
      </c>
      <c r="I21" s="55">
        <f>IF(F21="","",F21*G21)</f>
        <v/>
      </c>
      <c r="J21" s="56">
        <f>IF(OR(D21="",D20="",F21="",ISTEXT(D20)),"",F21/(D21-D20)*100)</f>
        <v/>
      </c>
      <c r="K21" s="57" t="n">
        <v>2.098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1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/>
      </c>
      <c r="O21" s="81" t="inlineStr">
        <is>
          <t>ZONE DU MOULIN RUE ARTHUR LAMENDIN — Beuvry</t>
        </is>
      </c>
      <c r="Q21" s="27">
        <f t="array" ref="Q21">IFERROR(IF(SMALL(IF((Tableau2[Type]="SuperEthanol E85")*(Tableau2[Économie cumulée (€)]&lt;&gt;""),ROW(Tableau2[Type])),5)&gt;0,5,NA()),NA())</f>
        <v/>
      </c>
      <c r="R21" s="27">
        <f t="array" ref="R21">IFERROR(INDEX(Tableau2[Économie cumulée (€)],SMALL(IF((Tableau2[Type]="SuperEthanol E85")*(Tableau2[Économie cumulée (€)]&lt;&gt;""),ROW(Tableau2[Type])-ROW(Tableau2[#Headers])),5)),NA())</f>
        <v/>
      </c>
      <c r="S21" s="27">
        <f>IF(ISNA(Q21),NA(),$B$5)</f>
        <v/>
      </c>
    </row>
    <row r="22">
      <c r="A22" s="80">
        <f>IF(B22="","",A21+1)</f>
        <v/>
      </c>
      <c r="B22" s="49" t="n">
        <v>46154</v>
      </c>
      <c r="C22" s="65" t="inlineStr">
        <is>
          <t>SuperEthanol E85</t>
        </is>
      </c>
      <c r="D22" s="113" t="n">
        <v>11173</v>
      </c>
      <c r="E22" s="113">
        <f>IF(AND(ISNUMBER(D21),Tableau2[[#This Row],[Km compteur]]&lt;&gt;""),Tableau2[[#This Row],[Km compteur]]-D21,"")</f>
        <v/>
      </c>
      <c r="F22" s="117" t="n">
        <v>13.94</v>
      </c>
      <c r="G22" s="118" t="n">
        <v>0.835</v>
      </c>
      <c r="H22" s="116">
        <f>IF(OR(D22="",D21="",I22="",ISTEXT(D21)),"",F22/(D22-D21)*100)</f>
        <v/>
      </c>
      <c r="I22" s="55">
        <f>IF(F22="","",F22*G22)</f>
        <v/>
      </c>
      <c r="J22" s="56">
        <f>IF(OR(D22="",D21="",F22="",ISTEXT(D21)),"",F22/(D22-D21)*100)</f>
        <v/>
      </c>
      <c r="K22" s="69" t="n">
        <v>2.095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/>
      </c>
      <c r="O22" s="81" t="inlineStr">
        <is>
          <t>ZONE DU MOULIN RUE ARTHUR LAMENDIN — Beuvry</t>
        </is>
      </c>
      <c r="Q22" s="27">
        <f t="array" ref="Q22">IFERROR(IF(SMALL(IF((Tableau2[Type]="SuperEthanol E85")*(Tableau2[Économie cumulée (€)]&lt;&gt;""),ROW(Tableau2[Type])),6)&gt;0,6,NA()),NA())</f>
        <v/>
      </c>
      <c r="R22" s="27">
        <f t="array" ref="R22">IFERROR(INDEX(Tableau2[Économie cumulée (€)],SMALL(IF((Tableau2[Type]="SuperEthanol E85")*(Tableau2[Économie cumulée (€)]&lt;&gt;""),ROW(Tableau2[Type])-ROW(Tableau2[#Headers])),6)),NA())</f>
        <v/>
      </c>
      <c r="S22" s="27">
        <f>IF(ISNA(Q22),NA(),$B$5)</f>
        <v/>
      </c>
    </row>
    <row r="23">
      <c r="A23" s="80">
        <f>IF(B23="","",A22+1)</f>
        <v/>
      </c>
      <c r="B23" s="49" t="n">
        <v>46157</v>
      </c>
      <c r="C23" s="50" t="inlineStr">
        <is>
          <t>SuperEthanol E85</t>
        </is>
      </c>
      <c r="D23" s="112" t="n">
        <v>11376</v>
      </c>
      <c r="E23" s="113">
        <f>IF(AND(ISNUMBER(D22),Tableau2[[#This Row],[Km compteur]]&lt;&gt;""),Tableau2[[#This Row],[Km compteur]]-D22,"")</f>
        <v/>
      </c>
      <c r="F23" s="114" t="n">
        <v>13.37</v>
      </c>
      <c r="G23" s="115" t="n">
        <v>0.717</v>
      </c>
      <c r="H23" s="116">
        <f>IF(OR(D23="",D22="",I23="",ISTEXT(D22)),"",F23/(D23-D22)*100)</f>
        <v/>
      </c>
      <c r="I23" s="55">
        <f>IF(F23="","",F23*G23)</f>
        <v/>
      </c>
      <c r="J23" s="56">
        <f>IF(OR(D23="",D22="",F23="",ISTEXT(D22)),"",F23/(D23-D22)*100)</f>
        <v/>
      </c>
      <c r="K23" s="57" t="n">
        <v>2.095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3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/>
      </c>
      <c r="O23" s="81" t="inlineStr">
        <is>
          <t>ZONE DU MOULIN RUE ARTHUR LAMENDIN — Beuvry</t>
        </is>
      </c>
      <c r="Q23" s="27">
        <f t="array" ref="Q23">IFERROR(IF(SMALL(IF((Tableau2[Type]="SuperEthanol E85")*(Tableau2[Économie cumulée (€)]&lt;&gt;""),ROW(Tableau2[Type])),7)&gt;0,7,NA()),NA())</f>
        <v/>
      </c>
      <c r="R23" s="27">
        <f t="array" ref="R23">IFERROR(INDEX(Tableau2[Économie cumulée (€)],SMALL(IF((Tableau2[Type]="SuperEthanol E85")*(Tableau2[Économie cumulée (€)]&lt;&gt;""),ROW(Tableau2[Type])-ROW(Tableau2[#Headers])),7)),NA())</f>
        <v/>
      </c>
      <c r="S23" s="27">
        <f>IF(ISNA(Q23),NA(),$B$5)</f>
        <v/>
      </c>
    </row>
    <row r="24">
      <c r="A24" s="80">
        <f>IF(B24="","",A23+1)</f>
        <v/>
      </c>
      <c r="B24" s="49" t="n">
        <v>46161</v>
      </c>
      <c r="C24" s="65" t="inlineStr">
        <is>
          <t>SuperEthanol E85</t>
        </is>
      </c>
      <c r="D24" s="113" t="n">
        <v>11596</v>
      </c>
      <c r="E24" s="113">
        <f>IF(AND(ISNUMBER(D23),Tableau2[[#This Row],[Km compteur]]&lt;&gt;""),Tableau2[[#This Row],[Km compteur]]-D23,"")</f>
        <v/>
      </c>
      <c r="F24" s="117" t="n">
        <v>14.9</v>
      </c>
      <c r="G24" s="118" t="n">
        <v>0.798</v>
      </c>
      <c r="H24" s="119">
        <f>IF(OR(D24="",D23="",I24="",ISTEXT(D23)),"",F24/(D24-D23)*100)</f>
        <v/>
      </c>
      <c r="I24" s="55">
        <f>IF(F24="","",F24*G24)</f>
        <v/>
      </c>
      <c r="J24" s="56">
        <f>IF(OR(D24="",D23="",F24="",ISTEXT(D23)),"",F24/(D24-D23)*100)</f>
        <v/>
      </c>
      <c r="K24" s="69" t="n">
        <v>2.091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/>
      </c>
      <c r="O24" s="81" t="inlineStr">
        <is>
          <t>ZONE DU MOULIN RUE ARTHUR LAMENDIN — Beuvry</t>
        </is>
      </c>
      <c r="Q24" s="27">
        <f t="array" ref="Q24">IFERROR(IF(SMALL(IF((Tableau2[Type]="SuperEthanol E85")*(Tableau2[Économie cumulée (€)]&lt;&gt;""),ROW(Tableau2[Type])),11)&gt;0,11,NA()),NA())</f>
        <v/>
      </c>
      <c r="R24" s="27">
        <f t="array" ref="R24">IFERROR(INDEX(Tableau2[Économie cumulée (€)],SMALL(IF((Tableau2[Type]="SuperEthanol E85")*(Tableau2[Économie cumulée (€)]&lt;&gt;""),ROW(Tableau2[Type])-ROW(Tableau2[#Headers])),11)),NA())</f>
        <v/>
      </c>
      <c r="S24" s="27">
        <f>IF(ISNA(Q24),NA(),$B$5)</f>
        <v/>
      </c>
    </row>
    <row r="25">
      <c r="A25" s="80">
        <f>IF(B25="","",A24+1)</f>
        <v/>
      </c>
      <c r="B25" s="49" t="n">
        <v>46164</v>
      </c>
      <c r="C25" s="65" t="inlineStr">
        <is>
          <t>SuperEthanol E85</t>
        </is>
      </c>
      <c r="D25" s="113" t="n">
        <v>11831</v>
      </c>
      <c r="E25" s="113">
        <f>IF(AND(ISNUMBER(D24),Tableau2[[#This Row],[Km compteur]]&lt;&gt;""),Tableau2[[#This Row],[Km compteur]]-D24,"")</f>
        <v/>
      </c>
      <c r="F25" s="117" t="n">
        <v>16.25</v>
      </c>
      <c r="G25" s="118" t="n">
        <v>0.798</v>
      </c>
      <c r="H25" s="119">
        <f>IF(OR(D25="",D24="",I25="",ISTEXT(D24)),"",F25/(D25-D24)*100)</f>
        <v/>
      </c>
      <c r="I25" s="55">
        <f>IF(F25="","",F25*G25)</f>
        <v/>
      </c>
      <c r="J25" s="56">
        <f>IF(OR(D25="",D24="",F25="",ISTEXT(D24)),"",F25/(D25-D24)*100)</f>
        <v/>
      </c>
      <c r="K25" s="69" t="n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/>
      </c>
      <c r="O25" s="81" t="inlineStr">
        <is>
          <t>ZONE DU MOULIN RUE ARTHUR LAMENDIN — Beuvry</t>
        </is>
      </c>
      <c r="Q25" s="27">
        <f t="array" ref="Q25">IFERROR(IF(SMALL(IF((Tableau2[Type]="SuperEthanol E85")*(Tableau2[Économie cumulée (€)]&lt;&gt;""),ROW(Tableau2[Type])),14)&gt;0,14,NA()),NA())</f>
        <v/>
      </c>
      <c r="R25" s="27">
        <f t="array" ref="R25">IFERROR(INDEX(Tableau2[Économie cumulée (€)],SMALL(IF((Tableau2[Type]="SuperEthanol E85")*(Tableau2[Économie cumulée (€)]&lt;&gt;""),ROW(Tableau2[Type])-ROW(Tableau2[#Headers])),14)),NA())</f>
        <v/>
      </c>
      <c r="S25" s="27">
        <f>IF(ISNA(Q25),NA(),$B$5)</f>
        <v/>
      </c>
    </row>
    <row r="2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Q26" s="27">
        <f t="array" ref="Q26">IFERROR(IF(SMALL(IF((Tableau2[Type]="SuperEthanol E85")*(Tableau2[Économie cumulée (€)]&lt;&gt;""),ROW(Tableau2[Type])),15)&gt;0,15,NA()),NA())</f>
        <v/>
      </c>
      <c r="R26" s="27">
        <f t="array" ref="R26">IFERROR(INDEX(Tableau2[Économie cumulée (€)],SMALL(IF((Tableau2[Type]="SuperEthanol E85")*(Tableau2[Économie cumulée (€)]&lt;&gt;""),ROW(Tableau2[Type])-ROW(Tableau2[#Headers])),15)),NA())</f>
        <v/>
      </c>
      <c r="S26" s="27">
        <f>IF(ISNA(Q26),NA(),$B$5)</f>
        <v/>
      </c>
    </row>
    <row r="27">
      <c r="A27" s="5" t="inlineStr">
        <is>
          <t>ANALYSE &amp; RENTABILITÉ</t>
        </is>
      </c>
      <c r="B27" s="6" t="n"/>
      <c r="C27" s="6" t="n"/>
      <c r="D27" s="6" t="n"/>
      <c r="E27" s="6" t="n"/>
      <c r="F27" s="27" t="n"/>
      <c r="G27" s="16" t="inlineStr">
        <is>
          <t>RENTABILITÉ DU KIT</t>
        </is>
      </c>
      <c r="H27" s="17" t="n"/>
      <c r="I27" s="17" t="n"/>
      <c r="J27" s="17" t="n"/>
      <c r="K27" s="17" t="n"/>
      <c r="L27" s="17" t="n"/>
      <c r="M27" s="27" t="n"/>
      <c r="Q27" s="27">
        <f t="array" ref="Q27">IFERROR(IF(SMALL(IF((Tableau2[Type]="SuperEthanol E85")*(Tableau2[Économie cumulée (€)]&lt;&gt;""),ROW(Tableau2[Type])),16)&gt;0,16,NA()),NA())</f>
        <v/>
      </c>
      <c r="R27" s="27">
        <f t="array" ref="R27">IFERROR(INDEX(Tableau2[Économie cumulée (€)],SMALL(IF((Tableau2[Type]="SuperEthanol E85")*(Tableau2[Économie cumulée (€)]&lt;&gt;""),ROW(Tableau2[Type])-ROW(Tableau2[#Headers])),16)),NA())</f>
        <v/>
      </c>
      <c r="S27" s="27">
        <f>IF(ISNA(Q27),NA(),$B$5)</f>
        <v/>
      </c>
    </row>
    <row r="28">
      <c r="A28" s="7" t="inlineStr">
        <is>
          <t>Nb. pleins avec 'SuperEthanol E85'</t>
        </is>
      </c>
      <c r="B28" s="9">
        <f>COUNTIF(Tableau2[Type],"SuperEthanol E85")</f>
        <v/>
      </c>
      <c r="C28" s="9" t="n"/>
      <c r="D28" s="9" t="n"/>
      <c r="E28" s="9" t="n"/>
      <c r="F28" s="27" t="n"/>
      <c r="G28" s="18" t="inlineStr">
        <is>
          <t>Coût équiv. total Super 98 (€)</t>
        </is>
      </c>
      <c r="H28" s="18" t="n"/>
      <c r="I28" s="18" t="n"/>
      <c r="J28" s="70">
        <f>SUM(Tableau2[Coût Plein équiv. S98 (€)])</f>
        <v/>
      </c>
      <c r="K28" s="18" t="n"/>
      <c r="L28" s="18" t="n"/>
      <c r="M28" s="8" t="inlineStr">
        <is>
          <t>Ce qu'auraient coûté les mêmes km au Super 98</t>
        </is>
      </c>
      <c r="Q28" s="27">
        <f t="array" ref="Q28">IFERROR(IF(SMALL(IF((Tableau2[Type]="SuperEthanol E85")*(Tableau2[Économie cumulée (€)]&lt;&gt;""),ROW(Tableau2[Type])),17)&gt;0,17,NA()),NA())</f>
        <v/>
      </c>
      <c r="R28" s="27">
        <f t="array" ref="R28">IFERROR(INDEX(Tableau2[Économie cumulée (€)],SMALL(IF((Tableau2[Type]="SuperEthanol E85")*(Tableau2[Économie cumulée (€)]&lt;&gt;""),ROW(Tableau2[Type])-ROW(Tableau2[#Headers])),17)),NA())</f>
        <v/>
      </c>
      <c r="S28" s="27">
        <f>IF(ISNA(Q28),NA(),$B$5)</f>
        <v/>
      </c>
    </row>
    <row r="29">
      <c r="A29" s="10" t="inlineStr">
        <is>
          <t>Nb. pleins avec 'Super 98'</t>
        </is>
      </c>
      <c r="B29" s="21">
        <f>COUNTIF(Tableau2[Type],"Super 98")</f>
        <v/>
      </c>
      <c r="C29" s="11" t="n"/>
      <c r="D29" s="11" t="n"/>
      <c r="E29" s="11" t="n"/>
      <c r="F29" s="27" t="n"/>
      <c r="G29" s="19" t="inlineStr">
        <is>
          <t>Économie brute (€)</t>
        </is>
      </c>
      <c r="H29" s="19" t="n"/>
      <c r="I29" s="19" t="n"/>
      <c r="J29" s="120">
        <f>IF(J28=0,"",J28-B34)</f>
        <v/>
      </c>
      <c r="K29" s="19" t="n"/>
      <c r="L29" s="19" t="n"/>
      <c r="M29" s="8" t="inlineStr">
        <is>
          <t>Économie avant amortissement du kit</t>
        </is>
      </c>
      <c r="Q29" s="27">
        <f t="array" ref="Q29">IFERROR(IF(SMALL(IF((Tableau2[Type]="SuperEthanol E85")*(Tableau2[Économie cumulée (€)]&lt;&gt;""),ROW(Tableau2[Type])),18)&gt;0,18,NA()),NA())</f>
        <v/>
      </c>
      <c r="R29" s="27">
        <f t="array" ref="R29">IFERROR(INDEX(Tableau2[Économie cumulée (€)],SMALL(IF((Tableau2[Type]="SuperEthanol E85")*(Tableau2[Économie cumulée (€)]&lt;&gt;""),ROW(Tableau2[Type])-ROW(Tableau2[#Headers])),18)),NA())</f>
        <v/>
      </c>
      <c r="S29" s="27">
        <f>IF(ISNA(Q29),NA(),$B$5)</f>
        <v/>
      </c>
    </row>
    <row r="30">
      <c r="A30" s="7" t="inlineStr">
        <is>
          <t>Distance totale (km)</t>
        </is>
      </c>
      <c r="B30" s="22">
        <f>IF(COUNTA(Tableau2[Km compteur])&lt;2,"",MAX(Tableau2[Km compteur])-MIN(Tableau2[Km compteur]))</f>
        <v/>
      </c>
      <c r="C30" s="12" t="n"/>
      <c r="D30" s="12" t="n"/>
      <c r="E30" s="12" t="n"/>
      <c r="F30" s="27" t="n"/>
      <c r="G30" s="20" t="inlineStr">
        <is>
          <t>Économie nette (€)</t>
        </is>
      </c>
      <c r="H30" s="18" t="n"/>
      <c r="I30" s="18" t="n"/>
      <c r="J30" s="121">
        <f>IF(J29="","",J29-B5)</f>
        <v/>
      </c>
      <c r="K30" s="18" t="n"/>
      <c r="L30" s="18" t="n"/>
      <c r="M30" s="8" t="inlineStr">
        <is>
          <t>Économie après déduction du coût du kit</t>
        </is>
      </c>
      <c r="Q30" s="27">
        <f t="array" ref="Q30">IFERROR(IF(SMALL(IF((Tableau2[Type]="SuperEthanol E85")*(Tableau2[Économie cumulée (€)]&lt;&gt;""),ROW(Tableau2[Type])),19)&gt;0,19,NA()),NA())</f>
        <v/>
      </c>
      <c r="R30" s="27">
        <f t="array" ref="R30">IFERROR(INDEX(Tableau2[Économie cumulée (€)],SMALL(IF((Tableau2[Type]="SuperEthanol E85")*(Tableau2[Économie cumulée (€)]&lt;&gt;""),ROW(Tableau2[Type])-ROW(Tableau2[#Headers])),19)),NA())</f>
        <v/>
      </c>
      <c r="S30" s="27">
        <f>IF(ISNA(Q30),NA(),$B$5)</f>
        <v/>
      </c>
    </row>
    <row r="31">
      <c r="A31" s="62" t="inlineStr">
        <is>
          <t>Distance parcourue (km) / semaine</t>
        </is>
      </c>
      <c r="B31" s="122">
        <f>IFERROR((LOOKUP(9.99999999999999E+307,Tableau2[Km compteur])-INDEX(Tableau2[Km compteur],1))/(LOOKUP(9.99999999999999E+307,Tableau2[Date])-INDEX(Tableau2[Date],1))*7,"-")</f>
        <v/>
      </c>
      <c r="C31" s="11" t="n"/>
      <c r="D31" s="11" t="n"/>
      <c r="E31" s="11" t="n"/>
      <c r="F31" s="27" t="n"/>
      <c r="G31" s="19" t="inlineStr">
        <is>
          <t>% du kit amorti</t>
        </is>
      </c>
      <c r="H31" s="19" t="n"/>
      <c r="I31" s="19" t="n"/>
      <c r="J31" s="73">
        <f>IF(OR(B5="",B5=0,J29=""),"",MIN(J29/B5,1))</f>
        <v/>
      </c>
      <c r="K31" s="19" t="n"/>
      <c r="L31" s="19" t="n"/>
      <c r="M31" s="27" t="n"/>
      <c r="P31" s="27">
        <f t="array" ref="P31">IFERROR(IF(SMALL(IF((Tableau2[Type]="SuperEthanol E85")*(Tableau2[Économie cumulée (€)]&lt;&gt;""),ROW(Tableau2[Type])),20)&gt;0,20,NA()),NA())</f>
        <v/>
      </c>
      <c r="Q31" s="27">
        <f t="array" ref="Q31">IFERROR(INDEX(Tableau2[Économie cumulée (€)],SMALL(IF((Tableau2[Type]="SuperEthanol E85")*(Tableau2[Économie cumulée (€)]&lt;&gt;""),ROW(Tableau2[Type])-ROW(Tableau2[#Headers])),20)),NA())</f>
        <v/>
      </c>
      <c r="R31" s="27">
        <f>IF(ISNA(P31),NA(),$B$5)</f>
        <v/>
      </c>
    </row>
    <row r="32">
      <c r="A32" s="7" t="inlineStr">
        <is>
          <t>Distance parcourue (km) / mois</t>
        </is>
      </c>
      <c r="B32" s="123">
        <f>IFERROR((LOOKUP(9.99999999999999E+307,Tableau2[Km compteur])-INDEX(Tableau2[Km compteur],1))/(LOOKUP(9.99999999999999E+307,Tableau2[Date])-INDEX(Tableau2[Date],1))*30.4375,"-")</f>
        <v/>
      </c>
      <c r="C32" s="12" t="n"/>
      <c r="D32" s="12" t="n"/>
      <c r="E32" s="12" t="n"/>
      <c r="F32" s="27" t="n"/>
      <c r="G32" s="18" t="inlineStr">
        <is>
          <t>🎉 Kit rentabilisé ?</t>
        </is>
      </c>
      <c r="H32" s="18" t="n"/>
      <c r="I32" s="18" t="n"/>
      <c r="J32" s="18">
        <f>IF(J30="","",IF(J30&gt;=0,"✅ OUI ! Rentabilisé !","❌ Pas encore... Encore "&amp;TEXT(ABS(J30),"#,##")&amp;" € à économiser"))</f>
        <v/>
      </c>
      <c r="K32" s="18" t="n"/>
      <c r="L32" s="18" t="n"/>
      <c r="M32" s="27" t="n"/>
      <c r="P32" s="27">
        <f t="array" ref="P32">IFERROR(IF(SMALL(IF((Tableau2[Type]="SuperEthanol E85")*(Tableau2[Économie cumulée (€)]&lt;&gt;""),ROW(Tableau2[Type])),21)&gt;0,21,NA()),NA())</f>
        <v/>
      </c>
      <c r="Q32" s="27">
        <f t="array" ref="Q32">IFERROR(INDEX(Tableau2[Économie cumulée (€)],SMALL(IF((Tableau2[Type]="SuperEthanol E85")*(Tableau2[Économie cumulée (€)]&lt;&gt;""),ROW(Tableau2[Type])-ROW(Tableau2[#Headers])),21)),NA())</f>
        <v/>
      </c>
      <c r="R32" s="27">
        <f>IF(ISNA(P32),NA(),$B$5)</f>
        <v/>
      </c>
    </row>
    <row r="33">
      <c r="A33" s="10" t="inlineStr">
        <is>
          <t>Litres E85 total</t>
        </is>
      </c>
      <c r="B33" s="23">
        <f>SUMIF(Tableau2[Type],"SuperEthanol E85",Tableau2[Nb. Litres])</f>
        <v/>
      </c>
      <c r="C33" s="13" t="n"/>
      <c r="D33" s="13" t="n"/>
      <c r="E33" s="13" t="n"/>
      <c r="F33" s="27" t="n"/>
      <c r="G33" s="74" t="n"/>
      <c r="H33" s="74" t="n"/>
      <c r="I33" s="74" t="n"/>
      <c r="J33" s="74" t="n"/>
      <c r="K33" s="74" t="n"/>
      <c r="L33" s="74" t="n"/>
      <c r="M33" s="27" t="n"/>
    </row>
    <row r="34">
      <c r="A34" s="7" t="inlineStr">
        <is>
          <t>Coût total E85 (€)</t>
        </is>
      </c>
      <c r="B34" s="24">
        <f>SUMIF(Tableau2[Type],"SuperEthanol E85",Tableau2[Coût Plein (€)])</f>
        <v/>
      </c>
      <c r="C34" s="12" t="n"/>
      <c r="D34" s="12" t="n"/>
      <c r="E34" s="12" t="n"/>
      <c r="F34" s="27" t="n"/>
      <c r="G34" s="18" t="inlineStr">
        <is>
          <t>Économie moyenne / 100km (€)</t>
        </is>
      </c>
      <c r="H34" s="18" t="n"/>
      <c r="I34" s="18" t="n"/>
      <c r="J34" s="124">
        <f>IF(OR(J29="",B30="",B30=0),"",J29/B30*100)</f>
        <v/>
      </c>
      <c r="K34" s="18" t="n"/>
      <c r="L34" s="18" t="n"/>
      <c r="M34" s="27" t="n"/>
    </row>
    <row r="35">
      <c r="A35" s="10" t="inlineStr">
        <is>
          <t>Conso. moy. E85 (L/100km)</t>
        </is>
      </c>
      <c r="B35" s="23">
        <f>IFERROR(AVERAGEIFS(Tableau2[Conso. (L/100km)],Tableau2[Type],"SuperEthanol E85"),"")</f>
        <v/>
      </c>
      <c r="C35" s="14" t="n"/>
      <c r="D35" s="14" t="n"/>
      <c r="E35" s="14" t="n"/>
      <c r="F35" s="27" t="n"/>
      <c r="G35" s="19" t="inlineStr">
        <is>
          <t>Distance restante avant rentabilité</t>
        </is>
      </c>
      <c r="H35" s="19" t="n"/>
      <c r="I35" s="19" t="n"/>
      <c r="J35" s="75">
        <f>IF(OR(J34="",J34&lt;=0,J30=""),"",IF(J30&gt;=0,0,ROUNDUP(ABS(J30)/J34*100,0)))</f>
        <v/>
      </c>
      <c r="K35" s="19" t="n"/>
      <c r="L35" s="19" t="n"/>
      <c r="M35" s="27" t="n"/>
    </row>
    <row r="36">
      <c r="A36" s="7" t="inlineStr">
        <is>
          <t>Conso. moy. S98 (L/100km)</t>
        </is>
      </c>
      <c r="B36" s="12">
        <f>IFERROR(AVERAGEIFS(Tableau2[Conso. (L/100km)],Tableau2[Type],"Super 98"),"")</f>
        <v/>
      </c>
      <c r="C36" s="15" t="n"/>
      <c r="D36" s="15" t="n"/>
      <c r="E36" s="15" t="n"/>
      <c r="F36" s="27" t="n"/>
      <c r="G36" s="27" t="n"/>
      <c r="H36" s="27" t="n"/>
      <c r="I36" s="27" t="n"/>
      <c r="J36" s="27" t="n"/>
      <c r="K36" s="27" t="n"/>
      <c r="L36" s="27" t="n"/>
    </row>
    <row r="37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</row>
    <row r="39"/>
  </sheetData>
  <mergeCells count="2">
    <mergeCell ref="A1:O1"/>
    <mergeCell ref="G10:H10"/>
  </mergeCells>
  <conditionalFormatting sqref="K16:K25">
    <cfRule type="expression" priority="2" dxfId="0">
      <formula>AND($C16="SuperEthanol E85",$K16="")</formula>
    </cfRule>
  </conditionalFormatting>
  <dataValidations count="2">
    <dataValidation sqref="C16:C25" showDropDown="0" showInputMessage="1" showErrorMessage="0" allowBlank="1" errorTitle="Type de carburant invalide" error="Veuillez choisir Super 98 ou SuperEthanol E85" promptTitle="Type de carburant" prompt="Veuillez choisir le carburant utilisé pour le plein." type="list">
      <formula1>INDIRECT("tbl_carburant")</formula1>
    </dataValidation>
    <dataValidation sqref="O16:O25" showDropDown="0" showInputMessage="1" showErrorMessage="0" allowBlank="1" promptTitle="Station essence" prompt="Veuillez renseigner la station essence choisie ou en renseigner une nouvelle." type="list">
      <formula1>INDIRECT("tbl_stationEssence")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10">
    <outlinePr summaryBelow="1" summaryRight="1"/>
    <pageSetUpPr/>
  </sheetPr>
  <dimension ref="B1:I20"/>
  <sheetViews>
    <sheetView topLeftCell="A3" workbookViewId="0">
      <selection activeCell="M15" sqref="M15"/>
    </sheetView>
  </sheetViews>
  <sheetFormatPr baseColWidth="10" defaultColWidth="9" defaultRowHeight="15.75"/>
  <cols>
    <col width="3" customWidth="1" style="98" min="1" max="1"/>
    <col width="43.125" customWidth="1" style="98" min="2" max="2"/>
    <col width="16" customWidth="1" style="98" min="3" max="6"/>
    <col width="13" customWidth="1" style="98" min="7" max="9"/>
    <col width="9" customWidth="1" style="98" min="10" max="16384"/>
  </cols>
  <sheetData>
    <row r="1" ht="8.1" customHeight="1">
      <c r="B1" s="83" t="n"/>
      <c r="C1" s="83" t="n"/>
      <c r="D1" s="83" t="n"/>
      <c r="E1" s="83" t="n"/>
      <c r="F1" s="83" t="n"/>
      <c r="G1" s="83" t="n"/>
    </row>
    <row r="2" ht="36" customHeight="1">
      <c r="B2" s="99" t="inlineStr">
        <is>
          <t>⛽  PRIX MOYENS PAR STATION ET PAR CARBURANT</t>
        </is>
      </c>
    </row>
    <row r="3" ht="6" customHeight="1">
      <c r="B3" s="85" t="n"/>
      <c r="C3" s="85" t="n"/>
      <c r="D3" s="85" t="n"/>
      <c r="E3" s="85" t="n"/>
      <c r="F3" s="85" t="n"/>
      <c r="G3" s="85" t="n"/>
    </row>
    <row r="4" ht="27.95" customHeight="1">
      <c r="B4" s="100" t="inlineStr">
        <is>
          <t>Moyennes calculées à partir des prix relevés par le formulaire web lors de chaque plein  ·  Source : _ImportGS</t>
        </is>
      </c>
      <c r="C4" s="125" t="n"/>
      <c r="D4" s="125" t="n"/>
      <c r="E4" s="125" t="n"/>
      <c r="F4" s="125" t="n"/>
      <c r="G4" s="126" t="n"/>
    </row>
    <row r="5" ht="32.1" customHeight="1">
      <c r="B5" s="86" t="inlineStr">
        <is>
          <t>Station</t>
        </is>
      </c>
      <c r="C5" s="87" t="inlineStr">
        <is>
          <t>E85 (€/L)</t>
        </is>
      </c>
      <c r="D5" s="87" t="inlineStr">
        <is>
          <t>SP98 (€/L)</t>
        </is>
      </c>
      <c r="E5" s="87" t="inlineStr">
        <is>
          <t>SP95 (€/L)</t>
        </is>
      </c>
      <c r="F5" s="87" t="inlineStr">
        <is>
          <t>E10 (€/L)</t>
        </is>
      </c>
      <c r="G5" s="87" t="inlineStr">
        <is>
          <t>Gazole (€/L)</t>
        </is>
      </c>
      <c r="H5" s="87" t="inlineStr">
        <is>
          <t>GPLc (€/L)</t>
        </is>
      </c>
      <c r="I5" s="86" t="inlineStr">
        <is>
          <t>Nb. relevés</t>
        </is>
      </c>
    </row>
    <row r="6" ht="21.95" customHeight="1">
      <c r="B6" s="89">
        <f>IF(Notes!$D$3="","",Notes!$D$3)</f>
        <v/>
      </c>
      <c r="C6" s="90">
        <f>IFERROR(AVERAGEIF(_ImportGS!$H:$H,$B6,_ImportGS!I:I),"")</f>
        <v/>
      </c>
      <c r="D6" s="90">
        <f>IFERROR(AVERAGEIF(_ImportGS!$H:$H,$B6,_ImportGS!J:J),"")</f>
        <v/>
      </c>
      <c r="E6" s="90">
        <f>IFERROR(AVERAGEIF(_ImportGS!$H:$H,$B6,_ImportGS!K:K),"")</f>
        <v/>
      </c>
      <c r="F6" s="90">
        <f>IFERROR(AVERAGEIF(_ImportGS!$H:$H,$B6,_ImportGS!L:L),"")</f>
        <v/>
      </c>
      <c r="G6" s="90">
        <f>IFERROR(AVERAGEIF(_ImportGS!$H:$H,$B6,_ImportGS!M:M),"")</f>
        <v/>
      </c>
      <c r="H6" s="90">
        <f>IFERROR(AVERAGEIF(_ImportGS!$H:$H,$B6,_ImportGS!N:N),"")</f>
        <v/>
      </c>
      <c r="I6" s="91">
        <f>IF(Notes!$D3="","",COUNTIF(DonneesExternes[Station essence],B6))</f>
        <v/>
      </c>
    </row>
    <row r="7" ht="21.95" customHeight="1">
      <c r="B7" s="88">
        <f>IF(Notes!$D$4="","",Notes!$D$4)</f>
        <v/>
      </c>
      <c r="C7" s="90">
        <f>IFERROR(AVERAGEIF(_ImportGS!$H:$H,$B7,_ImportGS!I:I),"")</f>
        <v/>
      </c>
      <c r="D7" s="90">
        <f>IFERROR(AVERAGEIF(_ImportGS!$H:$H,$B7,_ImportGS!J:J),"")</f>
        <v/>
      </c>
      <c r="E7" s="90">
        <f>IFERROR(AVERAGEIF(_ImportGS!$H:$H,$B7,_ImportGS!K:K),"")</f>
        <v/>
      </c>
      <c r="F7" s="90">
        <f>IFERROR(AVERAGEIF(_ImportGS!$H:$H,$B7,_ImportGS!L:L),"")</f>
        <v/>
      </c>
      <c r="G7" s="90">
        <f>IFERROR(AVERAGEIF(_ImportGS!$H:$H,$B7,_ImportGS!M:M),"")</f>
        <v/>
      </c>
      <c r="H7" s="90">
        <f>IFERROR(AVERAGEIF(_ImportGS!$H:$H,$B7,_ImportGS!N:N),"")</f>
        <v/>
      </c>
      <c r="I7" s="91">
        <f>IF(Notes!$D4="","",COUNTIF(DonneesExternes[Station essence],B7))</f>
        <v/>
      </c>
    </row>
    <row r="8" ht="21.95" customHeight="1">
      <c r="B8" s="89">
        <f>IF(Notes!$D$5="","",Notes!$D$5)</f>
        <v/>
      </c>
      <c r="C8" s="90">
        <f>IFERROR(AVERAGEIF(_ImportGS!$H:$H,$B8,_ImportGS!I:I),"")</f>
        <v/>
      </c>
      <c r="D8" s="90">
        <f>IFERROR(AVERAGEIF(_ImportGS!$H:$H,$B8,_ImportGS!J:J),"")</f>
        <v/>
      </c>
      <c r="E8" s="90">
        <f>IFERROR(AVERAGEIF(_ImportGS!$H:$H,$B8,_ImportGS!K:K),"")</f>
        <v/>
      </c>
      <c r="F8" s="90">
        <f>IFERROR(AVERAGEIF(_ImportGS!$H:$H,$B8,_ImportGS!L:L),"")</f>
        <v/>
      </c>
      <c r="G8" s="90">
        <f>IFERROR(AVERAGEIF(_ImportGS!$H:$H,$B8,_ImportGS!M:M),"")</f>
        <v/>
      </c>
      <c r="H8" s="90">
        <f>IFERROR(AVERAGEIF(_ImportGS!$H:$H,$B8,_ImportGS!N:N),"")</f>
        <v/>
      </c>
      <c r="I8" s="91">
        <f>IF(Notes!$D5="","",COUNTIF(DonneesExternes[Station essence],B8))</f>
        <v/>
      </c>
    </row>
    <row r="9" ht="21.95" customHeight="1">
      <c r="B9" s="88">
        <f>IF(Notes!$D$6="","",Notes!$D$6)</f>
        <v/>
      </c>
      <c r="C9" s="90">
        <f>IFERROR(AVERAGEIF(_ImportGS!$H:$H,$B9,_ImportGS!I:I),"")</f>
        <v/>
      </c>
      <c r="D9" s="90">
        <f>IFERROR(AVERAGEIF(_ImportGS!$H:$H,$B9,_ImportGS!J:J),"")</f>
        <v/>
      </c>
      <c r="E9" s="90">
        <f>IFERROR(AVERAGEIF(_ImportGS!$H:$H,$B9,_ImportGS!K:K),"")</f>
        <v/>
      </c>
      <c r="F9" s="90">
        <f>IFERROR(AVERAGEIF(_ImportGS!$H:$H,$B9,_ImportGS!L:L),"")</f>
        <v/>
      </c>
      <c r="G9" s="90">
        <f>IFERROR(AVERAGEIF(_ImportGS!$H:$H,$B9,_ImportGS!M:M),"")</f>
        <v/>
      </c>
      <c r="H9" s="90">
        <f>IFERROR(AVERAGEIF(_ImportGS!$H:$H,$B9,_ImportGS!N:N),"")</f>
        <v/>
      </c>
      <c r="I9" s="91">
        <f>IF(Notes!$D6="","",COUNTIF(DonneesExternes[Station essence],B9))</f>
        <v/>
      </c>
    </row>
    <row r="10" ht="21.95" customHeight="1">
      <c r="B10" s="89">
        <f>IF(Notes!$D$7="","",Notes!$D$7)</f>
        <v/>
      </c>
      <c r="C10" s="90">
        <f>IFERROR(AVERAGEIF(_ImportGS!$H:$H,$B10,_ImportGS!I:I),"")</f>
        <v/>
      </c>
      <c r="D10" s="90">
        <f>IFERROR(AVERAGEIF(_ImportGS!$H:$H,$B10,_ImportGS!J:J),"")</f>
        <v/>
      </c>
      <c r="E10" s="90">
        <f>IFERROR(AVERAGEIF(_ImportGS!$H:$H,$B10,_ImportGS!K:K),"")</f>
        <v/>
      </c>
      <c r="F10" s="90">
        <f>IFERROR(AVERAGEIF(_ImportGS!$H:$H,$B10,_ImportGS!L:L),"")</f>
        <v/>
      </c>
      <c r="G10" s="90">
        <f>IFERROR(AVERAGEIF(_ImportGS!$H:$H,$B10,_ImportGS!M:M),"")</f>
        <v/>
      </c>
      <c r="H10" s="90">
        <f>IFERROR(AVERAGEIF(_ImportGS!$H:$H,$B10,_ImportGS!N:N),"")</f>
        <v/>
      </c>
      <c r="I10" s="91">
        <f>IF(Notes!$D7="","",COUNTIF(DonneesExternes[Station essence],B10))</f>
        <v/>
      </c>
    </row>
    <row r="11" ht="21.95" customHeight="1">
      <c r="B11" s="88">
        <f>IF(Notes!$D$8="","",Notes!$D$8)</f>
        <v/>
      </c>
      <c r="C11" s="90">
        <f>IFERROR(AVERAGEIF(_ImportGS!$H:$H,$B11,_ImportGS!I:I),"")</f>
        <v/>
      </c>
      <c r="D11" s="90">
        <f>IFERROR(AVERAGEIF(_ImportGS!$H:$H,$B11,_ImportGS!J:J),"")</f>
        <v/>
      </c>
      <c r="E11" s="90">
        <f>IFERROR(AVERAGEIF(_ImportGS!$H:$H,$B11,_ImportGS!K:K),"")</f>
        <v/>
      </c>
      <c r="F11" s="90">
        <f>IFERROR(AVERAGEIF(_ImportGS!$H:$H,$B11,_ImportGS!L:L),"")</f>
        <v/>
      </c>
      <c r="G11" s="90">
        <f>IFERROR(AVERAGEIF(_ImportGS!$H:$H,$B11,_ImportGS!M:M),"")</f>
        <v/>
      </c>
      <c r="H11" s="90">
        <f>IFERROR(AVERAGEIF(_ImportGS!$H:$H,$B11,_ImportGS!N:N),"")</f>
        <v/>
      </c>
      <c r="I11" s="91">
        <f>IF(Notes!$D8="","",COUNTIF(DonneesExternes[Station essence],B11))</f>
        <v/>
      </c>
    </row>
    <row r="12" ht="21.95" customHeight="1">
      <c r="B12" s="89">
        <f>IF(Notes!$D$9="","",Notes!$D$9)</f>
        <v/>
      </c>
      <c r="C12" s="90">
        <f>IFERROR(AVERAGEIF(_ImportGS!$H:$H,$B12,_ImportGS!I:I),"")</f>
        <v/>
      </c>
      <c r="D12" s="90">
        <f>IFERROR(AVERAGEIF(_ImportGS!$H:$H,$B12,_ImportGS!J:J),"")</f>
        <v/>
      </c>
      <c r="E12" s="90">
        <f>IFERROR(AVERAGEIF(_ImportGS!$H:$H,$B12,_ImportGS!K:K),"")</f>
        <v/>
      </c>
      <c r="F12" s="90">
        <f>IFERROR(AVERAGEIF(_ImportGS!$H:$H,$B12,_ImportGS!L:L),"")</f>
        <v/>
      </c>
      <c r="G12" s="90">
        <f>IFERROR(AVERAGEIF(_ImportGS!$H:$H,$B12,_ImportGS!M:M),"")</f>
        <v/>
      </c>
      <c r="H12" s="90">
        <f>IFERROR(AVERAGEIF(_ImportGS!$H:$H,$B12,_ImportGS!N:N),"")</f>
        <v/>
      </c>
      <c r="I12" s="91">
        <f>IF(Notes!$D9="","",COUNTIF(DonneesExternes[Station essence],B12))</f>
        <v/>
      </c>
    </row>
    <row r="13" ht="21.95" customHeight="1">
      <c r="B13" s="88">
        <f>IF(Notes!$D$10="","",Notes!$D$10)</f>
        <v/>
      </c>
      <c r="C13" s="90">
        <f>IFERROR(AVERAGEIF(_ImportGS!$H:$H,$B13,_ImportGS!I:I),"")</f>
        <v/>
      </c>
      <c r="D13" s="90">
        <f>IFERROR(AVERAGEIF(_ImportGS!$H:$H,$B13,_ImportGS!J:J),"")</f>
        <v/>
      </c>
      <c r="E13" s="90">
        <f>IFERROR(AVERAGEIF(_ImportGS!$H:$H,$B13,_ImportGS!K:K),"")</f>
        <v/>
      </c>
      <c r="F13" s="90">
        <f>IFERROR(AVERAGEIF(_ImportGS!$H:$H,$B13,_ImportGS!L:L),"")</f>
        <v/>
      </c>
      <c r="G13" s="90">
        <f>IFERROR(AVERAGEIF(_ImportGS!$H:$H,$B13,_ImportGS!M:M),"")</f>
        <v/>
      </c>
      <c r="H13" s="90">
        <f>IFERROR(AVERAGEIF(_ImportGS!$H:$H,$B13,_ImportGS!N:N),"")</f>
        <v/>
      </c>
      <c r="I13" s="91">
        <f>IF(Notes!$D10="","",COUNTIF(DonneesExternes[Station essence],B13))</f>
        <v/>
      </c>
    </row>
    <row r="14" ht="21.95" customHeight="1">
      <c r="B14" s="89">
        <f>IF(Notes!$D$11="","",Notes!$D$11)</f>
        <v/>
      </c>
      <c r="C14" s="90">
        <f>IFERROR(AVERAGEIF(_ImportGS!$H:$H,$B14,_ImportGS!I:I),"")</f>
        <v/>
      </c>
      <c r="D14" s="90">
        <f>IFERROR(AVERAGEIF(_ImportGS!$H:$H,$B14,_ImportGS!J:J),"")</f>
        <v/>
      </c>
      <c r="E14" s="90">
        <f>IFERROR(AVERAGEIF(_ImportGS!$H:$H,$B14,_ImportGS!K:K),"")</f>
        <v/>
      </c>
      <c r="F14" s="90">
        <f>IFERROR(AVERAGEIF(_ImportGS!$H:$H,$B14,_ImportGS!L:L),"")</f>
        <v/>
      </c>
      <c r="G14" s="90">
        <f>IFERROR(AVERAGEIF(_ImportGS!$H:$H,$B14,_ImportGS!M:M),"")</f>
        <v/>
      </c>
      <c r="H14" s="90">
        <f>IFERROR(AVERAGEIF(_ImportGS!$H:$H,$B14,_ImportGS!N:N),"")</f>
        <v/>
      </c>
      <c r="I14" s="91">
        <f>IF(Notes!$D11="","",COUNTIF(DonneesExternes[Station essence],B14))</f>
        <v/>
      </c>
    </row>
    <row r="15" ht="21.95" customHeight="1">
      <c r="B15" s="88">
        <f>IF(Notes!$D$12="","",Notes!$D$12)</f>
        <v/>
      </c>
      <c r="C15" s="90">
        <f>IFERROR(AVERAGEIF(_ImportGS!$H:$H,$B15,_ImportGS!I:I),"")</f>
        <v/>
      </c>
      <c r="D15" s="90">
        <f>IFERROR(AVERAGEIF(_ImportGS!$H:$H,$B15,_ImportGS!J:J),"")</f>
        <v/>
      </c>
      <c r="E15" s="90">
        <f>IFERROR(AVERAGEIF(_ImportGS!$H:$H,$B15,_ImportGS!K:K),"")</f>
        <v/>
      </c>
      <c r="F15" s="90">
        <f>IFERROR(AVERAGEIF(_ImportGS!$H:$H,$B15,_ImportGS!L:L),"")</f>
        <v/>
      </c>
      <c r="G15" s="90">
        <f>IFERROR(AVERAGEIF(_ImportGS!$H:$H,$B15,_ImportGS!M:M),"")</f>
        <v/>
      </c>
      <c r="H15" s="90">
        <f>IFERROR(AVERAGEIF(_ImportGS!$H:$H,$B15,_ImportGS!N:N),"")</f>
        <v/>
      </c>
      <c r="I15" s="91">
        <f>IF(Notes!$D12="","",COUNTIF(DonneesExternes[Station essence],B15))</f>
        <v/>
      </c>
    </row>
    <row r="16" ht="21.95" customHeight="1">
      <c r="B16" s="89">
        <f>IF(Notes!$D$13="","",Notes!$D$13)</f>
        <v/>
      </c>
      <c r="C16" s="90">
        <f>IFERROR(AVERAGEIF(_ImportGS!$H:$H,$B16,_ImportGS!I:I),"")</f>
        <v/>
      </c>
      <c r="D16" s="90">
        <f>IFERROR(AVERAGEIF(_ImportGS!$H:$H,$B16,_ImportGS!J:J),"")</f>
        <v/>
      </c>
      <c r="E16" s="90">
        <f>IFERROR(AVERAGEIF(_ImportGS!$H:$H,$B16,_ImportGS!K:K),"")</f>
        <v/>
      </c>
      <c r="F16" s="90">
        <f>IFERROR(AVERAGEIF(_ImportGS!$H:$H,$B16,_ImportGS!L:L),"")</f>
        <v/>
      </c>
      <c r="G16" s="90">
        <f>IFERROR(AVERAGEIF(_ImportGS!$H:$H,$B16,_ImportGS!M:M),"")</f>
        <v/>
      </c>
      <c r="H16" s="90">
        <f>IFERROR(AVERAGEIF(_ImportGS!$H:$H,$B16,_ImportGS!N:N),"")</f>
        <v/>
      </c>
      <c r="I16" s="91">
        <f>IF(Notes!$D13="","",COUNTIF(DonneesExternes[Station essence],B16))</f>
        <v/>
      </c>
    </row>
    <row r="17" ht="26.1" customHeight="1">
      <c r="B17" s="92" t="inlineStr">
        <is>
          <t>MOYENNE GLOBALE (tous pleins)</t>
        </is>
      </c>
      <c r="C17" s="93">
        <f>IFERROR(AVERAGEIF(DonneesExternes[E85 station (€/L)],"&gt;"&amp;0),"")</f>
        <v/>
      </c>
      <c r="D17" s="93">
        <f>IFERROR(AVERAGEIF(DonneesExternes[SP98 station (€/L)],"&gt;"&amp;0),"")</f>
        <v/>
      </c>
      <c r="E17" s="93">
        <f>IFERROR(AVERAGEIF(DonneesExternes[SP95 station (€/L)],"&gt;"&amp;0),"")</f>
        <v/>
      </c>
      <c r="F17" s="93">
        <f>IFERROR(AVERAGEIF(DonneesExternes[E10 station (€/L)],"&gt;"&amp;0),"")</f>
        <v/>
      </c>
      <c r="G17" s="93">
        <f>IFERROR(AVERAGEIF(DonneesExternes[Gazole station (€/L)],"&gt;"&amp;0),"")</f>
        <v/>
      </c>
      <c r="H17" s="93">
        <f>IFERROR(AVERAGEIF(DonneesExternes[GPLc station (€/L)],"&gt;"&amp;0),"")</f>
        <v/>
      </c>
      <c r="I17" s="94" t="n"/>
    </row>
    <row r="18" ht="6.75" customHeight="1"/>
    <row r="19" ht="20.1" customHeight="1">
      <c r="B19" s="106" t="inlineStr">
        <is>
          <t>ℹ️  Les prix station sont relevés automatiquement via API data.economie.gouv.fr lors de la sélection d'une station. Ils reflètent le prix affiché ce jour-là, indépendamment du carburant acheté.</t>
        </is>
      </c>
    </row>
    <row r="20" ht="18" customHeight="1">
      <c r="B20" s="127" t="n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Feuil3">
    <outlinePr summaryBelow="1" summaryRight="1"/>
    <pageSetUpPr/>
  </sheetPr>
  <dimension ref="B1:AI54"/>
  <sheetViews>
    <sheetView showGridLines="0" showRowColHeaders="0" topLeftCell="A9" workbookViewId="0">
      <selection activeCell="AL47" sqref="AL47"/>
    </sheetView>
  </sheetViews>
  <sheetFormatPr baseColWidth="10" defaultRowHeight="15.75"/>
  <cols>
    <col width="2.5" customWidth="1" min="1" max="1"/>
    <col width="7.375" customWidth="1" min="14" max="14"/>
    <col hidden="1" outlineLevel="1" width="11" customWidth="1" style="82" min="15" max="15"/>
    <col hidden="1" outlineLevel="1" width="17.125" customWidth="1" style="82" min="16" max="16"/>
    <col hidden="1" outlineLevel="1" width="10.375" customWidth="1" style="82" min="17" max="17"/>
    <col hidden="1" outlineLevel="1" width="1.625" customWidth="1" min="18" max="18"/>
    <col hidden="1" outlineLevel="1" width="11" customWidth="1" style="82" min="19" max="19"/>
    <col hidden="1" outlineLevel="1" width="21.625" customWidth="1" style="82" min="20" max="20"/>
    <col hidden="1" outlineLevel="1" width="18.75" customWidth="1" style="82" min="21" max="21"/>
    <col hidden="1" outlineLevel="1" width="1.5" customWidth="1" min="22" max="22"/>
    <col hidden="1" outlineLevel="1" width="7.625" customWidth="1" style="82" min="23" max="23"/>
    <col hidden="1" outlineLevel="1" width="15.5" customWidth="1" style="82" min="24" max="25"/>
    <col hidden="1" outlineLevel="1" width="1.5" customWidth="1" min="26" max="26"/>
    <col hidden="1" outlineLevel="1" width="7.625" customWidth="1" style="82" min="27" max="27"/>
    <col hidden="1" outlineLevel="1" width="13.25" customWidth="1" style="82" min="28" max="28"/>
    <col hidden="1" outlineLevel="1" width="19" customWidth="1" style="82" min="29" max="29"/>
    <col hidden="1" outlineLevel="1" width="1.5" customWidth="1" min="30" max="30"/>
    <col hidden="1" outlineLevel="1" width="10.875" customWidth="1" style="82" min="31" max="31"/>
    <col hidden="1" outlineLevel="1" width="19.875" customWidth="1" style="82" min="32" max="32"/>
    <col hidden="1" outlineLevel="1" width="13.125" customWidth="1" style="82" min="33" max="33"/>
    <col hidden="1" outlineLevel="1" width="16" customWidth="1" style="82" min="34" max="34"/>
    <col hidden="1" outlineLevel="1" width="15.125" customWidth="1" style="82" min="35" max="35"/>
    <col collapsed="1" width="11" customWidth="1" min="36" max="36"/>
  </cols>
  <sheetData>
    <row r="1" ht="21" customHeight="1">
      <c r="B1" s="47" t="inlineStr">
        <is>
          <t>📊 GRAPHIQUES DE SUIVI</t>
        </is>
      </c>
      <c r="O1" s="95" t="inlineStr">
        <is>
          <t>Plein E85</t>
        </is>
      </c>
      <c r="P1" s="95" t="inlineStr">
        <is>
          <t>Économie cumulée</t>
        </is>
      </c>
      <c r="Q1" s="95" t="inlineStr">
        <is>
          <t>Coût du kit</t>
        </is>
      </c>
      <c r="S1" s="95" t="inlineStr">
        <is>
          <t>N° plein</t>
        </is>
      </c>
      <c r="T1" s="95" t="inlineStr">
        <is>
          <t>Conso S98 (L/100km)</t>
        </is>
      </c>
      <c r="U1" s="95" t="inlineStr">
        <is>
          <t>Conso E85 (L/100km)</t>
        </is>
      </c>
      <c r="W1" s="95" t="inlineStr">
        <is>
          <t>N° plein</t>
        </is>
      </c>
      <c r="X1" s="95" t="inlineStr">
        <is>
          <t>Coût S98 (c€/km)</t>
        </is>
      </c>
      <c r="Y1" s="95" t="inlineStr">
        <is>
          <t>Coût E85 (c€/km)</t>
        </is>
      </c>
      <c r="AA1" s="95" t="inlineStr">
        <is>
          <t>N° plein</t>
        </is>
      </c>
      <c r="AB1" s="95" t="inlineStr">
        <is>
          <t>Prix payé (€/L)</t>
        </is>
      </c>
      <c r="AC1" s="95" t="inlineStr">
        <is>
          <t>Prix S98 du jour (€/L)</t>
        </is>
      </c>
      <c r="AE1" s="95" t="inlineStr">
        <is>
          <t>Plein E85 n°</t>
        </is>
      </c>
      <c r="AF1" s="95" t="inlineStr">
        <is>
          <t>Économie cumulée (€)</t>
        </is>
      </c>
      <c r="AG1" s="95" t="inlineStr">
        <is>
          <t>Coût du kit (€)</t>
        </is>
      </c>
      <c r="AH1" s="82" t="inlineStr">
        <is>
          <t>N° plein projection</t>
        </is>
      </c>
      <c r="AI1" s="82" t="inlineStr">
        <is>
          <t>Projection éco (€)</t>
        </is>
      </c>
    </row>
    <row r="2">
      <c r="O2" s="82">
        <f>IF(COUNTIFS('Suivi Carburant'!$C$16:$C$46,"SuperEthanol E85",'Suivi Carburant'!$N$16:$N$46,"&gt;=0")&gt;=ROW(O1)-1,ROW(O1)-1,NA())</f>
        <v/>
      </c>
      <c r="P2" s="82" t="n">
        <v>0</v>
      </c>
      <c r="Q2" s="82">
        <f>'Suivi Carburant'!$B$5</f>
        <v/>
      </c>
      <c r="S2" s="82">
        <f>IF(ISNUMBER('Suivi Carburant'!A16),'Suivi Carburant'!A16,NA())</f>
        <v/>
      </c>
      <c r="T2" s="82">
        <f>IF(OR('Suivi Carburant'!C16&lt;&gt;"Super 98",'Suivi Carburant'!J16=""),NA(),'Suivi Carburant'!J16)</f>
        <v/>
      </c>
      <c r="U2" s="82">
        <f>IF(OR('Suivi Carburant'!C16&lt;&gt;"SuperEthanol E85",'Suivi Carburant'!J16=""),NA(),'Suivi Carburant'!J16)</f>
        <v/>
      </c>
      <c r="W2" s="82">
        <f>IF(ISNUMBER('Suivi Carburant'!A16),'Suivi Carburant'!A16,NA())</f>
        <v/>
      </c>
      <c r="X2" s="82">
        <f>IF(OR('Suivi Carburant'!C16&lt;&gt;"Super 98",'Suivi Carburant'!H16=""),NA(),'Suivi Carburant'!H16)</f>
        <v/>
      </c>
      <c r="Y2" s="82">
        <f>IF(OR('Suivi Carburant'!C16&lt;&gt;"SuperEthanol E85",'Suivi Carburant'!H16=""),NA(),'Suivi Carburant'!H16)</f>
        <v/>
      </c>
      <c r="AA2" s="82">
        <f>IF(ISNUMBER('Suivi Carburant'!A16),'Suivi Carburant'!A16,NA())</f>
        <v/>
      </c>
      <c r="AB2" s="82">
        <f>IF(OR('Suivi Carburant'!G16="",NOT(ISNUMBER('Suivi Carburant'!G16))),NA(),'Suivi Carburant'!G16)</f>
        <v/>
      </c>
      <c r="AC2" s="82">
        <f>IF(OR('Suivi Carburant'!K16="",NOT(ISNUMBER('Suivi Carburant'!K16))),NA(),'Suivi Carburant'!K16)</f>
        <v/>
      </c>
      <c r="AE2" s="82" t="n">
        <v>0</v>
      </c>
      <c r="AF2" s="82" t="n">
        <v>0</v>
      </c>
      <c r="AG2" s="82">
        <f>'Suivi Carburant'!$B$5</f>
        <v/>
      </c>
      <c r="AH2" s="82">
        <f t="array" ref="AH2">IFERROR(LOOKUP(2,1/(AF2:AF32&lt;&gt;""),AE2:AE32),NA())</f>
        <v/>
      </c>
      <c r="AI2" s="82">
        <f>IFERROR(LOOKUP(2,1/(AF2:AF32&lt;&gt;""),AF2:AF32),NA())</f>
        <v/>
      </c>
    </row>
    <row r="3">
      <c r="O3" s="82">
        <f>IF(COUNTIFS('Suivi Carburant'!$C$16:$C$46,"SuperEthanol E85",'Suivi Carburant'!$N$16:$N$46,"&gt;=0")&gt;=ROW(O2)-1,ROW(O2)-1,NA())</f>
        <v/>
      </c>
      <c r="P3" s="82">
        <f t="array" ref="P3">IFERROR(INDEX('Suivi Carburant'!$N$16:$N$46,SMALL(IF(('Suivi Carburant'!$C$16:$C$46="SuperEthanol E85")*ISNUMBER('Suivi Carburant'!$N$16:$N$46),ROW('Suivi Carburant'!$C$16:$C$46)-ROW('Suivi Carburant'!$C$16)+1),1)),NA())</f>
        <v/>
      </c>
      <c r="Q3" s="82">
        <f>IF(ISNA(O3),NA(),'Suivi Carburant'!$B$5)</f>
        <v/>
      </c>
      <c r="S3" s="82">
        <f>IF(ISNUMBER('Suivi Carburant'!A17),'Suivi Carburant'!A17,NA())</f>
        <v/>
      </c>
      <c r="T3" s="82">
        <f>IF(OR('Suivi Carburant'!C17&lt;&gt;"Super 98",'Suivi Carburant'!J17=""),NA(),'Suivi Carburant'!J17)</f>
        <v/>
      </c>
      <c r="U3" s="82">
        <f>IF(OR('Suivi Carburant'!C17&lt;&gt;"SuperEthanol E85",'Suivi Carburant'!J17=""),NA(),'Suivi Carburant'!J17)</f>
        <v/>
      </c>
      <c r="W3" s="82">
        <f>IF(ISNUMBER('Suivi Carburant'!A17),'Suivi Carburant'!A17,NA())</f>
        <v/>
      </c>
      <c r="X3" s="82">
        <f>IF(OR('Suivi Carburant'!C17&lt;&gt;"Super 98",'Suivi Carburant'!H17=""),NA(),'Suivi Carburant'!H17)</f>
        <v/>
      </c>
      <c r="Y3" s="82">
        <f>IF(OR('Suivi Carburant'!C17&lt;&gt;"SuperEthanol E85",'Suivi Carburant'!H17=""),NA(),'Suivi Carburant'!H17)</f>
        <v/>
      </c>
      <c r="AA3" s="82">
        <f>IF(ISNUMBER('Suivi Carburant'!A17),'Suivi Carburant'!A17,NA())</f>
        <v/>
      </c>
      <c r="AB3" s="82">
        <f>IF(OR('Suivi Carburant'!G17="",NOT(ISNUMBER('Suivi Carburant'!G17))),NA(),'Suivi Carburant'!G17)</f>
        <v/>
      </c>
      <c r="AC3" s="82">
        <f>IF(OR('Suivi Carburant'!K17="",NOT(ISNUMBER('Suivi Carburant'!K17))),NA(),'Suivi Carburant'!K17)</f>
        <v/>
      </c>
      <c r="AE3" s="82" t="n">
        <v>1</v>
      </c>
      <c r="AF3" s="82">
        <f>IFERROR(VLOOKUP(AE3,$O$2:$P$32,2,FALSE),NA())</f>
        <v/>
      </c>
      <c r="AG3" s="82">
        <f>'Suivi Carburant'!$B$5</f>
        <v/>
      </c>
      <c r="AH3" s="82">
        <f>IF(ISNUMBER(AH2),AH2+CEILING('Suivi Carburant'!B11*AH2/MAX('Suivi Carburant'!B10,0.001),0.5),NA())</f>
        <v/>
      </c>
      <c r="AI3" s="82">
        <f>IF(ISNUMBER(AH3),'Suivi Carburant'!B5,NA())</f>
        <v/>
      </c>
    </row>
    <row r="4">
      <c r="O4" s="82">
        <f>IF(COUNTIFS('Suivi Carburant'!$C$16:$C$46,"SuperEthanol E85",'Suivi Carburant'!$N$16:$N$46,"&gt;=0")&gt;=ROW(O3)-1,ROW(O3)-1,NA())</f>
        <v/>
      </c>
      <c r="P4" s="82">
        <f t="array" ref="P4">IFERROR(INDEX('Suivi Carburant'!$N$16:$N$46,SMALL(IF(('Suivi Carburant'!$C$16:$C$46="SuperEthanol E85")*ISNUMBER('Suivi Carburant'!$N$16:$N$46),ROW('Suivi Carburant'!$C$16:$C$46)-ROW('Suivi Carburant'!$C$16)+1),2)),NA())</f>
        <v/>
      </c>
      <c r="Q4" s="82">
        <f>IF(ISNA(O4),NA(),'Suivi Carburant'!$B$5)</f>
        <v/>
      </c>
      <c r="S4" s="82">
        <f>IF(ISNUMBER('Suivi Carburant'!A18),'Suivi Carburant'!A18,NA())</f>
        <v/>
      </c>
      <c r="T4" s="82">
        <f>IF(OR('Suivi Carburant'!C18&lt;&gt;"Super 98",'Suivi Carburant'!J18=""),NA(),'Suivi Carburant'!J18)</f>
        <v/>
      </c>
      <c r="U4" s="82">
        <f>IF(OR('Suivi Carburant'!C18&lt;&gt;"SuperEthanol E85",'Suivi Carburant'!J18=""),NA(),'Suivi Carburant'!J18)</f>
        <v/>
      </c>
      <c r="W4" s="82">
        <f>IF(ISNUMBER('Suivi Carburant'!A18),'Suivi Carburant'!A18,NA())</f>
        <v/>
      </c>
      <c r="X4" s="82">
        <f>IF(OR('Suivi Carburant'!C18&lt;&gt;"Super 98",'Suivi Carburant'!H18=""),NA(),'Suivi Carburant'!H18)</f>
        <v/>
      </c>
      <c r="Y4" s="82">
        <f>IF(OR('Suivi Carburant'!C18&lt;&gt;"SuperEthanol E85",'Suivi Carburant'!H18=""),NA(),'Suivi Carburant'!H18)</f>
        <v/>
      </c>
      <c r="AA4" s="82">
        <f>IF(ISNUMBER('Suivi Carburant'!A18),'Suivi Carburant'!A18,NA())</f>
        <v/>
      </c>
      <c r="AB4" s="82">
        <f>IF(OR('Suivi Carburant'!G18="",NOT(ISNUMBER('Suivi Carburant'!G18))),NA(),'Suivi Carburant'!G18)</f>
        <v/>
      </c>
      <c r="AC4" s="82">
        <f>IF(OR('Suivi Carburant'!K18="",NOT(ISNUMBER('Suivi Carburant'!K18))),NA(),'Suivi Carburant'!K18)</f>
        <v/>
      </c>
      <c r="AE4" s="82" t="n">
        <v>2</v>
      </c>
      <c r="AF4" s="82">
        <f>IFERROR(VLOOKUP(AE4,$O$2:$P$32,2,FALSE),NA())</f>
        <v/>
      </c>
      <c r="AG4" s="82">
        <f>'Suivi Carburant'!$B$5</f>
        <v/>
      </c>
    </row>
    <row r="5">
      <c r="O5" s="82">
        <f>IF(COUNTIFS('Suivi Carburant'!$C$16:$C$46,"SuperEthanol E85",'Suivi Carburant'!$N$16:$N$46,"&gt;=0")&gt;=ROW(O4)-1,ROW(O4)-1,NA())</f>
        <v/>
      </c>
      <c r="P5" s="82">
        <f t="array" ref="P5">IFERROR(INDEX('Suivi Carburant'!$N$16:$N$46,SMALL(IF(('Suivi Carburant'!$C$16:$C$46="SuperEthanol E85")*ISNUMBER('Suivi Carburant'!$N$16:$N$46),ROW('Suivi Carburant'!$C$16:$C$46)-ROW('Suivi Carburant'!$C$16)+1),3)),NA())</f>
        <v/>
      </c>
      <c r="Q5" s="82">
        <f>IF(ISNA(O5),NA(),'Suivi Carburant'!$B$5)</f>
        <v/>
      </c>
      <c r="S5" s="82">
        <f>IF(ISNUMBER('Suivi Carburant'!A19),'Suivi Carburant'!A19,NA())</f>
        <v/>
      </c>
      <c r="T5" s="82">
        <f>IF(OR('Suivi Carburant'!C19&lt;&gt;"Super 98",'Suivi Carburant'!J19=""),NA(),'Suivi Carburant'!J19)</f>
        <v/>
      </c>
      <c r="U5" s="82">
        <f>IF(OR('Suivi Carburant'!C19&lt;&gt;"SuperEthanol E85",'Suivi Carburant'!J19=""),NA(),'Suivi Carburant'!J19)</f>
        <v/>
      </c>
      <c r="W5" s="82">
        <f>IF(ISNUMBER('Suivi Carburant'!A19),'Suivi Carburant'!A19,NA())</f>
        <v/>
      </c>
      <c r="X5" s="82">
        <f>IF(OR('Suivi Carburant'!C19&lt;&gt;"Super 98",'Suivi Carburant'!H19=""),NA(),'Suivi Carburant'!H19)</f>
        <v/>
      </c>
      <c r="Y5" s="82">
        <f>IF(OR('Suivi Carburant'!C19&lt;&gt;"SuperEthanol E85",'Suivi Carburant'!H19=""),NA(),'Suivi Carburant'!H19)</f>
        <v/>
      </c>
      <c r="AA5" s="82">
        <f>IF(ISNUMBER('Suivi Carburant'!A19),'Suivi Carburant'!A19,NA())</f>
        <v/>
      </c>
      <c r="AB5" s="82">
        <f>IF(OR('Suivi Carburant'!G19="",NOT(ISNUMBER('Suivi Carburant'!G19))),NA(),'Suivi Carburant'!G19)</f>
        <v/>
      </c>
      <c r="AC5" s="82">
        <f>IF(OR('Suivi Carburant'!K19="",NOT(ISNUMBER('Suivi Carburant'!K19))),NA(),'Suivi Carburant'!K19)</f>
        <v/>
      </c>
      <c r="AE5" s="82" t="n">
        <v>3</v>
      </c>
      <c r="AF5" s="82">
        <f>IFERROR(VLOOKUP(AE5,$O$2:$P$32,2,FALSE),NA())</f>
        <v/>
      </c>
      <c r="AG5" s="82">
        <f>'Suivi Carburant'!$B$5</f>
        <v/>
      </c>
    </row>
    <row r="6">
      <c r="O6" s="82">
        <f>IF(COUNTIFS('Suivi Carburant'!$C$16:$C$46,"SuperEthanol E85",'Suivi Carburant'!$N$16:$N$46,"&gt;=0")&gt;=ROW(O5)-1,ROW(O5)-1,NA())</f>
        <v/>
      </c>
      <c r="P6" s="82">
        <f t="array" ref="P6">IFERROR(INDEX('Suivi Carburant'!$N$16:$N$46,SMALL(IF(('Suivi Carburant'!$C$16:$C$46="SuperEthanol E85")*ISNUMBER('Suivi Carburant'!$N$16:$N$46),ROW('Suivi Carburant'!$C$16:$C$46)-ROW('Suivi Carburant'!$C$16)+1),4)),NA())</f>
        <v/>
      </c>
      <c r="Q6" s="82">
        <f>IF(ISNA(O6),NA(),'Suivi Carburant'!$B$5)</f>
        <v/>
      </c>
      <c r="S6" s="82">
        <f>IF(ISNUMBER('Suivi Carburant'!A20),'Suivi Carburant'!A20,NA())</f>
        <v/>
      </c>
      <c r="T6" s="82">
        <f>IF(OR('Suivi Carburant'!C20&lt;&gt;"Super 98",'Suivi Carburant'!J20=""),NA(),'Suivi Carburant'!J20)</f>
        <v/>
      </c>
      <c r="U6" s="82">
        <f>IF(OR('Suivi Carburant'!C20&lt;&gt;"SuperEthanol E85",'Suivi Carburant'!J20=""),NA(),'Suivi Carburant'!J20)</f>
        <v/>
      </c>
      <c r="W6" s="82">
        <f>IF(ISNUMBER('Suivi Carburant'!A20),'Suivi Carburant'!A20,NA())</f>
        <v/>
      </c>
      <c r="X6" s="82">
        <f>IF(OR('Suivi Carburant'!C20&lt;&gt;"Super 98",'Suivi Carburant'!H20=""),NA(),'Suivi Carburant'!H20)</f>
        <v/>
      </c>
      <c r="Y6" s="82">
        <f>IF(OR('Suivi Carburant'!C20&lt;&gt;"SuperEthanol E85",'Suivi Carburant'!H20=""),NA(),'Suivi Carburant'!H20)</f>
        <v/>
      </c>
      <c r="AA6" s="82">
        <f>IF(ISNUMBER('Suivi Carburant'!A20),'Suivi Carburant'!A20,NA())</f>
        <v/>
      </c>
      <c r="AB6" s="82">
        <f>IF(OR('Suivi Carburant'!G20="",NOT(ISNUMBER('Suivi Carburant'!G20))),NA(),'Suivi Carburant'!G20)</f>
        <v/>
      </c>
      <c r="AC6" s="82">
        <f>IF(OR('Suivi Carburant'!K20="",NOT(ISNUMBER('Suivi Carburant'!K20))),NA(),'Suivi Carburant'!K20)</f>
        <v/>
      </c>
      <c r="AE6" s="82" t="n">
        <v>4</v>
      </c>
      <c r="AF6" s="82">
        <f>IFERROR(VLOOKUP(AE6,$O$2:$P$32,2,FALSE),NA())</f>
        <v/>
      </c>
      <c r="AG6" s="82">
        <f>'Suivi Carburant'!$B$5</f>
        <v/>
      </c>
    </row>
    <row r="7">
      <c r="O7" s="82">
        <f>IF(COUNTIFS('Suivi Carburant'!$C$16:$C$46,"SuperEthanol E85",'Suivi Carburant'!$N$16:$N$46,"&gt;=0")&gt;=ROW(O6)-1,ROW(O6)-1,NA())</f>
        <v/>
      </c>
      <c r="P7" s="82">
        <f t="array" ref="P7">IFERROR(INDEX('Suivi Carburant'!$N$16:$N$46,SMALL(IF(('Suivi Carburant'!$C$16:$C$46="SuperEthanol E85")*ISNUMBER('Suivi Carburant'!$N$16:$N$46),ROW('Suivi Carburant'!$C$16:$C$46)-ROW('Suivi Carburant'!$C$16)+1),5)),NA())</f>
        <v/>
      </c>
      <c r="Q7" s="82">
        <f>IF(ISNA(O7),NA(),'Suivi Carburant'!$B$5)</f>
        <v/>
      </c>
      <c r="S7" s="82">
        <f>IF(ISNUMBER('Suivi Carburant'!A21),'Suivi Carburant'!A21,NA())</f>
        <v/>
      </c>
      <c r="T7" s="82">
        <f>IF(OR('Suivi Carburant'!C21&lt;&gt;"Super 98",'Suivi Carburant'!J21=""),NA(),'Suivi Carburant'!J21)</f>
        <v/>
      </c>
      <c r="U7" s="82">
        <f>IF(OR('Suivi Carburant'!C21&lt;&gt;"SuperEthanol E85",'Suivi Carburant'!J21=""),NA(),'Suivi Carburant'!J21)</f>
        <v/>
      </c>
      <c r="W7" s="82">
        <f>IF(ISNUMBER('Suivi Carburant'!A21),'Suivi Carburant'!A21,NA())</f>
        <v/>
      </c>
      <c r="X7" s="82">
        <f>IF(OR('Suivi Carburant'!C21&lt;&gt;"Super 98",'Suivi Carburant'!H21=""),NA(),'Suivi Carburant'!H21)</f>
        <v/>
      </c>
      <c r="Y7" s="82">
        <f>IF(OR('Suivi Carburant'!C21&lt;&gt;"SuperEthanol E85",'Suivi Carburant'!H21=""),NA(),'Suivi Carburant'!H21)</f>
        <v/>
      </c>
      <c r="AA7" s="82">
        <f>IF(ISNUMBER('Suivi Carburant'!A21),'Suivi Carburant'!A21,NA())</f>
        <v/>
      </c>
      <c r="AB7" s="82">
        <f>IF(OR('Suivi Carburant'!G21="",NOT(ISNUMBER('Suivi Carburant'!G21))),NA(),'Suivi Carburant'!G21)</f>
        <v/>
      </c>
      <c r="AC7" s="82">
        <f>IF(OR('Suivi Carburant'!K21="",NOT(ISNUMBER('Suivi Carburant'!K21))),NA(),'Suivi Carburant'!K21)</f>
        <v/>
      </c>
      <c r="AE7" s="82" t="n">
        <v>5</v>
      </c>
      <c r="AF7" s="82">
        <f>IFERROR(VLOOKUP(AE7,$O$2:$P$32,2,FALSE),NA())</f>
        <v/>
      </c>
      <c r="AG7" s="82">
        <f>'Suivi Carburant'!$B$5</f>
        <v/>
      </c>
    </row>
    <row r="8">
      <c r="O8" s="82">
        <f>IF(COUNTIFS('Suivi Carburant'!$C$16:$C$46,"SuperEthanol E85",'Suivi Carburant'!$N$16:$N$46,"&gt;=0")&gt;=ROW(O7)-1,ROW(O7)-1,NA())</f>
        <v/>
      </c>
      <c r="P8" s="82">
        <f t="array" ref="P8">IFERROR(INDEX('Suivi Carburant'!$N$16:$N$46,SMALL(IF(('Suivi Carburant'!$C$16:$C$46="SuperEthanol E85")*ISNUMBER('Suivi Carburant'!$N$16:$N$46),ROW('Suivi Carburant'!$C$16:$C$46)-ROW('Suivi Carburant'!$C$16)+1),6)),NA())</f>
        <v/>
      </c>
      <c r="Q8" s="82">
        <f>IF(ISNA(O8),NA(),'Suivi Carburant'!$B$5)</f>
        <v/>
      </c>
      <c r="S8" s="82">
        <f>IF(ISNUMBER('Suivi Carburant'!A22),'Suivi Carburant'!A22,NA())</f>
        <v/>
      </c>
      <c r="T8" s="82">
        <f>IF(OR('Suivi Carburant'!C22&lt;&gt;"Super 98",'Suivi Carburant'!J22=""),NA(),'Suivi Carburant'!J22)</f>
        <v/>
      </c>
      <c r="U8" s="82">
        <f>IF(OR('Suivi Carburant'!C22&lt;&gt;"SuperEthanol E85",'Suivi Carburant'!J22=""),NA(),'Suivi Carburant'!J22)</f>
        <v/>
      </c>
      <c r="W8" s="82">
        <f>IF(ISNUMBER('Suivi Carburant'!A22),'Suivi Carburant'!A22,NA())</f>
        <v/>
      </c>
      <c r="X8" s="82">
        <f>IF(OR('Suivi Carburant'!C22&lt;&gt;"Super 98",'Suivi Carburant'!H22=""),NA(),'Suivi Carburant'!H22)</f>
        <v/>
      </c>
      <c r="Y8" s="82">
        <f>IF(OR('Suivi Carburant'!C22&lt;&gt;"SuperEthanol E85",'Suivi Carburant'!H22=""),NA(),'Suivi Carburant'!H22)</f>
        <v/>
      </c>
      <c r="AA8" s="82">
        <f>IF(ISNUMBER('Suivi Carburant'!A22),'Suivi Carburant'!A22,NA())</f>
        <v/>
      </c>
      <c r="AB8" s="82">
        <f>IF(OR('Suivi Carburant'!G22="",NOT(ISNUMBER('Suivi Carburant'!G22))),NA(),'Suivi Carburant'!G22)</f>
        <v/>
      </c>
      <c r="AC8" s="82">
        <f>IF(OR('Suivi Carburant'!K22="",NOT(ISNUMBER('Suivi Carburant'!K22))),NA(),'Suivi Carburant'!K22)</f>
        <v/>
      </c>
      <c r="AE8" s="82" t="n">
        <v>6</v>
      </c>
      <c r="AF8" s="82">
        <f>IFERROR(VLOOKUP(AE8,$O$2:$P$32,2,FALSE),NA())</f>
        <v/>
      </c>
      <c r="AG8" s="82">
        <f>'Suivi Carburant'!$B$5</f>
        <v/>
      </c>
    </row>
    <row r="9">
      <c r="O9" s="82">
        <f>IF(COUNTIFS('Suivi Carburant'!$C$16:$C$46,"SuperEthanol E85",'Suivi Carburant'!$N$16:$N$46,"&gt;=0")&gt;=ROW(O8)-1,ROW(O8)-1,NA())</f>
        <v/>
      </c>
      <c r="P9" s="82">
        <f t="array" ref="P9">IFERROR(INDEX('Suivi Carburant'!$N$16:$N$46,SMALL(IF(('Suivi Carburant'!$C$16:$C$46="SuperEthanol E85")*ISNUMBER('Suivi Carburant'!$N$16:$N$46),ROW('Suivi Carburant'!$C$16:$C$46)-ROW('Suivi Carburant'!$C$16)+1),7)),NA())</f>
        <v/>
      </c>
      <c r="Q9" s="82">
        <f>IF(ISNA(O9),NA(),'Suivi Carburant'!$B$5)</f>
        <v/>
      </c>
      <c r="S9" s="82">
        <f>IF(ISNUMBER('Suivi Carburant'!A23),'Suivi Carburant'!A23,NA())</f>
        <v/>
      </c>
      <c r="T9" s="82">
        <f>IF(OR('Suivi Carburant'!C23&lt;&gt;"Super 98",'Suivi Carburant'!J23=""),NA(),'Suivi Carburant'!J23)</f>
        <v/>
      </c>
      <c r="U9" s="82">
        <f>IF(OR('Suivi Carburant'!C23&lt;&gt;"SuperEthanol E85",'Suivi Carburant'!J23=""),NA(),'Suivi Carburant'!J23)</f>
        <v/>
      </c>
      <c r="W9" s="82">
        <f>IF(ISNUMBER('Suivi Carburant'!A23),'Suivi Carburant'!A23,NA())</f>
        <v/>
      </c>
      <c r="X9" s="82">
        <f>IF(OR('Suivi Carburant'!C23&lt;&gt;"Super 98",'Suivi Carburant'!H23=""),NA(),'Suivi Carburant'!H23)</f>
        <v/>
      </c>
      <c r="Y9" s="82">
        <f>IF(OR('Suivi Carburant'!C23&lt;&gt;"SuperEthanol E85",'Suivi Carburant'!H23=""),NA(),'Suivi Carburant'!H23)</f>
        <v/>
      </c>
      <c r="AA9" s="82">
        <f>IF(ISNUMBER('Suivi Carburant'!A23),'Suivi Carburant'!A23,NA())</f>
        <v/>
      </c>
      <c r="AB9" s="82">
        <f>IF(OR('Suivi Carburant'!G23="",NOT(ISNUMBER('Suivi Carburant'!G23))),NA(),'Suivi Carburant'!G23)</f>
        <v/>
      </c>
      <c r="AC9" s="82">
        <f>IF(OR('Suivi Carburant'!K23="",NOT(ISNUMBER('Suivi Carburant'!K23))),NA(),'Suivi Carburant'!K23)</f>
        <v/>
      </c>
      <c r="AE9" s="82" t="n">
        <v>7</v>
      </c>
      <c r="AF9" s="82">
        <f>IFERROR(VLOOKUP(AE9,$O$2:$P$32,2,FALSE),NA())</f>
        <v/>
      </c>
      <c r="AG9" s="82">
        <f>'Suivi Carburant'!$B$5</f>
        <v/>
      </c>
    </row>
    <row r="10">
      <c r="O10" s="82">
        <f>IF(COUNTIFS('Suivi Carburant'!$C$16:$C$46,"SuperEthanol E85",'Suivi Carburant'!$N$16:$N$46,"&gt;=0")&gt;=ROW(O9)-1,ROW(O9)-1,NA())</f>
        <v/>
      </c>
      <c r="P10" s="82">
        <f t="array" ref="P10">IFERROR(INDEX('Suivi Carburant'!$N$16:$N$46,SMALL(IF(('Suivi Carburant'!$C$16:$C$46="SuperEthanol E85")*ISNUMBER('Suivi Carburant'!$N$16:$N$46),ROW('Suivi Carburant'!$C$16:$C$46)-ROW('Suivi Carburant'!$C$16)+1),8)),NA())</f>
        <v/>
      </c>
      <c r="Q10" s="82">
        <f>IF(ISNA(O10),NA(),'Suivi Carburant'!$B$5)</f>
        <v/>
      </c>
      <c r="S10" s="82">
        <f>IF(ISNUMBER('Suivi Carburant'!A24),'Suivi Carburant'!A24,NA())</f>
        <v/>
      </c>
      <c r="T10" s="82">
        <f>IF(OR('Suivi Carburant'!C24&lt;&gt;"Super 98",'Suivi Carburant'!J24=""),NA(),'Suivi Carburant'!J24)</f>
        <v/>
      </c>
      <c r="U10" s="82">
        <f>IF(OR('Suivi Carburant'!C24&lt;&gt;"SuperEthanol E85",'Suivi Carburant'!J24=""),NA(),'Suivi Carburant'!J24)</f>
        <v/>
      </c>
      <c r="W10" s="82">
        <f>IF(ISNUMBER('Suivi Carburant'!A24),'Suivi Carburant'!A24,NA())</f>
        <v/>
      </c>
      <c r="X10" s="82">
        <f>IF(OR('Suivi Carburant'!C24&lt;&gt;"Super 98",'Suivi Carburant'!H24=""),NA(),'Suivi Carburant'!H24)</f>
        <v/>
      </c>
      <c r="Y10" s="82">
        <f>IF(OR('Suivi Carburant'!C24&lt;&gt;"SuperEthanol E85",'Suivi Carburant'!H24=""),NA(),'Suivi Carburant'!H24)</f>
        <v/>
      </c>
      <c r="AA10" s="82">
        <f>IF(ISNUMBER('Suivi Carburant'!A24),'Suivi Carburant'!A24,NA())</f>
        <v/>
      </c>
      <c r="AB10" s="82">
        <f>IF(OR('Suivi Carburant'!G24="",NOT(ISNUMBER('Suivi Carburant'!G24))),NA(),'Suivi Carburant'!G24)</f>
        <v/>
      </c>
      <c r="AC10" s="82">
        <f>IF(OR('Suivi Carburant'!K24="",NOT(ISNUMBER('Suivi Carburant'!K24))),NA(),'Suivi Carburant'!K24)</f>
        <v/>
      </c>
      <c r="AE10" s="82" t="n">
        <v>8</v>
      </c>
      <c r="AF10" s="82">
        <f>IFERROR(VLOOKUP(AE10,$O$2:$P$32,2,FALSE),NA())</f>
        <v/>
      </c>
      <c r="AG10" s="82">
        <f>'Suivi Carburant'!$B$5</f>
        <v/>
      </c>
    </row>
    <row r="11">
      <c r="O11" s="82">
        <f>IF(COUNTIFS('Suivi Carburant'!$C$16:$C$46,"SuperEthanol E85",'Suivi Carburant'!$N$16:$N$46,"&gt;=0")&gt;=ROW(O10)-1,ROW(O10)-1,NA())</f>
        <v/>
      </c>
      <c r="P11" s="82">
        <f t="array" ref="P11">IFERROR(INDEX('Suivi Carburant'!$N$16:$N$46,SMALL(IF(('Suivi Carburant'!$C$16:$C$46="SuperEthanol E85")*ISNUMBER('Suivi Carburant'!$N$16:$N$46),ROW('Suivi Carburant'!$C$16:$C$46)-ROW('Suivi Carburant'!$C$16)+1),9)),NA())</f>
        <v/>
      </c>
      <c r="Q11" s="82">
        <f>IF(ISNA(O11),NA(),'Suivi Carburant'!$B$5)</f>
        <v/>
      </c>
      <c r="S11" s="82">
        <f>IF(ISNUMBER('Suivi Carburant'!A26),'Suivi Carburant'!A26,NA())</f>
        <v/>
      </c>
      <c r="T11" s="82">
        <f>IF(OR('Suivi Carburant'!C26&lt;&gt;"Super 98",'Suivi Carburant'!J26=""),NA(),'Suivi Carburant'!J26)</f>
        <v/>
      </c>
      <c r="U11" s="82">
        <f>IF(OR('Suivi Carburant'!C26&lt;&gt;"SuperEthanol E85",'Suivi Carburant'!J26=""),NA(),'Suivi Carburant'!J26)</f>
        <v/>
      </c>
      <c r="W11" s="82">
        <f>IF(ISNUMBER('Suivi Carburant'!A26),'Suivi Carburant'!A26,NA())</f>
        <v/>
      </c>
      <c r="X11" s="82">
        <f>IF(OR('Suivi Carburant'!C26&lt;&gt;"Super 98",'Suivi Carburant'!H26=""),NA(),'Suivi Carburant'!H26)</f>
        <v/>
      </c>
      <c r="Y11" s="82">
        <f>IF(OR('Suivi Carburant'!C26&lt;&gt;"SuperEthanol E85",'Suivi Carburant'!H26=""),NA(),'Suivi Carburant'!H26)</f>
        <v/>
      </c>
      <c r="AA11" s="82">
        <f>IF(ISNUMBER('Suivi Carburant'!A26),'Suivi Carburant'!A26,NA())</f>
        <v/>
      </c>
      <c r="AB11" s="82">
        <f>IF(OR('Suivi Carburant'!G26="",NOT(ISNUMBER('Suivi Carburant'!G26))),NA(),'Suivi Carburant'!G26)</f>
        <v/>
      </c>
      <c r="AC11" s="82">
        <f>IF(OR('Suivi Carburant'!K26="",NOT(ISNUMBER('Suivi Carburant'!K26))),NA(),'Suivi Carburant'!K26)</f>
        <v/>
      </c>
      <c r="AE11" s="82" t="n">
        <v>9</v>
      </c>
      <c r="AF11" s="82">
        <f>IFERROR(VLOOKUP(AE11,$O$2:$P$32,2,FALSE),NA())</f>
        <v/>
      </c>
      <c r="AG11" s="82">
        <f>'Suivi Carburant'!$B$5</f>
        <v/>
      </c>
    </row>
    <row r="12">
      <c r="O12" s="82">
        <f>IF(COUNTIFS('Suivi Carburant'!$C$16:$C$46,"SuperEthanol E85",'Suivi Carburant'!$N$16:$N$46,"&gt;=0")&gt;=ROW(O11)-1,ROW(O11)-1,NA())</f>
        <v/>
      </c>
      <c r="P12" s="82">
        <f t="array" ref="P12">IFERROR(INDEX('Suivi Carburant'!$N$16:$N$46,SMALL(IF(('Suivi Carburant'!$C$16:$C$46="SuperEthanol E85")*ISNUMBER('Suivi Carburant'!$N$16:$N$46),ROW('Suivi Carburant'!$C$16:$C$46)-ROW('Suivi Carburant'!$C$16)+1),10)),NA())</f>
        <v/>
      </c>
      <c r="Q12" s="82">
        <f>IF(ISNA(O12),NA(),'Suivi Carburant'!$B$5)</f>
        <v/>
      </c>
      <c r="S12" s="82">
        <f>IF(ISNUMBER('Suivi Carburant'!A27),'Suivi Carburant'!A27,NA())</f>
        <v/>
      </c>
      <c r="T12" s="82">
        <f>IF(OR('Suivi Carburant'!C27&lt;&gt;"Super 98",'Suivi Carburant'!J27=""),NA(),'Suivi Carburant'!J27)</f>
        <v/>
      </c>
      <c r="U12" s="82">
        <f>IF(OR('Suivi Carburant'!C27&lt;&gt;"SuperEthanol E85",'Suivi Carburant'!J27=""),NA(),'Suivi Carburant'!J27)</f>
        <v/>
      </c>
      <c r="W12" s="82">
        <f>IF(ISNUMBER('Suivi Carburant'!A27),'Suivi Carburant'!A27,NA())</f>
        <v/>
      </c>
      <c r="X12" s="82">
        <f>IF(OR('Suivi Carburant'!C27&lt;&gt;"Super 98",'Suivi Carburant'!H27=""),NA(),'Suivi Carburant'!H27)</f>
        <v/>
      </c>
      <c r="Y12" s="82">
        <f>IF(OR('Suivi Carburant'!C27&lt;&gt;"SuperEthanol E85",'Suivi Carburant'!H27=""),NA(),'Suivi Carburant'!H27)</f>
        <v/>
      </c>
      <c r="AA12" s="82">
        <f>IF(ISNUMBER('Suivi Carburant'!A27),'Suivi Carburant'!A27,NA())</f>
        <v/>
      </c>
      <c r="AB12" s="82">
        <f>IF(OR('Suivi Carburant'!G27="",NOT(ISNUMBER('Suivi Carburant'!G27))),NA(),'Suivi Carburant'!G27)</f>
        <v/>
      </c>
      <c r="AC12" s="82">
        <f>IF(OR('Suivi Carburant'!K27="",NOT(ISNUMBER('Suivi Carburant'!K27))),NA(),'Suivi Carburant'!K27)</f>
        <v/>
      </c>
      <c r="AE12" s="82" t="n">
        <v>10</v>
      </c>
      <c r="AF12" s="82">
        <f>IFERROR(VLOOKUP(AE12,$O$2:$P$32,2,FALSE),NA())</f>
        <v/>
      </c>
      <c r="AG12" s="82">
        <f>'Suivi Carburant'!$B$5</f>
        <v/>
      </c>
    </row>
    <row r="13">
      <c r="O13" s="82">
        <f>IF(COUNTIFS('Suivi Carburant'!$C$16:$C$46,"SuperEthanol E85",'Suivi Carburant'!$N$16:$N$46,"&gt;=0")&gt;=ROW(O12)-1,ROW(O12)-1,NA())</f>
        <v/>
      </c>
      <c r="P13" s="82">
        <f t="array" ref="P13">IFERROR(INDEX('Suivi Carburant'!$N$16:$N$46,SMALL(IF(('Suivi Carburant'!$C$16:$C$46="SuperEthanol E85")*ISNUMBER('Suivi Carburant'!$N$16:$N$46),ROW('Suivi Carburant'!$C$16:$C$46)-ROW('Suivi Carburant'!$C$16)+1),11)),NA())</f>
        <v/>
      </c>
      <c r="Q13" s="82">
        <f>IF(ISNA(O13),NA(),'Suivi Carburant'!$B$5)</f>
        <v/>
      </c>
      <c r="S13" s="82">
        <f>IF(ISNUMBER('Suivi Carburant'!A28),'Suivi Carburant'!A28,NA())</f>
        <v/>
      </c>
      <c r="T13" s="82">
        <f>IF(OR('Suivi Carburant'!C28&lt;&gt;"Super 98",'Suivi Carburant'!J28=""),NA(),'Suivi Carburant'!J28)</f>
        <v/>
      </c>
      <c r="U13" s="82">
        <f>IF(OR('Suivi Carburant'!C28&lt;&gt;"SuperEthanol E85",'Suivi Carburant'!J28=""),NA(),'Suivi Carburant'!J28)</f>
        <v/>
      </c>
      <c r="W13" s="82">
        <f>IF(ISNUMBER('Suivi Carburant'!A28),'Suivi Carburant'!A28,NA())</f>
        <v/>
      </c>
      <c r="X13" s="82">
        <f>IF(OR('Suivi Carburant'!C28&lt;&gt;"Super 98",'Suivi Carburant'!H28=""),NA(),'Suivi Carburant'!H28)</f>
        <v/>
      </c>
      <c r="Y13" s="82">
        <f>IF(OR('Suivi Carburant'!C28&lt;&gt;"SuperEthanol E85",'Suivi Carburant'!H28=""),NA(),'Suivi Carburant'!H28)</f>
        <v/>
      </c>
      <c r="AA13" s="82">
        <f>IF(ISNUMBER('Suivi Carburant'!A28),'Suivi Carburant'!A28,NA())</f>
        <v/>
      </c>
      <c r="AB13" s="82">
        <f>IF(OR('Suivi Carburant'!G28="",NOT(ISNUMBER('Suivi Carburant'!G28))),NA(),'Suivi Carburant'!G28)</f>
        <v/>
      </c>
      <c r="AC13" s="82">
        <f>IF(OR('Suivi Carburant'!K28="",NOT(ISNUMBER('Suivi Carburant'!K28))),NA(),'Suivi Carburant'!K28)</f>
        <v/>
      </c>
      <c r="AE13" s="82" t="n">
        <v>11</v>
      </c>
      <c r="AF13" s="82">
        <f>IFERROR(VLOOKUP(AE13,$O$2:$P$32,2,FALSE),NA())</f>
        <v/>
      </c>
      <c r="AG13" s="82">
        <f>'Suivi Carburant'!$B$5</f>
        <v/>
      </c>
    </row>
    <row r="14">
      <c r="O14" s="82">
        <f>IF(COUNTIFS('Suivi Carburant'!$C$16:$C$46,"SuperEthanol E85",'Suivi Carburant'!$N$16:$N$46,"&gt;=0")&gt;=ROW(O13)-1,ROW(O13)-1,NA())</f>
        <v/>
      </c>
      <c r="P14" s="82">
        <f t="array" ref="P14">IFERROR(INDEX('Suivi Carburant'!$N$16:$N$46,SMALL(IF(('Suivi Carburant'!$C$16:$C$46="SuperEthanol E85")*ISNUMBER('Suivi Carburant'!$N$16:$N$46),ROW('Suivi Carburant'!$C$16:$C$46)-ROW('Suivi Carburant'!$C$16)+1),12)),NA())</f>
        <v/>
      </c>
      <c r="Q14" s="82">
        <f>IF(ISNA(O14),NA(),'Suivi Carburant'!$B$5)</f>
        <v/>
      </c>
      <c r="S14" s="82">
        <f>IF(ISNUMBER('Suivi Carburant'!A29),'Suivi Carburant'!A29,NA())</f>
        <v/>
      </c>
      <c r="T14" s="82">
        <f>IF(OR('Suivi Carburant'!C29&lt;&gt;"Super 98",'Suivi Carburant'!J29=""),NA(),'Suivi Carburant'!J29)</f>
        <v/>
      </c>
      <c r="U14" s="82">
        <f>IF(OR('Suivi Carburant'!C29&lt;&gt;"SuperEthanol E85",'Suivi Carburant'!J29=""),NA(),'Suivi Carburant'!J29)</f>
        <v/>
      </c>
      <c r="W14" s="82">
        <f>IF(ISNUMBER('Suivi Carburant'!A29),'Suivi Carburant'!A29,NA())</f>
        <v/>
      </c>
      <c r="X14" s="82">
        <f>IF(OR('Suivi Carburant'!C29&lt;&gt;"Super 98",'Suivi Carburant'!H29=""),NA(),'Suivi Carburant'!H29)</f>
        <v/>
      </c>
      <c r="Y14" s="82">
        <f>IF(OR('Suivi Carburant'!C29&lt;&gt;"SuperEthanol E85",'Suivi Carburant'!H29=""),NA(),'Suivi Carburant'!H29)</f>
        <v/>
      </c>
      <c r="AA14" s="82">
        <f>IF(ISNUMBER('Suivi Carburant'!A29),'Suivi Carburant'!A29,NA())</f>
        <v/>
      </c>
      <c r="AB14" s="82">
        <f>IF(OR('Suivi Carburant'!G29="",NOT(ISNUMBER('Suivi Carburant'!G29))),NA(),'Suivi Carburant'!G29)</f>
        <v/>
      </c>
      <c r="AC14" s="82">
        <f>IF(OR('Suivi Carburant'!K29="",NOT(ISNUMBER('Suivi Carburant'!K29))),NA(),'Suivi Carburant'!K29)</f>
        <v/>
      </c>
      <c r="AE14" s="82" t="n">
        <v>12</v>
      </c>
      <c r="AF14" s="82">
        <f>IFERROR(VLOOKUP(AE14,$O$2:$P$32,2,FALSE),NA())</f>
        <v/>
      </c>
      <c r="AG14" s="82">
        <f>'Suivi Carburant'!$B$5</f>
        <v/>
      </c>
    </row>
    <row r="15">
      <c r="O15" s="82">
        <f>IF(COUNTIFS('Suivi Carburant'!$C$16:$C$46,"SuperEthanol E85",'Suivi Carburant'!$N$16:$N$46,"&gt;=0")&gt;=ROW(O14)-1,ROW(O14)-1,NA())</f>
        <v/>
      </c>
      <c r="P15" s="82">
        <f t="array" ref="P15">IFERROR(INDEX('Suivi Carburant'!$N$16:$N$46,SMALL(IF(('Suivi Carburant'!$C$16:$C$46="SuperEthanol E85")*ISNUMBER('Suivi Carburant'!$N$16:$N$46),ROW('Suivi Carburant'!$C$16:$C$46)-ROW('Suivi Carburant'!$C$16)+1),13)),NA())</f>
        <v/>
      </c>
      <c r="Q15" s="82">
        <f>IF(ISNA(O15),NA(),'Suivi Carburant'!$B$5)</f>
        <v/>
      </c>
      <c r="S15" s="82">
        <f>IF(ISNUMBER('Suivi Carburant'!A30),'Suivi Carburant'!A30,NA())</f>
        <v/>
      </c>
      <c r="T15" s="82">
        <f>IF(OR('Suivi Carburant'!C30&lt;&gt;"Super 98",'Suivi Carburant'!J30=""),NA(),'Suivi Carburant'!J30)</f>
        <v/>
      </c>
      <c r="U15" s="82">
        <f>IF(OR('Suivi Carburant'!C30&lt;&gt;"SuperEthanol E85",'Suivi Carburant'!J30=""),NA(),'Suivi Carburant'!J30)</f>
        <v/>
      </c>
      <c r="W15" s="82">
        <f>IF(ISNUMBER('Suivi Carburant'!A30),'Suivi Carburant'!A30,NA())</f>
        <v/>
      </c>
      <c r="X15" s="82">
        <f>IF(OR('Suivi Carburant'!C30&lt;&gt;"Super 98",'Suivi Carburant'!H30=""),NA(),'Suivi Carburant'!H30)</f>
        <v/>
      </c>
      <c r="Y15" s="82">
        <f>IF(OR('Suivi Carburant'!C30&lt;&gt;"SuperEthanol E85",'Suivi Carburant'!H30=""),NA(),'Suivi Carburant'!H30)</f>
        <v/>
      </c>
      <c r="AA15" s="82">
        <f>IF(ISNUMBER('Suivi Carburant'!A30),'Suivi Carburant'!A30,NA())</f>
        <v/>
      </c>
      <c r="AB15" s="82">
        <f>IF(OR('Suivi Carburant'!G30="",NOT(ISNUMBER('Suivi Carburant'!G30))),NA(),'Suivi Carburant'!G30)</f>
        <v/>
      </c>
      <c r="AC15" s="82">
        <f>IF(OR('Suivi Carburant'!K30="",NOT(ISNUMBER('Suivi Carburant'!K30))),NA(),'Suivi Carburant'!K30)</f>
        <v/>
      </c>
      <c r="AE15" s="82" t="n">
        <v>13</v>
      </c>
      <c r="AF15" s="82">
        <f>IFERROR(VLOOKUP(AE15,$O$2:$P$32,2,FALSE),NA())</f>
        <v/>
      </c>
      <c r="AG15" s="82">
        <f>'Suivi Carburant'!$B$5</f>
        <v/>
      </c>
    </row>
    <row r="16">
      <c r="O16" s="82">
        <f>IF(COUNTIFS('Suivi Carburant'!$C$16:$C$46,"SuperEthanol E85",'Suivi Carburant'!$N$16:$N$46,"&gt;=0")&gt;=ROW(O15)-1,ROW(O15)-1,NA())</f>
        <v/>
      </c>
      <c r="P16" s="82">
        <f t="array" ref="P16">IFERROR(INDEX('Suivi Carburant'!$N$16:$N$46,SMALL(IF(('Suivi Carburant'!$C$16:$C$46="SuperEthanol E85")*ISNUMBER('Suivi Carburant'!$N$16:$N$46),ROW('Suivi Carburant'!$C$16:$C$46)-ROW('Suivi Carburant'!$C$16)+1),14)),NA())</f>
        <v/>
      </c>
      <c r="Q16" s="82">
        <f>IF(ISNA(O16),NA(),'Suivi Carburant'!$B$5)</f>
        <v/>
      </c>
      <c r="S16" s="82">
        <f>IF(ISNUMBER('Suivi Carburant'!A31),'Suivi Carburant'!A31,NA())</f>
        <v/>
      </c>
      <c r="T16" s="82">
        <f>IF(OR('Suivi Carburant'!C31&lt;&gt;"Super 98",'Suivi Carburant'!J31=""),NA(),'Suivi Carburant'!J31)</f>
        <v/>
      </c>
      <c r="U16" s="82">
        <f>IF(OR('Suivi Carburant'!C31&lt;&gt;"SuperEthanol E85",'Suivi Carburant'!J31=""),NA(),'Suivi Carburant'!J31)</f>
        <v/>
      </c>
      <c r="W16" s="82">
        <f>IF(ISNUMBER('Suivi Carburant'!A31),'Suivi Carburant'!A31,NA())</f>
        <v/>
      </c>
      <c r="X16" s="82">
        <f>IF(OR('Suivi Carburant'!C31&lt;&gt;"Super 98",'Suivi Carburant'!H31=""),NA(),'Suivi Carburant'!H31)</f>
        <v/>
      </c>
      <c r="Y16" s="82">
        <f>IF(OR('Suivi Carburant'!C31&lt;&gt;"SuperEthanol E85",'Suivi Carburant'!H31=""),NA(),'Suivi Carburant'!H31)</f>
        <v/>
      </c>
      <c r="AA16" s="82">
        <f>IF(ISNUMBER('Suivi Carburant'!A31),'Suivi Carburant'!A31,NA())</f>
        <v/>
      </c>
      <c r="AB16" s="82">
        <f>IF(OR('Suivi Carburant'!G31="",NOT(ISNUMBER('Suivi Carburant'!G31))),NA(),'Suivi Carburant'!G31)</f>
        <v/>
      </c>
      <c r="AC16" s="82">
        <f>IF(OR('Suivi Carburant'!K31="",NOT(ISNUMBER('Suivi Carburant'!K31))),NA(),'Suivi Carburant'!K31)</f>
        <v/>
      </c>
      <c r="AE16" s="82" t="n">
        <v>14</v>
      </c>
      <c r="AF16" s="82">
        <f>IFERROR(VLOOKUP(AE16,$O$2:$P$32,2,FALSE),NA())</f>
        <v/>
      </c>
      <c r="AG16" s="82">
        <f>'Suivi Carburant'!$B$5</f>
        <v/>
      </c>
    </row>
    <row r="17">
      <c r="O17" s="82">
        <f>IF(COUNTIFS('Suivi Carburant'!$C$16:$C$46,"SuperEthanol E85",'Suivi Carburant'!$N$16:$N$46,"&gt;=0")&gt;=ROW(O16)-1,ROW(O16)-1,NA())</f>
        <v/>
      </c>
      <c r="P17" s="82">
        <f t="array" ref="P17">IFERROR(INDEX('Suivi Carburant'!$N$16:$N$46,SMALL(IF(('Suivi Carburant'!$C$16:$C$46="SuperEthanol E85")*ISNUMBER('Suivi Carburant'!$N$16:$N$46),ROW('Suivi Carburant'!$C$16:$C$46)-ROW('Suivi Carburant'!$C$16)+1),15)),NA())</f>
        <v/>
      </c>
      <c r="Q17" s="82">
        <f>IF(ISNA(O17),NA(),'Suivi Carburant'!$B$5)</f>
        <v/>
      </c>
      <c r="S17" s="82">
        <f>IF(ISNUMBER('Suivi Carburant'!A32),'Suivi Carburant'!A32,NA())</f>
        <v/>
      </c>
      <c r="T17" s="82">
        <f>IF(OR('Suivi Carburant'!C32&lt;&gt;"Super 98",'Suivi Carburant'!J32=""),NA(),'Suivi Carburant'!J32)</f>
        <v/>
      </c>
      <c r="U17" s="82">
        <f>IF(OR('Suivi Carburant'!C32&lt;&gt;"SuperEthanol E85",'Suivi Carburant'!J32=""),NA(),'Suivi Carburant'!J32)</f>
        <v/>
      </c>
      <c r="W17" s="82">
        <f>IF(ISNUMBER('Suivi Carburant'!A32),'Suivi Carburant'!A32,NA())</f>
        <v/>
      </c>
      <c r="X17" s="82">
        <f>IF(OR('Suivi Carburant'!C32&lt;&gt;"Super 98",'Suivi Carburant'!H32=""),NA(),'Suivi Carburant'!H32)</f>
        <v/>
      </c>
      <c r="Y17" s="82">
        <f>IF(OR('Suivi Carburant'!C32&lt;&gt;"SuperEthanol E85",'Suivi Carburant'!H32=""),NA(),'Suivi Carburant'!H32)</f>
        <v/>
      </c>
      <c r="AA17" s="82">
        <f>IF(ISNUMBER('Suivi Carburant'!A32),'Suivi Carburant'!A32,NA())</f>
        <v/>
      </c>
      <c r="AB17" s="82">
        <f>IF(OR('Suivi Carburant'!G32="",NOT(ISNUMBER('Suivi Carburant'!G32))),NA(),'Suivi Carburant'!G32)</f>
        <v/>
      </c>
      <c r="AC17" s="82">
        <f>IF(OR('Suivi Carburant'!K32="",NOT(ISNUMBER('Suivi Carburant'!K32))),NA(),'Suivi Carburant'!K32)</f>
        <v/>
      </c>
      <c r="AE17" s="82" t="n">
        <v>15</v>
      </c>
      <c r="AF17" s="82">
        <f>IFERROR(VLOOKUP(AE17,$O$2:$P$32,2,FALSE),NA())</f>
        <v/>
      </c>
      <c r="AG17" s="82">
        <f>'Suivi Carburant'!$B$5</f>
        <v/>
      </c>
    </row>
    <row r="18">
      <c r="O18" s="82">
        <f>IF(COUNTIFS('Suivi Carburant'!$C$16:$C$46,"SuperEthanol E85",'Suivi Carburant'!$N$16:$N$46,"&gt;=0")&gt;=ROW(O17)-1,ROW(O17)-1,NA())</f>
        <v/>
      </c>
      <c r="P18" s="82">
        <f t="array" ref="P18">IFERROR(INDEX('Suivi Carburant'!$N$16:$N$46,SMALL(IF(('Suivi Carburant'!$C$16:$C$46="SuperEthanol E85")*ISNUMBER('Suivi Carburant'!$N$16:$N$46),ROW('Suivi Carburant'!$C$16:$C$46)-ROW('Suivi Carburant'!$C$16)+1),16)),NA())</f>
        <v/>
      </c>
      <c r="Q18" s="82">
        <f>IF(ISNA(O18),NA(),'Suivi Carburant'!$B$5)</f>
        <v/>
      </c>
      <c r="S18" s="82">
        <f>IF(ISNUMBER('Suivi Carburant'!A33),'Suivi Carburant'!A33,NA())</f>
        <v/>
      </c>
      <c r="T18" s="82">
        <f>IF(OR('Suivi Carburant'!C33&lt;&gt;"Super 98",'Suivi Carburant'!J33=""),NA(),'Suivi Carburant'!J33)</f>
        <v/>
      </c>
      <c r="U18" s="82">
        <f>IF(OR('Suivi Carburant'!C33&lt;&gt;"SuperEthanol E85",'Suivi Carburant'!J33=""),NA(),'Suivi Carburant'!J33)</f>
        <v/>
      </c>
      <c r="W18" s="82">
        <f>IF(ISNUMBER('Suivi Carburant'!A33),'Suivi Carburant'!A33,NA())</f>
        <v/>
      </c>
      <c r="X18" s="82">
        <f>IF(OR('Suivi Carburant'!C33&lt;&gt;"Super 98",'Suivi Carburant'!H33=""),NA(),'Suivi Carburant'!H33)</f>
        <v/>
      </c>
      <c r="Y18" s="82">
        <f>IF(OR('Suivi Carburant'!C33&lt;&gt;"SuperEthanol E85",'Suivi Carburant'!H33=""),NA(),'Suivi Carburant'!H33)</f>
        <v/>
      </c>
      <c r="AA18" s="82">
        <f>IF(ISNUMBER('Suivi Carburant'!A33),'Suivi Carburant'!A33,NA())</f>
        <v/>
      </c>
      <c r="AB18" s="82">
        <f>IF(OR('Suivi Carburant'!G33="",NOT(ISNUMBER('Suivi Carburant'!G33))),NA(),'Suivi Carburant'!G33)</f>
        <v/>
      </c>
      <c r="AC18" s="82">
        <f>IF(OR('Suivi Carburant'!K33="",NOT(ISNUMBER('Suivi Carburant'!K33))),NA(),'Suivi Carburant'!K33)</f>
        <v/>
      </c>
      <c r="AE18" s="82" t="n">
        <v>16</v>
      </c>
      <c r="AF18" s="82">
        <f>IFERROR(VLOOKUP(AE18,$O$2:$P$32,2,FALSE),NA())</f>
        <v/>
      </c>
      <c r="AG18" s="82">
        <f>'Suivi Carburant'!$B$5</f>
        <v/>
      </c>
    </row>
    <row r="19">
      <c r="O19" s="82">
        <f>IF(COUNTIFS('Suivi Carburant'!$C$16:$C$46,"SuperEthanol E85",'Suivi Carburant'!$N$16:$N$46,"&gt;=0")&gt;=ROW(O18)-1,ROW(O18)-1,NA())</f>
        <v/>
      </c>
      <c r="P19" s="82">
        <f t="array" ref="P19">IFERROR(INDEX('Suivi Carburant'!$N$16:$N$46,SMALL(IF(('Suivi Carburant'!$C$16:$C$46="SuperEthanol E85")*ISNUMBER('Suivi Carburant'!$N$16:$N$46),ROW('Suivi Carburant'!$C$16:$C$46)-ROW('Suivi Carburant'!$C$16)+1),17)),NA())</f>
        <v/>
      </c>
      <c r="Q19" s="82">
        <f>IF(ISNA(O19),NA(),'Suivi Carburant'!$B$5)</f>
        <v/>
      </c>
      <c r="S19" s="82">
        <f>IF(ISNUMBER('Suivi Carburant'!A34),'Suivi Carburant'!A34,NA())</f>
        <v/>
      </c>
      <c r="T19" s="82">
        <f>IF(OR('Suivi Carburant'!C34&lt;&gt;"Super 98",'Suivi Carburant'!J34=""),NA(),'Suivi Carburant'!J34)</f>
        <v/>
      </c>
      <c r="U19" s="82">
        <f>IF(OR('Suivi Carburant'!C34&lt;&gt;"SuperEthanol E85",'Suivi Carburant'!J34=""),NA(),'Suivi Carburant'!J34)</f>
        <v/>
      </c>
      <c r="W19" s="82">
        <f>IF(ISNUMBER('Suivi Carburant'!A34),'Suivi Carburant'!A34,NA())</f>
        <v/>
      </c>
      <c r="X19" s="82">
        <f>IF(OR('Suivi Carburant'!C34&lt;&gt;"Super 98",'Suivi Carburant'!H34=""),NA(),'Suivi Carburant'!H34)</f>
        <v/>
      </c>
      <c r="Y19" s="82">
        <f>IF(OR('Suivi Carburant'!C34&lt;&gt;"SuperEthanol E85",'Suivi Carburant'!H34=""),NA(),'Suivi Carburant'!H34)</f>
        <v/>
      </c>
      <c r="AA19" s="82">
        <f>IF(ISNUMBER('Suivi Carburant'!A34),'Suivi Carburant'!A34,NA())</f>
        <v/>
      </c>
      <c r="AB19" s="82">
        <f>IF(OR('Suivi Carburant'!G34="",NOT(ISNUMBER('Suivi Carburant'!G34))),NA(),'Suivi Carburant'!G34)</f>
        <v/>
      </c>
      <c r="AC19" s="82">
        <f>IF(OR('Suivi Carburant'!K34="",NOT(ISNUMBER('Suivi Carburant'!K34))),NA(),'Suivi Carburant'!K34)</f>
        <v/>
      </c>
      <c r="AE19" s="82" t="n">
        <v>17</v>
      </c>
      <c r="AF19" s="82">
        <f>IFERROR(VLOOKUP(AE19,$O$2:$P$32,2,FALSE),NA())</f>
        <v/>
      </c>
      <c r="AG19" s="82">
        <f>'Suivi Carburant'!$B$5</f>
        <v/>
      </c>
    </row>
    <row r="20">
      <c r="O20" s="82">
        <f>IF(COUNTIFS('Suivi Carburant'!$C$16:$C$46,"SuperEthanol E85",'Suivi Carburant'!$N$16:$N$46,"&gt;=0")&gt;=ROW(O19)-1,ROW(O19)-1,NA())</f>
        <v/>
      </c>
      <c r="P20" s="82">
        <f t="array" ref="P20">IFERROR(INDEX('Suivi Carburant'!$N$16:$N$46,SMALL(IF(('Suivi Carburant'!$C$16:$C$46="SuperEthanol E85")*ISNUMBER('Suivi Carburant'!$N$16:$N$46),ROW('Suivi Carburant'!$C$16:$C$46)-ROW('Suivi Carburant'!$C$16)+1),18)),NA())</f>
        <v/>
      </c>
      <c r="Q20" s="82">
        <f>IF(ISNA(O20),NA(),'Suivi Carburant'!$B$5)</f>
        <v/>
      </c>
      <c r="S20" s="82">
        <f>IF(ISNUMBER('Suivi Carburant'!A35),'Suivi Carburant'!A35,NA())</f>
        <v/>
      </c>
      <c r="T20" s="82">
        <f>IF(OR('Suivi Carburant'!C35&lt;&gt;"Super 98",'Suivi Carburant'!J35=""),NA(),'Suivi Carburant'!J35)</f>
        <v/>
      </c>
      <c r="U20" s="82">
        <f>IF(OR('Suivi Carburant'!C35&lt;&gt;"SuperEthanol E85",'Suivi Carburant'!J35=""),NA(),'Suivi Carburant'!J35)</f>
        <v/>
      </c>
      <c r="W20" s="82">
        <f>IF(ISNUMBER('Suivi Carburant'!A35),'Suivi Carburant'!A35,NA())</f>
        <v/>
      </c>
      <c r="X20" s="82">
        <f>IF(OR('Suivi Carburant'!C35&lt;&gt;"Super 98",'Suivi Carburant'!H35=""),NA(),'Suivi Carburant'!H35)</f>
        <v/>
      </c>
      <c r="Y20" s="82">
        <f>IF(OR('Suivi Carburant'!C35&lt;&gt;"SuperEthanol E85",'Suivi Carburant'!H35=""),NA(),'Suivi Carburant'!H35)</f>
        <v/>
      </c>
      <c r="AA20" s="82">
        <f>IF(ISNUMBER('Suivi Carburant'!A35),'Suivi Carburant'!A35,NA())</f>
        <v/>
      </c>
      <c r="AB20" s="82">
        <f>IF(OR('Suivi Carburant'!G35="",NOT(ISNUMBER('Suivi Carburant'!G35))),NA(),'Suivi Carburant'!G35)</f>
        <v/>
      </c>
      <c r="AC20" s="82">
        <f>IF(OR('Suivi Carburant'!K35="",NOT(ISNUMBER('Suivi Carburant'!K35))),NA(),'Suivi Carburant'!K35)</f>
        <v/>
      </c>
      <c r="AE20" s="82" t="n">
        <v>18</v>
      </c>
      <c r="AF20" s="82">
        <f>IFERROR(VLOOKUP(AE20,$O$2:$P$32,2,FALSE),NA())</f>
        <v/>
      </c>
      <c r="AG20" s="82">
        <f>'Suivi Carburant'!$B$5</f>
        <v/>
      </c>
    </row>
    <row r="21">
      <c r="O21" s="82">
        <f>IF(COUNTIFS('Suivi Carburant'!$C$16:$C$46,"SuperEthanol E85",'Suivi Carburant'!$N$16:$N$46,"&gt;=0")&gt;=ROW(O20)-1,ROW(O20)-1,NA())</f>
        <v/>
      </c>
      <c r="P21" s="82">
        <f t="array" ref="P21">IFERROR(INDEX('Suivi Carburant'!$N$16:$N$46,SMALL(IF(('Suivi Carburant'!$C$16:$C$46="SuperEthanol E85")*ISNUMBER('Suivi Carburant'!$N$16:$N$46),ROW('Suivi Carburant'!$C$16:$C$46)-ROW('Suivi Carburant'!$C$16)+1),19)),NA())</f>
        <v/>
      </c>
      <c r="Q21" s="82">
        <f>IF(ISNA(O21),NA(),'Suivi Carburant'!$B$5)</f>
        <v/>
      </c>
      <c r="S21" s="82">
        <f>IF(ISNUMBER('Suivi Carburant'!A36),'Suivi Carburant'!A36,NA())</f>
        <v/>
      </c>
      <c r="T21" s="82">
        <f>IF(OR('Suivi Carburant'!C36&lt;&gt;"Super 98",'Suivi Carburant'!J36=""),NA(),'Suivi Carburant'!J36)</f>
        <v/>
      </c>
      <c r="U21" s="82">
        <f>IF(OR('Suivi Carburant'!C36&lt;&gt;"SuperEthanol E85",'Suivi Carburant'!J36=""),NA(),'Suivi Carburant'!J36)</f>
        <v/>
      </c>
      <c r="W21" s="82">
        <f>IF(ISNUMBER('Suivi Carburant'!A36),'Suivi Carburant'!A36,NA())</f>
        <v/>
      </c>
      <c r="X21" s="82">
        <f>IF(OR('Suivi Carburant'!C36&lt;&gt;"Super 98",'Suivi Carburant'!H36=""),NA(),'Suivi Carburant'!H36)</f>
        <v/>
      </c>
      <c r="Y21" s="82">
        <f>IF(OR('Suivi Carburant'!C36&lt;&gt;"SuperEthanol E85",'Suivi Carburant'!H36=""),NA(),'Suivi Carburant'!H36)</f>
        <v/>
      </c>
      <c r="AA21" s="82">
        <f>IF(ISNUMBER('Suivi Carburant'!A36),'Suivi Carburant'!A36,NA())</f>
        <v/>
      </c>
      <c r="AB21" s="82">
        <f>IF(OR('Suivi Carburant'!G36="",NOT(ISNUMBER('Suivi Carburant'!G36))),NA(),'Suivi Carburant'!G36)</f>
        <v/>
      </c>
      <c r="AC21" s="82">
        <f>IF(OR('Suivi Carburant'!K36="",NOT(ISNUMBER('Suivi Carburant'!K36))),NA(),'Suivi Carburant'!K36)</f>
        <v/>
      </c>
      <c r="AE21" s="82" t="n">
        <v>19</v>
      </c>
      <c r="AF21" s="82">
        <f>IFERROR(VLOOKUP(AE21,$O$2:$P$32,2,FALSE),NA())</f>
        <v/>
      </c>
      <c r="AG21" s="82">
        <f>'Suivi Carburant'!$B$5</f>
        <v/>
      </c>
    </row>
    <row r="22">
      <c r="O22" s="82">
        <f>IF(COUNTIFS('Suivi Carburant'!$C$16:$C$46,"SuperEthanol E85",'Suivi Carburant'!$N$16:$N$46,"&gt;=0")&gt;=ROW(O21)-1,ROW(O21)-1,NA())</f>
        <v/>
      </c>
      <c r="P22" s="82">
        <f t="array" ref="P22">IFERROR(INDEX('Suivi Carburant'!$N$16:$N$46,SMALL(IF(('Suivi Carburant'!$C$16:$C$46="SuperEthanol E85")*ISNUMBER('Suivi Carburant'!$N$16:$N$46),ROW('Suivi Carburant'!$C$16:$C$46)-ROW('Suivi Carburant'!$C$16)+1),20)),NA())</f>
        <v/>
      </c>
      <c r="Q22" s="82">
        <f>IF(ISNA(O22),NA(),'Suivi Carburant'!$B$5)</f>
        <v/>
      </c>
      <c r="S22" s="82">
        <f>IF(ISNUMBER('Suivi Carburant'!A37),'Suivi Carburant'!A37,NA())</f>
        <v/>
      </c>
      <c r="T22" s="82">
        <f>IF(OR('Suivi Carburant'!C37&lt;&gt;"Super 98",'Suivi Carburant'!J37=""),NA(),'Suivi Carburant'!J37)</f>
        <v/>
      </c>
      <c r="U22" s="82">
        <f>IF(OR('Suivi Carburant'!C37&lt;&gt;"SuperEthanol E85",'Suivi Carburant'!J37=""),NA(),'Suivi Carburant'!J37)</f>
        <v/>
      </c>
      <c r="W22" s="82">
        <f>IF(ISNUMBER('Suivi Carburant'!A37),'Suivi Carburant'!A37,NA())</f>
        <v/>
      </c>
      <c r="X22" s="82">
        <f>IF(OR('Suivi Carburant'!C37&lt;&gt;"Super 98",'Suivi Carburant'!H37=""),NA(),'Suivi Carburant'!H37)</f>
        <v/>
      </c>
      <c r="Y22" s="82">
        <f>IF(OR('Suivi Carburant'!C37&lt;&gt;"SuperEthanol E85",'Suivi Carburant'!H37=""),NA(),'Suivi Carburant'!H37)</f>
        <v/>
      </c>
      <c r="AA22" s="82">
        <f>IF(ISNUMBER('Suivi Carburant'!A37),'Suivi Carburant'!A37,NA())</f>
        <v/>
      </c>
      <c r="AB22" s="82">
        <f>IF(OR('Suivi Carburant'!G37="",NOT(ISNUMBER('Suivi Carburant'!G37))),NA(),'Suivi Carburant'!G37)</f>
        <v/>
      </c>
      <c r="AC22" s="82">
        <f>IF(OR('Suivi Carburant'!K37="",NOT(ISNUMBER('Suivi Carburant'!K37))),NA(),'Suivi Carburant'!K37)</f>
        <v/>
      </c>
      <c r="AE22" s="82" t="n">
        <v>20</v>
      </c>
      <c r="AF22" s="82">
        <f>IFERROR(VLOOKUP(AE22,$O$2:$P$32,2,FALSE),NA())</f>
        <v/>
      </c>
      <c r="AG22" s="82">
        <f>'Suivi Carburant'!$B$5</f>
        <v/>
      </c>
    </row>
    <row r="23">
      <c r="O23" s="82">
        <f>IF(COUNTIFS('Suivi Carburant'!$C$16:$C$46,"SuperEthanol E85",'Suivi Carburant'!$N$16:$N$46,"&gt;=0")&gt;=ROW(O22)-1,ROW(O22)-1,NA())</f>
        <v/>
      </c>
      <c r="P23" s="82">
        <f t="array" ref="P23">IFERROR(INDEX('Suivi Carburant'!$N$16:$N$46,SMALL(IF(('Suivi Carburant'!$C$16:$C$46="SuperEthanol E85")*ISNUMBER('Suivi Carburant'!$N$16:$N$46),ROW('Suivi Carburant'!$C$16:$C$46)-ROW('Suivi Carburant'!$C$16)+1),21)),NA())</f>
        <v/>
      </c>
      <c r="Q23" s="82">
        <f>IF(ISNA(O23),NA(),'Suivi Carburant'!$B$5)</f>
        <v/>
      </c>
      <c r="S23" s="82">
        <f>IF(ISNUMBER('Suivi Carburant'!A38),'Suivi Carburant'!A38,NA())</f>
        <v/>
      </c>
      <c r="T23" s="82">
        <f>IF(OR('Suivi Carburant'!C38&lt;&gt;"Super 98",'Suivi Carburant'!J38=""),NA(),'Suivi Carburant'!J38)</f>
        <v/>
      </c>
      <c r="U23" s="82">
        <f>IF(OR('Suivi Carburant'!C38&lt;&gt;"SuperEthanol E85",'Suivi Carburant'!J38=""),NA(),'Suivi Carburant'!J38)</f>
        <v/>
      </c>
      <c r="W23" s="82">
        <f>IF(ISNUMBER('Suivi Carburant'!A38),'Suivi Carburant'!A38,NA())</f>
        <v/>
      </c>
      <c r="X23" s="82">
        <f>IF(OR('Suivi Carburant'!C38&lt;&gt;"Super 98",'Suivi Carburant'!H38=""),NA(),'Suivi Carburant'!H38)</f>
        <v/>
      </c>
      <c r="Y23" s="82">
        <f>IF(OR('Suivi Carburant'!C38&lt;&gt;"SuperEthanol E85",'Suivi Carburant'!H38=""),NA(),'Suivi Carburant'!H38)</f>
        <v/>
      </c>
      <c r="AA23" s="82">
        <f>IF(ISNUMBER('Suivi Carburant'!A38),'Suivi Carburant'!A38,NA())</f>
        <v/>
      </c>
      <c r="AB23" s="82">
        <f>IF(OR('Suivi Carburant'!G38="",NOT(ISNUMBER('Suivi Carburant'!G38))),NA(),'Suivi Carburant'!G38)</f>
        <v/>
      </c>
      <c r="AC23" s="82">
        <f>IF(OR('Suivi Carburant'!K38="",NOT(ISNUMBER('Suivi Carburant'!K38))),NA(),'Suivi Carburant'!K38)</f>
        <v/>
      </c>
      <c r="AE23" s="82" t="n">
        <v>21</v>
      </c>
      <c r="AF23" s="82">
        <f>IFERROR(VLOOKUP(AE23,$O$2:$P$32,2,FALSE),NA())</f>
        <v/>
      </c>
      <c r="AG23" s="82">
        <f>'Suivi Carburant'!$B$5</f>
        <v/>
      </c>
    </row>
    <row r="24">
      <c r="O24" s="82">
        <f>IF(COUNTIFS('Suivi Carburant'!$C$16:$C$46,"SuperEthanol E85",'Suivi Carburant'!$N$16:$N$46,"&gt;=0")&gt;=ROW(O23)-1,ROW(O23)-1,NA())</f>
        <v/>
      </c>
      <c r="P24" s="82">
        <f t="array" ref="P24">IFERROR(INDEX('Suivi Carburant'!$N$16:$N$46,SMALL(IF(('Suivi Carburant'!$C$16:$C$46="SuperEthanol E85")*ISNUMBER('Suivi Carburant'!$N$16:$N$46),ROW('Suivi Carburant'!$C$16:$C$46)-ROW('Suivi Carburant'!$C$16)+1),22)),NA())</f>
        <v/>
      </c>
      <c r="Q24" s="82">
        <f>IF(ISNA(O24),NA(),'Suivi Carburant'!$B$5)</f>
        <v/>
      </c>
      <c r="S24" s="82">
        <f>IF(ISNUMBER('Suivi Carburant'!A39),'Suivi Carburant'!A39,NA())</f>
        <v/>
      </c>
      <c r="T24" s="82">
        <f>IF(OR('Suivi Carburant'!C39&lt;&gt;"Super 98",'Suivi Carburant'!J39=""),NA(),'Suivi Carburant'!J39)</f>
        <v/>
      </c>
      <c r="U24" s="82">
        <f>IF(OR('Suivi Carburant'!C39&lt;&gt;"SuperEthanol E85",'Suivi Carburant'!J39=""),NA(),'Suivi Carburant'!J39)</f>
        <v/>
      </c>
      <c r="W24" s="82">
        <f>IF(ISNUMBER('Suivi Carburant'!A39),'Suivi Carburant'!A39,NA())</f>
        <v/>
      </c>
      <c r="X24" s="82">
        <f>IF(OR('Suivi Carburant'!C39&lt;&gt;"Super 98",'Suivi Carburant'!H39=""),NA(),'Suivi Carburant'!H39)</f>
        <v/>
      </c>
      <c r="Y24" s="82">
        <f>IF(OR('Suivi Carburant'!C39&lt;&gt;"SuperEthanol E85",'Suivi Carburant'!H39=""),NA(),'Suivi Carburant'!H39)</f>
        <v/>
      </c>
      <c r="AA24" s="82">
        <f>IF(ISNUMBER('Suivi Carburant'!A39),'Suivi Carburant'!A39,NA())</f>
        <v/>
      </c>
      <c r="AB24" s="82">
        <f>IF(OR('Suivi Carburant'!G39="",NOT(ISNUMBER('Suivi Carburant'!G39))),NA(),'Suivi Carburant'!G39)</f>
        <v/>
      </c>
      <c r="AC24" s="82">
        <f>IF(OR('Suivi Carburant'!K39="",NOT(ISNUMBER('Suivi Carburant'!K39))),NA(),'Suivi Carburant'!K39)</f>
        <v/>
      </c>
      <c r="AE24" s="82" t="n">
        <v>22</v>
      </c>
      <c r="AF24" s="82">
        <f>IFERROR(VLOOKUP(AE24,$O$2:$P$32,2,FALSE),NA())</f>
        <v/>
      </c>
      <c r="AG24" s="82">
        <f>'Suivi Carburant'!$B$5</f>
        <v/>
      </c>
    </row>
    <row r="25">
      <c r="O25" s="82">
        <f>IF(COUNTIFS('Suivi Carburant'!$C$16:$C$46,"SuperEthanol E85",'Suivi Carburant'!$N$16:$N$46,"&gt;=0")&gt;=ROW(O24)-1,ROW(O24)-1,NA())</f>
        <v/>
      </c>
      <c r="P25" s="82">
        <f t="array" ref="P25">IFERROR(INDEX('Suivi Carburant'!$N$16:$N$46,SMALL(IF(('Suivi Carburant'!$C$16:$C$46="SuperEthanol E85")*ISNUMBER('Suivi Carburant'!$N$16:$N$46),ROW('Suivi Carburant'!$C$16:$C$46)-ROW('Suivi Carburant'!$C$16)+1),23)),NA())</f>
        <v/>
      </c>
      <c r="Q25" s="82">
        <f>IF(ISNA(O25),NA(),'Suivi Carburant'!$B$5)</f>
        <v/>
      </c>
      <c r="S25" s="82">
        <f>IF(ISNUMBER('Suivi Carburant'!A40),'Suivi Carburant'!A40,NA())</f>
        <v/>
      </c>
      <c r="T25" s="82">
        <f>IF(OR('Suivi Carburant'!C40&lt;&gt;"Super 98",'Suivi Carburant'!J40=""),NA(),'Suivi Carburant'!J40)</f>
        <v/>
      </c>
      <c r="U25" s="82">
        <f>IF(OR('Suivi Carburant'!C40&lt;&gt;"SuperEthanol E85",'Suivi Carburant'!J40=""),NA(),'Suivi Carburant'!J40)</f>
        <v/>
      </c>
      <c r="W25" s="82">
        <f>IF(ISNUMBER('Suivi Carburant'!A40),'Suivi Carburant'!A40,NA())</f>
        <v/>
      </c>
      <c r="X25" s="82">
        <f>IF(OR('Suivi Carburant'!C40&lt;&gt;"Super 98",'Suivi Carburant'!H40=""),NA(),'Suivi Carburant'!H40)</f>
        <v/>
      </c>
      <c r="Y25" s="82">
        <f>IF(OR('Suivi Carburant'!C40&lt;&gt;"SuperEthanol E85",'Suivi Carburant'!H40=""),NA(),'Suivi Carburant'!H40)</f>
        <v/>
      </c>
      <c r="AA25" s="82">
        <f>IF(ISNUMBER('Suivi Carburant'!A40),'Suivi Carburant'!A40,NA())</f>
        <v/>
      </c>
      <c r="AB25" s="82">
        <f>IF(OR('Suivi Carburant'!G40="",NOT(ISNUMBER('Suivi Carburant'!G40))),NA(),'Suivi Carburant'!G40)</f>
        <v/>
      </c>
      <c r="AC25" s="82">
        <f>IF(OR('Suivi Carburant'!K40="",NOT(ISNUMBER('Suivi Carburant'!K40))),NA(),'Suivi Carburant'!K40)</f>
        <v/>
      </c>
      <c r="AE25" s="82" t="n">
        <v>23</v>
      </c>
      <c r="AF25" s="82">
        <f>IFERROR(VLOOKUP(AE25,$O$2:$P$32,2,FALSE),NA())</f>
        <v/>
      </c>
      <c r="AG25" s="82">
        <f>'Suivi Carburant'!$B$5</f>
        <v/>
      </c>
    </row>
    <row r="26">
      <c r="O26" s="82">
        <f>IF(COUNTIFS('Suivi Carburant'!$C$16:$C$46,"SuperEthanol E85",'Suivi Carburant'!$N$16:$N$46,"&gt;=0")&gt;=ROW(O25)-1,ROW(O25)-1,NA())</f>
        <v/>
      </c>
      <c r="P26" s="82">
        <f t="array" ref="P26">IFERROR(INDEX('Suivi Carburant'!$N$16:$N$46,SMALL(IF(('Suivi Carburant'!$C$16:$C$46="SuperEthanol E85")*ISNUMBER('Suivi Carburant'!$N$16:$N$46),ROW('Suivi Carburant'!$C$16:$C$46)-ROW('Suivi Carburant'!$C$16)+1),24)),NA())</f>
        <v/>
      </c>
      <c r="Q26" s="82">
        <f>IF(ISNA(O26),NA(),'Suivi Carburant'!$B$5)</f>
        <v/>
      </c>
      <c r="S26" s="82">
        <f>IF(ISNUMBER('Suivi Carburant'!A41),'Suivi Carburant'!A41,NA())</f>
        <v/>
      </c>
      <c r="T26" s="82">
        <f>IF(OR('Suivi Carburant'!C41&lt;&gt;"Super 98",'Suivi Carburant'!J41=""),NA(),'Suivi Carburant'!J41)</f>
        <v/>
      </c>
      <c r="U26" s="82">
        <f>IF(OR('Suivi Carburant'!C41&lt;&gt;"SuperEthanol E85",'Suivi Carburant'!J41=""),NA(),'Suivi Carburant'!J41)</f>
        <v/>
      </c>
      <c r="W26" s="82">
        <f>IF(ISNUMBER('Suivi Carburant'!A41),'Suivi Carburant'!A41,NA())</f>
        <v/>
      </c>
      <c r="X26" s="82">
        <f>IF(OR('Suivi Carburant'!C41&lt;&gt;"Super 98",'Suivi Carburant'!H41=""),NA(),'Suivi Carburant'!H41)</f>
        <v/>
      </c>
      <c r="Y26" s="82">
        <f>IF(OR('Suivi Carburant'!C41&lt;&gt;"SuperEthanol E85",'Suivi Carburant'!H41=""),NA(),'Suivi Carburant'!H41)</f>
        <v/>
      </c>
      <c r="AA26" s="82">
        <f>IF(ISNUMBER('Suivi Carburant'!A41),'Suivi Carburant'!A41,NA())</f>
        <v/>
      </c>
      <c r="AB26" s="82">
        <f>IF(OR('Suivi Carburant'!G41="",NOT(ISNUMBER('Suivi Carburant'!G41))),NA(),'Suivi Carburant'!G41)</f>
        <v/>
      </c>
      <c r="AC26" s="82">
        <f>IF(OR('Suivi Carburant'!K41="",NOT(ISNUMBER('Suivi Carburant'!K41))),NA(),'Suivi Carburant'!K41)</f>
        <v/>
      </c>
      <c r="AE26" s="82" t="n">
        <v>24</v>
      </c>
      <c r="AF26" s="82">
        <f>IFERROR(VLOOKUP(AE26,$O$2:$P$32,2,FALSE),NA())</f>
        <v/>
      </c>
      <c r="AG26" s="82">
        <f>'Suivi Carburant'!$B$5</f>
        <v/>
      </c>
    </row>
    <row r="27">
      <c r="O27" s="82">
        <f>IF(COUNTIFS('Suivi Carburant'!$C$16:$C$46,"SuperEthanol E85",'Suivi Carburant'!$N$16:$N$46,"&gt;=0")&gt;=ROW(O26)-1,ROW(O26)-1,NA())</f>
        <v/>
      </c>
      <c r="P27" s="82">
        <f t="array" ref="P27">IFERROR(INDEX('Suivi Carburant'!$N$16:$N$46,SMALL(IF(('Suivi Carburant'!$C$16:$C$46="SuperEthanol E85")*ISNUMBER('Suivi Carburant'!$N$16:$N$46),ROW('Suivi Carburant'!$C$16:$C$46)-ROW('Suivi Carburant'!$C$16)+1),25)),NA())</f>
        <v/>
      </c>
      <c r="Q27" s="82">
        <f>IF(ISNA(O27),NA(),'Suivi Carburant'!$B$5)</f>
        <v/>
      </c>
      <c r="S27" s="82">
        <f>IF(ISNUMBER('Suivi Carburant'!A42),'Suivi Carburant'!A42,NA())</f>
        <v/>
      </c>
      <c r="T27" s="82">
        <f>IF(OR('Suivi Carburant'!C42&lt;&gt;"Super 98",'Suivi Carburant'!J42=""),NA(),'Suivi Carburant'!J42)</f>
        <v/>
      </c>
      <c r="U27" s="82">
        <f>IF(OR('Suivi Carburant'!C42&lt;&gt;"SuperEthanol E85",'Suivi Carburant'!J42=""),NA(),'Suivi Carburant'!J42)</f>
        <v/>
      </c>
      <c r="W27" s="82">
        <f>IF(ISNUMBER('Suivi Carburant'!A42),'Suivi Carburant'!A42,NA())</f>
        <v/>
      </c>
      <c r="X27" s="82">
        <f>IF(OR('Suivi Carburant'!C42&lt;&gt;"Super 98",'Suivi Carburant'!H42=""),NA(),'Suivi Carburant'!H42)</f>
        <v/>
      </c>
      <c r="Y27" s="82">
        <f>IF(OR('Suivi Carburant'!C42&lt;&gt;"SuperEthanol E85",'Suivi Carburant'!H42=""),NA(),'Suivi Carburant'!H42)</f>
        <v/>
      </c>
      <c r="AA27" s="82">
        <f>IF(ISNUMBER('Suivi Carburant'!A42),'Suivi Carburant'!A42,NA())</f>
        <v/>
      </c>
      <c r="AB27" s="82">
        <f>IF(OR('Suivi Carburant'!G42="",NOT(ISNUMBER('Suivi Carburant'!G42))),NA(),'Suivi Carburant'!G42)</f>
        <v/>
      </c>
      <c r="AC27" s="82">
        <f>IF(OR('Suivi Carburant'!K42="",NOT(ISNUMBER('Suivi Carburant'!K42))),NA(),'Suivi Carburant'!K42)</f>
        <v/>
      </c>
      <c r="AE27" s="82" t="n">
        <v>25</v>
      </c>
      <c r="AF27" s="82">
        <f>IFERROR(VLOOKUP(AE27,$O$2:$P$32,2,FALSE),NA())</f>
        <v/>
      </c>
      <c r="AG27" s="82">
        <f>'Suivi Carburant'!$B$5</f>
        <v/>
      </c>
    </row>
    <row r="28">
      <c r="O28" s="82">
        <f>IF(COUNTIFS('Suivi Carburant'!$C$16:$C$46,"SuperEthanol E85",'Suivi Carburant'!$N$16:$N$46,"&gt;=0")&gt;=ROW(O27)-1,ROW(O27)-1,NA())</f>
        <v/>
      </c>
      <c r="P28" s="82">
        <f t="array" ref="P28">IFERROR(INDEX('Suivi Carburant'!$N$16:$N$46,SMALL(IF(('Suivi Carburant'!$C$16:$C$46="SuperEthanol E85")*ISNUMBER('Suivi Carburant'!$N$16:$N$46),ROW('Suivi Carburant'!$C$16:$C$46)-ROW('Suivi Carburant'!$C$16)+1),26)),NA())</f>
        <v/>
      </c>
      <c r="Q28" s="82">
        <f>IF(ISNA(O28),NA(),'Suivi Carburant'!$B$5)</f>
        <v/>
      </c>
      <c r="S28" s="82">
        <f>IF(ISNUMBER('Suivi Carburant'!A43),'Suivi Carburant'!A43,NA())</f>
        <v/>
      </c>
      <c r="T28" s="82">
        <f>IF(OR('Suivi Carburant'!C43&lt;&gt;"Super 98",'Suivi Carburant'!J43=""),NA(),'Suivi Carburant'!J43)</f>
        <v/>
      </c>
      <c r="U28" s="82">
        <f>IF(OR('Suivi Carburant'!C43&lt;&gt;"SuperEthanol E85",'Suivi Carburant'!J43=""),NA(),'Suivi Carburant'!J43)</f>
        <v/>
      </c>
      <c r="W28" s="82">
        <f>IF(ISNUMBER('Suivi Carburant'!A43),'Suivi Carburant'!A43,NA())</f>
        <v/>
      </c>
      <c r="X28" s="82">
        <f>IF(OR('Suivi Carburant'!C43&lt;&gt;"Super 98",'Suivi Carburant'!H43=""),NA(),'Suivi Carburant'!H43)</f>
        <v/>
      </c>
      <c r="Y28" s="82">
        <f>IF(OR('Suivi Carburant'!C43&lt;&gt;"SuperEthanol E85",'Suivi Carburant'!H43=""),NA(),'Suivi Carburant'!H43)</f>
        <v/>
      </c>
      <c r="AA28" s="82">
        <f>IF(ISNUMBER('Suivi Carburant'!A43),'Suivi Carburant'!A43,NA())</f>
        <v/>
      </c>
      <c r="AB28" s="82">
        <f>IF(OR('Suivi Carburant'!G43="",NOT(ISNUMBER('Suivi Carburant'!G43))),NA(),'Suivi Carburant'!G43)</f>
        <v/>
      </c>
      <c r="AC28" s="82">
        <f>IF(OR('Suivi Carburant'!K43="",NOT(ISNUMBER('Suivi Carburant'!K43))),NA(),'Suivi Carburant'!K43)</f>
        <v/>
      </c>
      <c r="AE28" s="82" t="n">
        <v>26</v>
      </c>
      <c r="AF28" s="82">
        <f>IFERROR(VLOOKUP(AE28,$O$2:$P$32,2,FALSE),NA())</f>
        <v/>
      </c>
      <c r="AG28" s="82">
        <f>'Suivi Carburant'!$B$5</f>
        <v/>
      </c>
    </row>
    <row r="29">
      <c r="O29" s="82">
        <f>IF(COUNTIFS('Suivi Carburant'!$C$16:$C$46,"SuperEthanol E85",'Suivi Carburant'!$N$16:$N$46,"&gt;=0")&gt;=ROW(O28)-1,ROW(O28)-1,NA())</f>
        <v/>
      </c>
      <c r="P29" s="82">
        <f t="array" ref="P29">IFERROR(INDEX('Suivi Carburant'!$N$16:$N$46,SMALL(IF(('Suivi Carburant'!$C$16:$C$46="SuperEthanol E85")*ISNUMBER('Suivi Carburant'!$N$16:$N$46),ROW('Suivi Carburant'!$C$16:$C$46)-ROW('Suivi Carburant'!$C$16)+1),27)),NA())</f>
        <v/>
      </c>
      <c r="Q29" s="82">
        <f>IF(ISNA(O29),NA(),'Suivi Carburant'!$B$5)</f>
        <v/>
      </c>
      <c r="S29" s="82">
        <f>IF(ISNUMBER('Suivi Carburant'!A44),'Suivi Carburant'!A44,NA())</f>
        <v/>
      </c>
      <c r="T29" s="82">
        <f>IF(OR('Suivi Carburant'!C44&lt;&gt;"Super 98",'Suivi Carburant'!J44=""),NA(),'Suivi Carburant'!J44)</f>
        <v/>
      </c>
      <c r="U29" s="82">
        <f>IF(OR('Suivi Carburant'!C44&lt;&gt;"SuperEthanol E85",'Suivi Carburant'!J44=""),NA(),'Suivi Carburant'!J44)</f>
        <v/>
      </c>
      <c r="W29" s="82">
        <f>IF(ISNUMBER('Suivi Carburant'!A44),'Suivi Carburant'!A44,NA())</f>
        <v/>
      </c>
      <c r="X29" s="82">
        <f>IF(OR('Suivi Carburant'!C44&lt;&gt;"Super 98",'Suivi Carburant'!H44=""),NA(),'Suivi Carburant'!H44)</f>
        <v/>
      </c>
      <c r="Y29" s="82">
        <f>IF(OR('Suivi Carburant'!C44&lt;&gt;"SuperEthanol E85",'Suivi Carburant'!H44=""),NA(),'Suivi Carburant'!H44)</f>
        <v/>
      </c>
      <c r="AA29" s="82">
        <f>IF(ISNUMBER('Suivi Carburant'!A44),'Suivi Carburant'!A44,NA())</f>
        <v/>
      </c>
      <c r="AB29" s="82">
        <f>IF(OR('Suivi Carburant'!G44="",NOT(ISNUMBER('Suivi Carburant'!G44))),NA(),'Suivi Carburant'!G44)</f>
        <v/>
      </c>
      <c r="AC29" s="82">
        <f>IF(OR('Suivi Carburant'!K44="",NOT(ISNUMBER('Suivi Carburant'!K44))),NA(),'Suivi Carburant'!K44)</f>
        <v/>
      </c>
      <c r="AE29" s="82" t="n">
        <v>27</v>
      </c>
      <c r="AF29" s="82">
        <f>IFERROR(VLOOKUP(AE29,$O$2:$P$32,2,FALSE),NA())</f>
        <v/>
      </c>
      <c r="AG29" s="82">
        <f>'Suivi Carburant'!$B$5</f>
        <v/>
      </c>
    </row>
    <row r="30">
      <c r="O30" s="82">
        <f>IF(COUNTIFS('Suivi Carburant'!$C$16:$C$46,"SuperEthanol E85",'Suivi Carburant'!$N$16:$N$46,"&gt;=0")&gt;=ROW(O29)-1,ROW(O29)-1,NA())</f>
        <v/>
      </c>
      <c r="P30" s="82">
        <f t="array" ref="P30">IFERROR(INDEX('Suivi Carburant'!$N$16:$N$46,SMALL(IF(('Suivi Carburant'!$C$16:$C$46="SuperEthanol E85")*ISNUMBER('Suivi Carburant'!$N$16:$N$46),ROW('Suivi Carburant'!$C$16:$C$46)-ROW('Suivi Carburant'!$C$16)+1),28)),NA())</f>
        <v/>
      </c>
      <c r="Q30" s="82">
        <f>IF(ISNA(O30),NA(),'Suivi Carburant'!$B$5)</f>
        <v/>
      </c>
      <c r="S30" s="82">
        <f>IF(ISNUMBER('Suivi Carburant'!A45),'Suivi Carburant'!A45,NA())</f>
        <v/>
      </c>
      <c r="T30" s="82">
        <f>IF(OR('Suivi Carburant'!C45&lt;&gt;"Super 98",'Suivi Carburant'!J45=""),NA(),'Suivi Carburant'!J45)</f>
        <v/>
      </c>
      <c r="U30" s="82">
        <f>IF(OR('Suivi Carburant'!C45&lt;&gt;"SuperEthanol E85",'Suivi Carburant'!J45=""),NA(),'Suivi Carburant'!J45)</f>
        <v/>
      </c>
      <c r="W30" s="82">
        <f>IF(ISNUMBER('Suivi Carburant'!A45),'Suivi Carburant'!A45,NA())</f>
        <v/>
      </c>
      <c r="X30" s="82">
        <f>IF(OR('Suivi Carburant'!C45&lt;&gt;"Super 98",'Suivi Carburant'!H45=""),NA(),'Suivi Carburant'!H45)</f>
        <v/>
      </c>
      <c r="Y30" s="82">
        <f>IF(OR('Suivi Carburant'!C45&lt;&gt;"SuperEthanol E85",'Suivi Carburant'!H45=""),NA(),'Suivi Carburant'!H45)</f>
        <v/>
      </c>
      <c r="AA30" s="82">
        <f>IF(ISNUMBER('Suivi Carburant'!A45),'Suivi Carburant'!A45,NA())</f>
        <v/>
      </c>
      <c r="AB30" s="82">
        <f>IF(OR('Suivi Carburant'!G45="",NOT(ISNUMBER('Suivi Carburant'!G45))),NA(),'Suivi Carburant'!G45)</f>
        <v/>
      </c>
      <c r="AC30" s="82">
        <f>IF(OR('Suivi Carburant'!K45="",NOT(ISNUMBER('Suivi Carburant'!K45))),NA(),'Suivi Carburant'!K45)</f>
        <v/>
      </c>
      <c r="AE30" s="82" t="n">
        <v>28</v>
      </c>
      <c r="AF30" s="82">
        <f>IFERROR(VLOOKUP(AE30,$O$2:$P$32,2,FALSE),NA())</f>
        <v/>
      </c>
      <c r="AG30" s="82">
        <f>'Suivi Carburant'!$B$5</f>
        <v/>
      </c>
    </row>
    <row r="31">
      <c r="O31" s="82">
        <f>IF(COUNTIFS('Suivi Carburant'!$C$16:$C$46,"SuperEthanol E85",'Suivi Carburant'!$N$16:$N$46,"&gt;=0")&gt;=ROW(O30)-1,ROW(O30)-1,NA())</f>
        <v/>
      </c>
      <c r="P31" s="82">
        <f t="array" ref="P31">IFERROR(INDEX('Suivi Carburant'!$N$16:$N$46,SMALL(IF(('Suivi Carburant'!$C$16:$C$46="SuperEthanol E85")*ISNUMBER('Suivi Carburant'!$N$16:$N$46),ROW('Suivi Carburant'!$C$16:$C$46)-ROW('Suivi Carburant'!$C$16)+1),29)),NA())</f>
        <v/>
      </c>
      <c r="Q31" s="82">
        <f>IF(ISNA(O31),NA(),'Suivi Carburant'!$B$5)</f>
        <v/>
      </c>
      <c r="S31" s="82">
        <f>IF(ISNUMBER('Suivi Carburant'!A46),'Suivi Carburant'!A46,NA())</f>
        <v/>
      </c>
      <c r="T31" s="82">
        <f>IF(OR('Suivi Carburant'!C46&lt;&gt;"Super 98",'Suivi Carburant'!J46=""),NA(),'Suivi Carburant'!J46)</f>
        <v/>
      </c>
      <c r="U31" s="82">
        <f>IF(OR('Suivi Carburant'!C46&lt;&gt;"SuperEthanol E85",'Suivi Carburant'!J46=""),NA(),'Suivi Carburant'!J46)</f>
        <v/>
      </c>
      <c r="W31" s="82">
        <f>IF(ISNUMBER('Suivi Carburant'!A46),'Suivi Carburant'!A46,NA())</f>
        <v/>
      </c>
      <c r="X31" s="82">
        <f>IF(OR('Suivi Carburant'!C46&lt;&gt;"Super 98",'Suivi Carburant'!H46=""),NA(),'Suivi Carburant'!H46)</f>
        <v/>
      </c>
      <c r="Y31" s="82">
        <f>IF(OR('Suivi Carburant'!C46&lt;&gt;"SuperEthanol E85",'Suivi Carburant'!H46=""),NA(),'Suivi Carburant'!H46)</f>
        <v/>
      </c>
      <c r="AA31" s="82">
        <f>IF(ISNUMBER('Suivi Carburant'!A46),'Suivi Carburant'!A46,NA())</f>
        <v/>
      </c>
      <c r="AB31" s="82">
        <f>IF(OR('Suivi Carburant'!G46="",NOT(ISNUMBER('Suivi Carburant'!G46))),NA(),'Suivi Carburant'!G46)</f>
        <v/>
      </c>
      <c r="AC31" s="82">
        <f>IF(OR('Suivi Carburant'!K46="",NOT(ISNUMBER('Suivi Carburant'!K46))),NA(),'Suivi Carburant'!K46)</f>
        <v/>
      </c>
      <c r="AE31" s="82" t="n">
        <v>29</v>
      </c>
      <c r="AF31" s="82">
        <f>IFERROR(VLOOKUP(AE31,$O$2:$P$32,2,FALSE),NA())</f>
        <v/>
      </c>
      <c r="AG31" s="82">
        <f>'Suivi Carburant'!$B$5</f>
        <v/>
      </c>
    </row>
    <row r="32">
      <c r="O32" s="82">
        <f>IF(COUNTIFS('Suivi Carburant'!$C$16:$C$46,"SuperEthanol E85",'Suivi Carburant'!$N$16:$N$46,"&gt;=0")&gt;=ROW(O31)-1,ROW(O31)-1,NA())</f>
        <v/>
      </c>
      <c r="P32" s="82">
        <f t="array" ref="P32">IFERROR(INDEX('Suivi Carburant'!$N$16:$N$46,SMALL(IF(('Suivi Carburant'!$C$16:$C$46="SuperEthanol E85")*ISNUMBER('Suivi Carburant'!$N$16:$N$46),ROW('Suivi Carburant'!$C$16:$C$46)-ROW('Suivi Carburant'!$C$16)+1),30)),NA())</f>
        <v/>
      </c>
      <c r="Q32" s="82">
        <f>IF(ISNA(O32),NA(),'Suivi Carburant'!$B$5)</f>
        <v/>
      </c>
      <c r="S32" s="82">
        <f>IF(ISNUMBER('Suivi Carburant'!A47),'Suivi Carburant'!A47,NA())</f>
        <v/>
      </c>
      <c r="T32" s="82">
        <f>IF(OR('Suivi Carburant'!C47&lt;&gt;"Super 98",'Suivi Carburant'!J47=""),NA(),'Suivi Carburant'!J47)</f>
        <v/>
      </c>
      <c r="U32" s="82">
        <f>IF(OR('Suivi Carburant'!C47&lt;&gt;"SuperEthanol E85",'Suivi Carburant'!J47=""),NA(),'Suivi Carburant'!J47)</f>
        <v/>
      </c>
      <c r="W32" s="82">
        <f>IF(ISNUMBER('Suivi Carburant'!A47),'Suivi Carburant'!A47,NA())</f>
        <v/>
      </c>
      <c r="X32" s="82">
        <f>IF(OR('Suivi Carburant'!C47&lt;&gt;"Super 98",'Suivi Carburant'!H47=""),NA(),'Suivi Carburant'!H47)</f>
        <v/>
      </c>
      <c r="Y32" s="82">
        <f>IF(OR('Suivi Carburant'!C47&lt;&gt;"SuperEthanol E85",'Suivi Carburant'!H47=""),NA(),'Suivi Carburant'!H47)</f>
        <v/>
      </c>
      <c r="AA32" s="82">
        <f>IF(ISNUMBER('Suivi Carburant'!A47),'Suivi Carburant'!A47,NA())</f>
        <v/>
      </c>
      <c r="AB32" s="82">
        <f>IF(OR('Suivi Carburant'!G47="",NOT(ISNUMBER('Suivi Carburant'!G47))),NA(),'Suivi Carburant'!G47)</f>
        <v/>
      </c>
      <c r="AC32" s="82">
        <f>IF(OR('Suivi Carburant'!K47="",NOT(ISNUMBER('Suivi Carburant'!K47))),NA(),'Suivi Carburant'!K47)</f>
        <v/>
      </c>
      <c r="AE32" s="82" t="n">
        <v>30</v>
      </c>
      <c r="AF32" s="82">
        <f>IFERROR(VLOOKUP(AE32,$O$2:$P$32,2,FALSE),NA())</f>
        <v/>
      </c>
      <c r="AG32" s="82">
        <f>'Suivi Carburant'!$B$5</f>
        <v/>
      </c>
    </row>
    <row r="33">
      <c r="AE33" s="82" t="n">
        <v>31</v>
      </c>
      <c r="AF33" s="82">
        <f>IFERROR(VLOOKUP(AE33,$O$2:$P$32,2,FALSE),NA())</f>
        <v/>
      </c>
      <c r="AG33" s="82">
        <f>'Suivi Carburant'!$B$5</f>
        <v/>
      </c>
    </row>
    <row r="34">
      <c r="AE34" s="82" t="n">
        <v>32</v>
      </c>
      <c r="AF34" s="82">
        <f>IFERROR(VLOOKUP(AE34,$O$2:$P$32,2,FALSE),NA())</f>
        <v/>
      </c>
      <c r="AG34" s="82">
        <f>'Suivi Carburant'!$B$5</f>
        <v/>
      </c>
    </row>
    <row r="35">
      <c r="AE35" s="82" t="n">
        <v>33</v>
      </c>
      <c r="AF35" s="82">
        <f>IFERROR(VLOOKUP(AE35,$O$2:$P$32,2,FALSE),NA())</f>
        <v/>
      </c>
      <c r="AG35" s="82">
        <f>'Suivi Carburant'!$B$5</f>
        <v/>
      </c>
    </row>
    <row r="36">
      <c r="AE36" s="82" t="n">
        <v>34</v>
      </c>
      <c r="AF36" s="82">
        <f>IFERROR(VLOOKUP(AE36,$O$2:$P$32,2,FALSE),NA())</f>
        <v/>
      </c>
      <c r="AG36" s="82">
        <f>'Suivi Carburant'!$B$5</f>
        <v/>
      </c>
    </row>
    <row r="37">
      <c r="AE37" s="82" t="n">
        <v>35</v>
      </c>
      <c r="AF37" s="82">
        <f>IFERROR(VLOOKUP(AE37,$O$2:$P$32,2,FALSE),NA())</f>
        <v/>
      </c>
      <c r="AG37" s="82">
        <f>'Suivi Carburant'!$B$5</f>
        <v/>
      </c>
    </row>
    <row r="38">
      <c r="AE38" s="82" t="n">
        <v>36</v>
      </c>
      <c r="AF38" s="82">
        <f>IFERROR(VLOOKUP(AE38,$O$2:$P$32,2,FALSE),NA())</f>
        <v/>
      </c>
      <c r="AG38" s="82">
        <f>'Suivi Carburant'!$B$5</f>
        <v/>
      </c>
    </row>
    <row r="39">
      <c r="AE39" s="82" t="n">
        <v>37</v>
      </c>
      <c r="AF39" s="82">
        <f>IFERROR(VLOOKUP(AE39,$O$2:$P$32,2,FALSE),NA())</f>
        <v/>
      </c>
      <c r="AG39" s="82">
        <f>'Suivi Carburant'!$B$5</f>
        <v/>
      </c>
    </row>
    <row r="40">
      <c r="AE40" s="82" t="n">
        <v>38</v>
      </c>
      <c r="AF40" s="82">
        <f>IFERROR(VLOOKUP(AE40,$O$2:$P$32,2,FALSE),NA())</f>
        <v/>
      </c>
      <c r="AG40" s="82">
        <f>'Suivi Carburant'!$B$5</f>
        <v/>
      </c>
    </row>
    <row r="41">
      <c r="AE41" s="82" t="n">
        <v>39</v>
      </c>
      <c r="AF41" s="82">
        <f>IFERROR(VLOOKUP(AE41,$O$2:$P$32,2,FALSE),NA())</f>
        <v/>
      </c>
      <c r="AG41" s="82">
        <f>'Suivi Carburant'!$B$5</f>
        <v/>
      </c>
    </row>
    <row r="42">
      <c r="AE42" s="82" t="n">
        <v>40</v>
      </c>
      <c r="AF42" s="82">
        <f>IFERROR(VLOOKUP(AE42,$O$2:$P$32,2,FALSE),NA())</f>
        <v/>
      </c>
      <c r="AG42" s="82">
        <f>'Suivi Carburant'!$B$5</f>
        <v/>
      </c>
    </row>
    <row r="43">
      <c r="AE43" s="82" t="n">
        <v>41</v>
      </c>
      <c r="AF43" s="82">
        <f>IFERROR(VLOOKUP(AE43,$O$2:$P$32,2,FALSE),NA())</f>
        <v/>
      </c>
      <c r="AG43" s="82">
        <f>'Suivi Carburant'!$B$5</f>
        <v/>
      </c>
    </row>
    <row r="44">
      <c r="AE44" s="82" t="n">
        <v>42</v>
      </c>
      <c r="AF44" s="82">
        <f>IFERROR(VLOOKUP(AE44,$O$2:$P$32,2,FALSE),NA())</f>
        <v/>
      </c>
      <c r="AG44" s="82">
        <f>'Suivi Carburant'!$B$5</f>
        <v/>
      </c>
    </row>
    <row r="45">
      <c r="AE45" s="82" t="n">
        <v>43</v>
      </c>
      <c r="AF45" s="82">
        <f>IFERROR(VLOOKUP(AE45,$O$2:$P$32,2,FALSE),NA())</f>
        <v/>
      </c>
      <c r="AG45" s="82">
        <f>'Suivi Carburant'!$B$5</f>
        <v/>
      </c>
    </row>
    <row r="46">
      <c r="AE46" s="82" t="n">
        <v>44</v>
      </c>
      <c r="AF46" s="82">
        <f>IFERROR(VLOOKUP(AE46,$O$2:$P$32,2,FALSE),NA())</f>
        <v/>
      </c>
      <c r="AG46" s="82">
        <f>'Suivi Carburant'!$B$5</f>
        <v/>
      </c>
    </row>
    <row r="47">
      <c r="AE47" s="82" t="n">
        <v>45</v>
      </c>
      <c r="AF47" s="82">
        <f>IFERROR(VLOOKUP(AE47,$O$2:$P$32,2,FALSE),NA())</f>
        <v/>
      </c>
      <c r="AG47" s="82">
        <f>'Suivi Carburant'!$B$5</f>
        <v/>
      </c>
    </row>
    <row r="48">
      <c r="AE48" s="82" t="n">
        <v>46</v>
      </c>
      <c r="AF48" s="82">
        <f>IFERROR(VLOOKUP(AE48,$O$2:$P$32,2,FALSE),NA())</f>
        <v/>
      </c>
      <c r="AG48" s="82">
        <f>'Suivi Carburant'!$B$5</f>
        <v/>
      </c>
    </row>
    <row r="49">
      <c r="AE49" s="82" t="n">
        <v>47</v>
      </c>
      <c r="AF49" s="82">
        <f>IFERROR(VLOOKUP(AE49,$O$2:$P$32,2,FALSE),NA())</f>
        <v/>
      </c>
      <c r="AG49" s="82">
        <f>'Suivi Carburant'!$B$5</f>
        <v/>
      </c>
    </row>
    <row r="50">
      <c r="AE50" s="82" t="n">
        <v>48</v>
      </c>
      <c r="AF50" s="82">
        <f>IFERROR(VLOOKUP(AE50,$O$2:$P$32,2,FALSE),NA())</f>
        <v/>
      </c>
      <c r="AG50" s="82">
        <f>'Suivi Carburant'!$B$5</f>
        <v/>
      </c>
    </row>
    <row r="51">
      <c r="AE51" s="82" t="n">
        <v>49</v>
      </c>
      <c r="AF51" s="82">
        <f>IFERROR(VLOOKUP(AE51,$O$2:$P$32,2,FALSE),NA())</f>
        <v/>
      </c>
      <c r="AG51" s="82">
        <f>'Suivi Carburant'!$B$5</f>
        <v/>
      </c>
    </row>
    <row r="52">
      <c r="AE52" s="82" t="n">
        <v>50</v>
      </c>
      <c r="AF52" s="82">
        <f>IFERROR(VLOOKUP(AE52,$O$2:$P$32,2,FALSE),NA())</f>
        <v/>
      </c>
      <c r="AG52" s="82">
        <f>'Suivi Carburant'!$B$5</f>
        <v/>
      </c>
    </row>
    <row r="53">
      <c r="AE53" s="82" t="n">
        <v>51</v>
      </c>
      <c r="AF53" s="82">
        <f>IFERROR(VLOOKUP(AE53,$O$2:$P$32,2,FALSE),NA())</f>
        <v/>
      </c>
      <c r="AG53" s="82">
        <f>'Suivi Carburant'!$B$5</f>
        <v/>
      </c>
    </row>
    <row r="54">
      <c r="AE54" s="82" t="n">
        <v>52</v>
      </c>
      <c r="AF54" s="82">
        <f>IFERROR(VLOOKUP(AE54,$O$2:$P$32,2,FALSE),NA())</f>
        <v/>
      </c>
      <c r="AG54" s="82">
        <f>'Suivi Carburant'!$B$5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Feuil5">
    <outlinePr summaryBelow="1" summaryRight="1"/>
    <pageSetUpPr/>
  </sheetPr>
  <dimension ref="B2:D8"/>
  <sheetViews>
    <sheetView zoomScale="90" zoomScaleNormal="90" workbookViewId="0">
      <selection activeCell="D8" sqref="D8"/>
    </sheetView>
  </sheetViews>
  <sheetFormatPr baseColWidth="10" defaultColWidth="14" defaultRowHeight="15.75"/>
  <cols>
    <col width="3.25" customWidth="1" style="82" min="1" max="1"/>
    <col width="19.375" customWidth="1" style="82" min="2" max="2"/>
    <col width="1.125" customWidth="1" style="82" min="3" max="3"/>
    <col width="45.125" customWidth="1" style="82" min="4" max="4"/>
    <col width="14" customWidth="1" style="82" min="5" max="16384"/>
  </cols>
  <sheetData>
    <row r="1" ht="9.75" customHeight="1"/>
    <row r="2">
      <c r="B2" s="82" t="inlineStr">
        <is>
          <t>Type carburant</t>
        </is>
      </c>
      <c r="D2" s="82" t="inlineStr">
        <is>
          <t>Station essence utilisée</t>
        </is>
      </c>
    </row>
    <row r="3">
      <c r="B3" s="82" t="inlineStr">
        <is>
          <t>Diesel</t>
        </is>
      </c>
      <c r="D3" s="82" t="inlineStr">
        <is>
          <t>Carrefour Flers</t>
        </is>
      </c>
    </row>
    <row r="4">
      <c r="B4" s="82" t="inlineStr">
        <is>
          <t>Super 95</t>
        </is>
      </c>
      <c r="D4" s="82" t="inlineStr">
        <is>
          <t>Intermarché</t>
        </is>
      </c>
    </row>
    <row r="5">
      <c r="B5" s="82" t="inlineStr">
        <is>
          <t>Super 98</t>
        </is>
      </c>
      <c r="D5" s="82" t="inlineStr">
        <is>
          <t>Leclerc Douai</t>
        </is>
      </c>
    </row>
    <row r="6">
      <c r="B6" s="82" t="inlineStr">
        <is>
          <t>SuperEthanol E85</t>
        </is>
      </c>
      <c r="D6" s="82" t="inlineStr">
        <is>
          <t>Total Access</t>
        </is>
      </c>
    </row>
    <row r="7">
      <c r="D7" s="82" t="inlineStr">
        <is>
          <t>Total Waziers</t>
        </is>
      </c>
    </row>
    <row r="8">
      <c r="D8" s="82" t="inlineStr">
        <is>
          <t>ZONE DU MOULIN RUE ARTHUR LAMENDIN — Beuvry</t>
        </is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</dc:creator>
  <dcterms:created xsi:type="dcterms:W3CDTF">2018-06-07T17:34:22Z</dcterms:created>
  <dcterms:modified xsi:type="dcterms:W3CDTF">2026-05-24T07:57:30Z</dcterms:modified>
  <cp:lastModifiedBy>Frédéric Daubercy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0x010100CD401524DC532D42A0E0ED886331A72B</vt:lpwstr>
  </property>
  <property name="MSIP_Label_f42aa342-8706-4288-bd11-ebb85995028c_Enabled" fmtid="{D5CDD505-2E9C-101B-9397-08002B2CF9AE}" pid="3">
    <vt:lpwstr>True</vt:lpwstr>
  </property>
  <property name="MSIP_Label_f42aa342-8706-4288-bd11-ebb85995028c_SiteId" fmtid="{D5CDD505-2E9C-101B-9397-08002B2CF9AE}" pid="4">
    <vt:lpwstr>72f988bf-86f1-41af-91ab-2d7cd011db47</vt:lpwstr>
  </property>
  <property name="MSIP_Label_f42aa342-8706-4288-bd11-ebb85995028c_Owner" fmtid="{D5CDD505-2E9C-101B-9397-08002B2CF9AE}" pid="5">
    <vt:lpwstr>t-dahop@microsoft.com</vt:lpwstr>
  </property>
  <property name="MSIP_Label_f42aa342-8706-4288-bd11-ebb85995028c_SetDate" fmtid="{D5CDD505-2E9C-101B-9397-08002B2CF9AE}" pid="6">
    <vt:lpwstr>2018-06-18T14:22:57.3833839Z</vt:lpwstr>
  </property>
  <property name="MSIP_Label_f42aa342-8706-4288-bd11-ebb85995028c_Name" fmtid="{D5CDD505-2E9C-101B-9397-08002B2CF9AE}" pid="7">
    <vt:lpwstr>General</vt:lpwstr>
  </property>
  <property name="MSIP_Label_f42aa342-8706-4288-bd11-ebb85995028c_Application" fmtid="{D5CDD505-2E9C-101B-9397-08002B2CF9AE}" pid="8">
    <vt:lpwstr>Microsoft Azure Information Protection</vt:lpwstr>
  </property>
  <property name="MSIP_Label_f42aa342-8706-4288-bd11-ebb85995028c_Extended_MSFT_Method" fmtid="{D5CDD505-2E9C-101B-9397-08002B2CF9AE}" pid="9">
    <vt:lpwstr>Automatic</vt:lpwstr>
  </property>
  <property name="Sensitivity" fmtid="{D5CDD505-2E9C-101B-9397-08002B2CF9AE}" pid="10">
    <vt:lpwstr>General</vt:lpwstr>
  </property>
</Properties>
</file>